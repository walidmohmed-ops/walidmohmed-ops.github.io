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Stage-Gate Definitions" sheetId="2" state="visible" r:id="rId4"/>
    <sheet name="Governance &amp; Exceptions" sheetId="3" state="visible" r:id="rId5"/>
    <sheet name="Master SME Registry" sheetId="4" state="visible" r:id="rId6"/>
    <sheet name="Activity &amp; Calendar Log" sheetId="5" state="visible" r:id="rId7"/>
    <sheet name="Risk &amp; Issues Register" sheetId="6" state="visible" r:id="rId8"/>
    <sheet name="Capacity Model" sheetId="7" state="visible" r:id="rId9"/>
    <sheet name="KPI Scorecard" sheetId="8" state="visible" r:id="rId10"/>
    <sheet name="Dashboard — Executive" sheetId="9" state="visible" r:id="rId11"/>
    <sheet name="Dashboard — Operation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<sst xmlns="http://schemas.openxmlformats.org/spreadsheetml/2006/main" count="621" uniqueCount="459">
  <si>
    <t xml:space="preserve">THABAT PP – SAS BUSINESS CLINIC  |  CONTROL PARAMETERS</t>
  </si>
  <si>
    <t xml:space="preserve">Single control panel. Every threshold, capacity figure and date below feeds the rest of the workbook by formula. Yellow cells = fill these in. Change a number here and the whole system updates.</t>
  </si>
  <si>
    <t xml:space="preserve">PROJECT WINDOW</t>
  </si>
  <si>
    <t xml:space="preserve">Project name</t>
  </si>
  <si>
    <t xml:space="preserve">THABAT PP – SAS Business Clinic BDS</t>
  </si>
  <si>
    <t xml:space="preserve">Project start</t>
  </si>
  <si>
    <t xml:space="preserve">Inception. Jun–Oct 2026 window.</t>
  </si>
  <si>
    <t xml:space="preserve">Project end</t>
  </si>
  <si>
    <t xml:space="preserve">Final consultancy report due.</t>
  </si>
  <si>
    <t xml:space="preserve">Weeks in window</t>
  </si>
  <si>
    <t xml:space="preserve">Auto-calculated from start/end.</t>
  </si>
  <si>
    <t xml:space="preserve">Total SMEs (target)</t>
  </si>
  <si>
    <t xml:space="preserve">Per TOR: 80+ grant-awarded SMEs.</t>
  </si>
  <si>
    <t xml:space="preserve">Number of Coaches</t>
  </si>
  <si>
    <t xml:space="preserve">DROP IN when confirmed. Drives the capacity model.</t>
  </si>
  <si>
    <t xml:space="preserve">Number of Community Enablers</t>
  </si>
  <si>
    <t xml:space="preserve">DROP IN when confirmed.</t>
  </si>
  <si>
    <t xml:space="preserve">EXCEPTION THRESHOLDS (the auto-RAG engine)</t>
  </si>
  <si>
    <t xml:space="preserve">Missed coaching touchpoints → AMBER</t>
  </si>
  <si>
    <t xml:space="preserve">2 consecutive misses = amber + coach recovery action.</t>
  </si>
  <si>
    <t xml:space="preserve">Missed coaching touchpoints → RED</t>
  </si>
  <si>
    <t xml:space="preserve">Escalation territory.</t>
  </si>
  <si>
    <t xml:space="preserve">Stage at % of duration cap → AMBER</t>
  </si>
  <si>
    <t xml:space="preserve">At 80% of allowed time, warn.</t>
  </si>
  <si>
    <t xml:space="preserve">Stage over duration cap → RED</t>
  </si>
  <si>
    <t xml:space="preserve">Over cap = red, weekly-review item.</t>
  </si>
  <si>
    <t xml:space="preserve">Grant utilisation floor</t>
  </si>
  <si>
    <t xml:space="preserve">Below this at checkpoint = escalate to PD.</t>
  </si>
  <si>
    <t xml:space="preserve">Grant utilisation checkpoint date</t>
  </si>
  <si>
    <t xml:space="preserve">Mid-window burn-rate check.</t>
  </si>
  <si>
    <t xml:space="preserve">Documentation completeness target</t>
  </si>
  <si>
    <t xml:space="preserve">Below this flags amber on the SME.</t>
  </si>
  <si>
    <t xml:space="preserve">CAPACITY ASSUMPTIONS  (per person, per week)</t>
  </si>
  <si>
    <t xml:space="preserve">Diagnostics per Coach / week</t>
  </si>
  <si>
    <t xml:space="preserve">BDPs per Coach / week</t>
  </si>
  <si>
    <t xml:space="preserve">Coaching sessions per Coach / week</t>
  </si>
  <si>
    <t xml:space="preserve">Field visits per Enabler / week</t>
  </si>
  <si>
    <t xml:space="preserve">SERVICE VOLUME  (required per SME, full cycle)</t>
  </si>
  <si>
    <t xml:space="preserve">Diagnostics per SME</t>
  </si>
  <si>
    <t xml:space="preserve">BDPs per SME</t>
  </si>
  <si>
    <t xml:space="preserve">Coaching sessions per SME</t>
  </si>
  <si>
    <t xml:space="preserve">Weekly-ish over the cycle.</t>
  </si>
  <si>
    <t xml:space="preserve">Field visits per SME</t>
  </si>
  <si>
    <t xml:space="preserve">REGISTRY VIEW MODE</t>
  </si>
  <si>
    <t xml:space="preserve">Show columns (Grant / Delivery / Both)</t>
  </si>
  <si>
    <t xml:space="preserve">Both</t>
  </si>
  <si>
    <t xml:space="preserve">Use the +/- outline buttons above the Registry columns to collapse the Delivery, Doc, or Grant blocks. This cell records intent.</t>
  </si>
  <si>
    <t xml:space="preserve">STAGE-GATE DEFINITIONS — "done" is non-negotiable. A stage exits ONLY when every exit criterion is met.</t>
  </si>
  <si>
    <t xml:space="preserve">Stage</t>
  </si>
  <si>
    <t xml:space="preserve">Seq</t>
  </si>
  <si>
    <t xml:space="preserve">Entry Criteria</t>
  </si>
  <si>
    <t xml:space="preserve">Exit Criteria</t>
  </si>
  <si>
    <t xml:space="preserve">Expected Duration (days)</t>
  </si>
  <si>
    <t xml:space="preserve">Required Evidence</t>
  </si>
  <si>
    <t xml:space="preserve">Responsible Owner</t>
  </si>
  <si>
    <t xml:space="preserve">Output Document</t>
  </si>
  <si>
    <t xml:space="preserve">Not Started</t>
  </si>
  <si>
    <t xml:space="preserve">SME confirmed on grant list; assigned to a Coach.</t>
  </si>
  <si>
    <t xml:space="preserve">Diagnostic scheduled in the calendar.</t>
  </si>
  <si>
    <t xml:space="preserve">Assignment recorded in Registry.</t>
  </si>
  <si>
    <t xml:space="preserve">Operations &amp; Portfolio Mgr</t>
  </si>
  <si>
    <t xml:space="preserve">Registry entry</t>
  </si>
  <si>
    <t xml:space="preserve">Diagnostic</t>
  </si>
  <si>
    <t xml:space="preserve">SME assigned; diagnostic session booked.</t>
  </si>
  <si>
    <t xml:space="preserve">Diagnostic completed, written up, filed, and linked to the SME record.</t>
  </si>
  <si>
    <t xml:space="preserve">Completed diagnostic report; attendance note.</t>
  </si>
  <si>
    <t xml:space="preserve">Business Dev. Coach</t>
  </si>
  <si>
    <t xml:space="preserve">Diagnostic Report</t>
  </si>
  <si>
    <t xml:space="preserve">Business Development Plan</t>
  </si>
  <si>
    <t xml:space="preserve">Diagnostic filed and signed off.</t>
  </si>
  <si>
    <t xml:space="preserve">BDP APPROVED, filed, linked to SME record, AND coaching plan set. A draft is NOT an exit.</t>
  </si>
  <si>
    <t xml:space="preserve">Signed/approved BDP; baseline captured.</t>
  </si>
  <si>
    <t xml:space="preserve">Approved BDP</t>
  </si>
  <si>
    <t xml:space="preserve">Coaching</t>
  </si>
  <si>
    <t xml:space="preserve">Approved BDP with coaching plan in place.</t>
  </si>
  <si>
    <t xml:space="preserve">Agreed coaching sessions delivered to cadence; coaching notes filed each session.</t>
  </si>
  <si>
    <t xml:space="preserve">Coaching notes per session; attendance log.</t>
  </si>
  <si>
    <t xml:space="preserve">Coaching Notes</t>
  </si>
  <si>
    <t xml:space="preserve">Field Follow-up</t>
  </si>
  <si>
    <t xml:space="preserve">Coaching cycle substantially delivered.</t>
  </si>
  <si>
    <t xml:space="preserve">Field visit(s) completed, field notes filed, SME action items verified on-site.</t>
  </si>
  <si>
    <t xml:space="preserve">Field visit notes; verification checklist.</t>
  </si>
  <si>
    <t xml:space="preserve">Community Enabler</t>
  </si>
  <si>
    <t xml:space="preserve">Field Visit Record</t>
  </si>
  <si>
    <t xml:space="preserve">Complete</t>
  </si>
  <si>
    <t xml:space="preserve">All prior gates passed; SME file complete.</t>
  </si>
  <si>
    <t xml:space="preserve">All deliverables filed, compliance records complete, file audit-ready.</t>
  </si>
  <si>
    <t xml:space="preserve">Full SME case file; sign-offs.</t>
  </si>
  <si>
    <t xml:space="preserve">Closed SME Case File</t>
  </si>
  <si>
    <t xml:space="preserve">GOVERNANCE — DECISION RIGHTS &amp; THE EXCEPTION ENGINE</t>
  </si>
  <si>
    <t xml:space="preserve">You coordinate; you do not command. This separates what you DECIDE, what you RECOMMEND, and what you ESCALATE — so the system never stalls when a Coach resists.</t>
  </si>
  <si>
    <t xml:space="preserve">1 · DECISION RIGHTS MATRIX</t>
  </si>
  <si>
    <t xml:space="preserve">Action / Situation</t>
  </si>
  <si>
    <t xml:space="preserve">You DECIDE</t>
  </si>
  <si>
    <t xml:space="preserve">You RECOMMEND</t>
  </si>
  <si>
    <t xml:space="preserve">ESCALATE to PD</t>
  </si>
  <si>
    <t xml:space="preserve">Rule</t>
  </si>
  <si>
    <t xml:space="preserve">Schedule a session within a Coach's agreed capacity band</t>
  </si>
  <si>
    <t xml:space="preserve">✔</t>
  </si>
  <si>
    <t xml:space="preserve">Yours to make, log it.</t>
  </si>
  <si>
    <t xml:space="preserve">Re-slot a session inside the same state</t>
  </si>
  <si>
    <t xml:space="preserve">Within capacity bands = your call.</t>
  </si>
  <si>
    <t xml:space="preserve">Rebalance caseload across Coaches in the SAME state</t>
  </si>
  <si>
    <t xml:space="preserve">Recommend; PD confirms.</t>
  </si>
  <si>
    <t xml:space="preserve">Cross-STATE reallocation of SMEs or Coaches</t>
  </si>
  <si>
    <t xml:space="preserve">Requires PD approval.</t>
  </si>
  <si>
    <t xml:space="preserve">Reset a stage deadline for one SME (minor slip)</t>
  </si>
  <si>
    <t xml:space="preserve">Inside tolerance, your call.</t>
  </si>
  <si>
    <t xml:space="preserve">Reset milestones affecting the donor timeline</t>
  </si>
  <si>
    <t xml:space="preserve">PD owns donor-facing dates.</t>
  </si>
  <si>
    <t xml:space="preserve">Repeated Coach non-adherence (after recovery action)</t>
  </si>
  <si>
    <t xml:space="preserve">Formal escalation, documented.</t>
  </si>
  <si>
    <t xml:space="preserve">Grant-utilisation below floor at checkpoint</t>
  </si>
  <si>
    <t xml:space="preserve">Recommend intervention + escalate.</t>
  </si>
  <si>
    <t xml:space="preserve">Standard corrective action at SME level</t>
  </si>
  <si>
    <t xml:space="preserve">With Coach/Enabler; PD informed.</t>
  </si>
  <si>
    <t xml:space="preserve">Engaging Mercy Corps technical counterparts</t>
  </si>
  <si>
    <t xml:space="preserve">Only as PD delegates.</t>
  </si>
  <si>
    <t xml:space="preserve">2 · EXCEPTION RULES  (trigger → status → required response)</t>
  </si>
  <si>
    <t xml:space="preserve">Trigger</t>
  </si>
  <si>
    <t xml:space="preserve">Threshold (from Parameters)</t>
  </si>
  <si>
    <t xml:space="preserve">Auto-status</t>
  </si>
  <si>
    <t xml:space="preserve">Required response</t>
  </si>
  <si>
    <t xml:space="preserve">Decision right</t>
  </si>
  <si>
    <t xml:space="preserve">Missed consecutive coaching touchpoints</t>
  </si>
  <si>
    <t xml:space="preserve">≥ amber threshold</t>
  </si>
  <si>
    <t xml:space="preserve">AMBER</t>
  </si>
  <si>
    <t xml:space="preserve">Coach logs recovery action within the week.</t>
  </si>
  <si>
    <t xml:space="preserve">Recommend</t>
  </si>
  <si>
    <t xml:space="preserve">≥ red threshold</t>
  </si>
  <si>
    <t xml:space="preserve">RED</t>
  </si>
  <si>
    <t xml:space="preserve">Weekly-review item; PD notified.</t>
  </si>
  <si>
    <t xml:space="preserve">Escalate</t>
  </si>
  <si>
    <t xml:space="preserve">Stage time elapsed vs duration cap</t>
  </si>
  <si>
    <t xml:space="preserve">≥ amber % of cap</t>
  </si>
  <si>
    <t xml:space="preserve">Flag in weekly review; chase owner.</t>
  </si>
  <si>
    <t xml:space="preserve">Decide</t>
  </si>
  <si>
    <t xml:space="preserve">over cap</t>
  </si>
  <si>
    <t xml:space="preserve">Mandatory weekly-review discussion + corrective action.</t>
  </si>
  <si>
    <t xml:space="preserve">Grant utilisation at checkpoint date</t>
  </si>
  <si>
    <t xml:space="preserve">&lt; floor %</t>
  </si>
  <si>
    <t xml:space="preserve">Escalate to PD with a proposed intervention.</t>
  </si>
  <si>
    <t xml:space="preserve">Documentation completeness on an SME</t>
  </si>
  <si>
    <t xml:space="preserve">&lt; target %</t>
  </si>
  <si>
    <t xml:space="preserve">Chase missing evidence before month-end report.</t>
  </si>
  <si>
    <t xml:space="preserve">Compliance status = At Risk</t>
  </si>
  <si>
    <t xml:space="preserve">manual flag</t>
  </si>
  <si>
    <t xml:space="preserve">Immediate escalation; freeze stage progression.</t>
  </si>
  <si>
    <t xml:space="preserve">IDENTITY &amp; ASSIGNMENT (static)</t>
  </si>
  <si>
    <t xml:space="preserve">DELIVERY / STAGE (dynamic)</t>
  </si>
  <si>
    <t xml:space="preserve">DOCUMENTATION</t>
  </si>
  <si>
    <t xml:space="preserve">GRANT / COMPLIANCE</t>
  </si>
  <si>
    <t xml:space="preserve">CONTROL</t>
  </si>
  <si>
    <t xml:space="preserve">SME ID</t>
  </si>
  <si>
    <t xml:space="preserve">SME Name</t>
  </si>
  <si>
    <t xml:space="preserve">State</t>
  </si>
  <si>
    <t xml:space="preserve">Sector</t>
  </si>
  <si>
    <t xml:space="preserve">Assigned Coach</t>
  </si>
  <si>
    <t xml:space="preserve">Assigned Enabler</t>
  </si>
  <si>
    <t xml:space="preserve">Current Stage</t>
  </si>
  <si>
    <t xml:space="preserve">Stage Entry Date</t>
  </si>
  <si>
    <t xml:space="preserve">Expected Dur. (days)</t>
  </si>
  <si>
    <t xml:space="preserve">Days in Stage</t>
  </si>
  <si>
    <t xml:space="preserve">Stage Overdue?</t>
  </si>
  <si>
    <t xml:space="preserve">Last Coaching Date</t>
  </si>
  <si>
    <t xml:space="preserve">Missed Touchpoints</t>
  </si>
  <si>
    <t xml:space="preserve">Last Field Visit</t>
  </si>
  <si>
    <t xml:space="preserve">Next Action</t>
  </si>
  <si>
    <t xml:space="preserve">Next Due Date</t>
  </si>
  <si>
    <t xml:space="preserve">Dependency</t>
  </si>
  <si>
    <t xml:space="preserve">Last Update</t>
  </si>
  <si>
    <t xml:space="preserve">Diagnostic Filed</t>
  </si>
  <si>
    <t xml:space="preserve">BDP Filed</t>
  </si>
  <si>
    <t xml:space="preserve">Coaching Notes Filed</t>
  </si>
  <si>
    <t xml:space="preserve">Field Notes Filed</t>
  </si>
  <si>
    <t xml:space="preserve">Compliance Recs Filed</t>
  </si>
  <si>
    <t xml:space="preserve">Approvals Filed</t>
  </si>
  <si>
    <t xml:space="preserve">Doc Completeness %</t>
  </si>
  <si>
    <t xml:space="preserve">Grant Value ($)</t>
  </si>
  <si>
    <t xml:space="preserve">Grant Award Date</t>
  </si>
  <si>
    <t xml:space="preserve">Grant Spent ($)</t>
  </si>
  <si>
    <t xml:space="preserve">Grant Utilisation %</t>
  </si>
  <si>
    <t xml:space="preserve">Utilisation Flag</t>
  </si>
  <si>
    <t xml:space="preserve">Compliance Status</t>
  </si>
  <si>
    <t xml:space="preserve">RAG STATUS</t>
  </si>
  <si>
    <t xml:space="preserve">Open Risks</t>
  </si>
  <si>
    <t xml:space="preserve">SME-001</t>
  </si>
  <si>
    <t xml:space="preserve">Kassala Grain Processing Co-op</t>
  </si>
  <si>
    <t xml:space="preserve">Kassala</t>
  </si>
  <si>
    <t xml:space="preserve">Processing</t>
  </si>
  <si>
    <t xml:space="preserve">Coach A</t>
  </si>
  <si>
    <t xml:space="preserve">Enabler 1</t>
  </si>
  <si>
    <t xml:space="preserve">Resolve packaging supplier</t>
  </si>
  <si>
    <t xml:space="preserve">Awaiting equipment quote</t>
  </si>
  <si>
    <t xml:space="preserve">Y</t>
  </si>
  <si>
    <t xml:space="preserve">N</t>
  </si>
  <si>
    <t xml:space="preserve">OK</t>
  </si>
  <si>
    <t xml:space="preserve">SME-002</t>
  </si>
  <si>
    <t xml:space="preserve">River Nile Cold Storage Ltd</t>
  </si>
  <si>
    <t xml:space="preserve">River Nile</t>
  </si>
  <si>
    <t xml:space="preserve">Storage</t>
  </si>
  <si>
    <t xml:space="preserve">Coach B</t>
  </si>
  <si>
    <t xml:space="preserve">Enabler 2</t>
  </si>
  <si>
    <t xml:space="preserve">Finalise approved BDP</t>
  </si>
  <si>
    <t xml:space="preserve">Diagnostic sign-off pending</t>
  </si>
  <si>
    <t xml:space="preserve">Gap</t>
  </si>
  <si>
    <t xml:space="preserve">SME-003</t>
  </si>
  <si>
    <t xml:space="preserve">Atbara Transport Collective</t>
  </si>
  <si>
    <t xml:space="preserve">Transportation</t>
  </si>
  <si>
    <t xml:space="preserve">Complete diagnostic write-up</t>
  </si>
  <si>
    <t xml:space="preserve">SME-004</t>
  </si>
  <si>
    <t xml:space="preserve">Dongola Date Packaging</t>
  </si>
  <si>
    <t xml:space="preserve">Northern</t>
  </si>
  <si>
    <t xml:space="preserve">Packaging</t>
  </si>
  <si>
    <t xml:space="preserve">Coach C</t>
  </si>
  <si>
    <t xml:space="preserve">Enabler 3</t>
  </si>
  <si>
    <t xml:space="preserve">Recover missed sessions</t>
  </si>
  <si>
    <t xml:space="preserve">Coach availability</t>
  </si>
  <si>
    <t xml:space="preserve">At Risk</t>
  </si>
  <si>
    <t xml:space="preserve">SME-005</t>
  </si>
  <si>
    <t xml:space="preserve">Halfa Agri-Processing</t>
  </si>
  <si>
    <t xml:space="preserve">Verify on-site action items</t>
  </si>
  <si>
    <t xml:space="preserve">SME-006</t>
  </si>
  <si>
    <t xml:space="preserve">Port Sudan Storage Hub</t>
  </si>
  <si>
    <t xml:space="preserve">Closed - filed</t>
  </si>
  <si>
    <t xml:space="preserve">SME-007</t>
  </si>
  <si>
    <t xml:space="preserve">Kassala Sesame Cleaners</t>
  </si>
  <si>
    <t xml:space="preserve">Escalate cadence breach</t>
  </si>
  <si>
    <t xml:space="preserve">Security access</t>
  </si>
  <si>
    <t xml:space="preserve">SME-008</t>
  </si>
  <si>
    <t xml:space="preserve">Shendi Packaging SME</t>
  </si>
  <si>
    <t xml:space="preserve">Book diagnostic session</t>
  </si>
  <si>
    <t xml:space="preserve">SME-009</t>
  </si>
  <si>
    <t xml:space="preserve">SME-010</t>
  </si>
  <si>
    <t xml:space="preserve">SME-011</t>
  </si>
  <si>
    <t xml:space="preserve">SME-012</t>
  </si>
  <si>
    <t xml:space="preserve">SME-013</t>
  </si>
  <si>
    <t xml:space="preserve">SME-014</t>
  </si>
  <si>
    <t xml:space="preserve">SME-015</t>
  </si>
  <si>
    <t xml:space="preserve">SME-016</t>
  </si>
  <si>
    <t xml:space="preserve">SME-017</t>
  </si>
  <si>
    <t xml:space="preserve">SME-018</t>
  </si>
  <si>
    <t xml:space="preserve">SME-019</t>
  </si>
  <si>
    <t xml:space="preserve">SME-020</t>
  </si>
  <si>
    <t xml:space="preserve">SME-021</t>
  </si>
  <si>
    <t xml:space="preserve">SME-022</t>
  </si>
  <si>
    <t xml:space="preserve">SME-023</t>
  </si>
  <si>
    <t xml:space="preserve">SME-024</t>
  </si>
  <si>
    <t xml:space="preserve">SME-025</t>
  </si>
  <si>
    <t xml:space="preserve">SME-026</t>
  </si>
  <si>
    <t xml:space="preserve">SME-027</t>
  </si>
  <si>
    <t xml:space="preserve">SME-028</t>
  </si>
  <si>
    <t xml:space="preserve">SME-029</t>
  </si>
  <si>
    <t xml:space="preserve">SME-030</t>
  </si>
  <si>
    <t xml:space="preserve">SME-031</t>
  </si>
  <si>
    <t xml:space="preserve">SME-032</t>
  </si>
  <si>
    <t xml:space="preserve">SME-033</t>
  </si>
  <si>
    <t xml:space="preserve">SME-034</t>
  </si>
  <si>
    <t xml:space="preserve">SME-035</t>
  </si>
  <si>
    <t xml:space="preserve">SME-036</t>
  </si>
  <si>
    <t xml:space="preserve">SME-037</t>
  </si>
  <si>
    <t xml:space="preserve">SME-038</t>
  </si>
  <si>
    <t xml:space="preserve">SME-039</t>
  </si>
  <si>
    <t xml:space="preserve">SME-040</t>
  </si>
  <si>
    <t xml:space="preserve">SME-041</t>
  </si>
  <si>
    <t xml:space="preserve">SME-042</t>
  </si>
  <si>
    <t xml:space="preserve">SME-043</t>
  </si>
  <si>
    <t xml:space="preserve">SME-044</t>
  </si>
  <si>
    <t xml:space="preserve">SME-045</t>
  </si>
  <si>
    <t xml:space="preserve">SME-046</t>
  </si>
  <si>
    <t xml:space="preserve">SME-047</t>
  </si>
  <si>
    <t xml:space="preserve">SME-048</t>
  </si>
  <si>
    <t xml:space="preserve">SME-049</t>
  </si>
  <si>
    <t xml:space="preserve">SME-050</t>
  </si>
  <si>
    <t xml:space="preserve">SME-051</t>
  </si>
  <si>
    <t xml:space="preserve">SME-052</t>
  </si>
  <si>
    <t xml:space="preserve">SME-053</t>
  </si>
  <si>
    <t xml:space="preserve">SME-054</t>
  </si>
  <si>
    <t xml:space="preserve">SME-055</t>
  </si>
  <si>
    <t xml:space="preserve">SME-056</t>
  </si>
  <si>
    <t xml:space="preserve">SME-057</t>
  </si>
  <si>
    <t xml:space="preserve">SME-058</t>
  </si>
  <si>
    <t xml:space="preserve">SME-059</t>
  </si>
  <si>
    <t xml:space="preserve">SME-060</t>
  </si>
  <si>
    <t xml:space="preserve">SME-061</t>
  </si>
  <si>
    <t xml:space="preserve">SME-062</t>
  </si>
  <si>
    <t xml:space="preserve">SME-063</t>
  </si>
  <si>
    <t xml:space="preserve">SME-064</t>
  </si>
  <si>
    <t xml:space="preserve">SME-065</t>
  </si>
  <si>
    <t xml:space="preserve">SME-066</t>
  </si>
  <si>
    <t xml:space="preserve">SME-067</t>
  </si>
  <si>
    <t xml:space="preserve">SME-068</t>
  </si>
  <si>
    <t xml:space="preserve">SME-069</t>
  </si>
  <si>
    <t xml:space="preserve">SME-070</t>
  </si>
  <si>
    <t xml:space="preserve">SME-071</t>
  </si>
  <si>
    <t xml:space="preserve">SME-072</t>
  </si>
  <si>
    <t xml:space="preserve">SME-073</t>
  </si>
  <si>
    <t xml:space="preserve">SME-074</t>
  </si>
  <si>
    <t xml:space="preserve">SME-075</t>
  </si>
  <si>
    <t xml:space="preserve">SME-076</t>
  </si>
  <si>
    <t xml:space="preserve">SME-077</t>
  </si>
  <si>
    <t xml:space="preserve">SME-078</t>
  </si>
  <si>
    <t xml:space="preserve">SME-079</t>
  </si>
  <si>
    <t xml:space="preserve">SME-080</t>
  </si>
  <si>
    <t xml:space="preserve">ACTIVITY &amp; CALENDAR LOG — every time-bound event. Daily instrument. Linked to the Registry by SME ID.</t>
  </si>
  <si>
    <t xml:space="preserve">Activity ID</t>
  </si>
  <si>
    <t xml:space="preserve">Event Type</t>
  </si>
  <si>
    <t xml:space="preserve">Owner</t>
  </si>
  <si>
    <t xml:space="preserve">Planned Date</t>
  </si>
  <si>
    <t xml:space="preserve">Actual Date</t>
  </si>
  <si>
    <t xml:space="preserve">Status</t>
  </si>
  <si>
    <t xml:space="preserve">Variance (days)</t>
  </si>
  <si>
    <t xml:space="preserve">Notes</t>
  </si>
  <si>
    <t xml:space="preserve">ACT-001</t>
  </si>
  <si>
    <t xml:space="preserve">Planned</t>
  </si>
  <si>
    <t xml:space="preserve">ACT-002</t>
  </si>
  <si>
    <t xml:space="preserve">Done</t>
  </si>
  <si>
    <t xml:space="preserve">ACT-003</t>
  </si>
  <si>
    <t xml:space="preserve">Missed</t>
  </si>
  <si>
    <t xml:space="preserve">ACT-004</t>
  </si>
  <si>
    <t xml:space="preserve">Field Visit</t>
  </si>
  <si>
    <t xml:space="preserve">ACT-005</t>
  </si>
  <si>
    <t xml:space="preserve">ACT-006</t>
  </si>
  <si>
    <t xml:space="preserve">RISK &amp; ISSUES REGISTER — the exception layer. Reads off live delivery data. Weekly review + immediate on red.</t>
  </si>
  <si>
    <t xml:space="preserve">Risk ID</t>
  </si>
  <si>
    <t xml:space="preserve">Risk Class</t>
  </si>
  <si>
    <t xml:space="preserve">Description</t>
  </si>
  <si>
    <t xml:space="preserve">Trigger Source</t>
  </si>
  <si>
    <t xml:space="preserve">Likelihood (1-5)</t>
  </si>
  <si>
    <t xml:space="preserve">Impact (1-5)</t>
  </si>
  <si>
    <t xml:space="preserve">Severity</t>
  </si>
  <si>
    <t xml:space="preserve">Severity RAG</t>
  </si>
  <si>
    <t xml:space="preserve">Date Raised</t>
  </si>
  <si>
    <t xml:space="preserve">Decision Right</t>
  </si>
  <si>
    <t xml:space="preserve">Mitigation / Action</t>
  </si>
  <si>
    <t xml:space="preserve">Date Closed</t>
  </si>
  <si>
    <t xml:space="preserve">Age (days)</t>
  </si>
  <si>
    <t xml:space="preserve">Escalated to PD</t>
  </si>
  <si>
    <t xml:space="preserve">RSK-001</t>
  </si>
  <si>
    <t xml:space="preserve">Performance</t>
  </si>
  <si>
    <t xml:space="preserve">Two consecutive coaching sessions missed; SME falling behind BDP.</t>
  </si>
  <si>
    <t xml:space="preserve">Adherence flag (4 missed)</t>
  </si>
  <si>
    <t xml:space="preserve">Coach recovery plan; reschedule 2 sessions this week.</t>
  </si>
  <si>
    <t xml:space="preserve">Open</t>
  </si>
  <si>
    <t xml:space="preserve">RSK-002</t>
  </si>
  <si>
    <t xml:space="preserve">Compliance</t>
  </si>
  <si>
    <t xml:space="preserve">Diagnostic not yet filed; BDP stage stalling on sign-off.</t>
  </si>
  <si>
    <t xml:space="preserve">Doc completeness 17%</t>
  </si>
  <si>
    <t xml:space="preserve">Chase diagnostic sign-off before month-end report.</t>
  </si>
  <si>
    <t xml:space="preserve">In Progress</t>
  </si>
  <si>
    <t xml:space="preserve">RSK-003</t>
  </si>
  <si>
    <t xml:space="preserve">PORTFOLIO</t>
  </si>
  <si>
    <t xml:space="preserve">Operational</t>
  </si>
  <si>
    <t xml:space="preserve">Coach headcount not confirmed; capacity model cannot be validated.</t>
  </si>
  <si>
    <t xml:space="preserve">Capacity model deficit</t>
  </si>
  <si>
    <t xml:space="preserve">Operations Mgr</t>
  </si>
  <si>
    <t xml:space="preserve">Confirm Coach/Enabler numbers with PD.</t>
  </si>
  <si>
    <t xml:space="preserve">RSK-004</t>
  </si>
  <si>
    <t xml:space="preserve">Security access delays in Kassala disrupting field cadence.</t>
  </si>
  <si>
    <t xml:space="preserve">Field regularity flag</t>
  </si>
  <si>
    <t xml:space="preserve">Cluster field visits; PD to liaise on access window.</t>
  </si>
  <si>
    <t xml:space="preserve">CAPACITY MODEL — does the delivery math close? Auto-flags an impossible model the moment headcount goes in.</t>
  </si>
  <si>
    <t xml:space="preserve">Supply (what the team can deliver over the window) vs Demand (what 80 SMEs require). Red = deficit. Fill Coaches/Enablers in Parameters to activate.</t>
  </si>
  <si>
    <t xml:space="preserve">Service line</t>
  </si>
  <si>
    <t xml:space="preserve">Supply (window)</t>
  </si>
  <si>
    <t xml:space="preserve">Demand (window)</t>
  </si>
  <si>
    <t xml:space="preserve">Balance</t>
  </si>
  <si>
    <t xml:space="preserve">Utilisation</t>
  </si>
  <si>
    <t xml:space="preserve">Verdict</t>
  </si>
  <si>
    <t xml:space="preserve">Diagnostics</t>
  </si>
  <si>
    <t xml:space="preserve">BDPs</t>
  </si>
  <si>
    <t xml:space="preserve">Coaching sessions</t>
  </si>
  <si>
    <t xml:space="preserve">Field visits</t>
  </si>
  <si>
    <t xml:space="preserve">Reading: any 'DEFICIT' line means the current headcount cannot deliver that service across 80 SMEs in the window. Raise headcount, reduce per-SME volume, or extend timeline — and surface it to the PD.</t>
  </si>
  <si>
    <t xml:space="preserve">KPI SCORECARD — the managerial control set. Computed live off the Registry &amp; Activity Log.</t>
  </si>
  <si>
    <t xml:space="preserve">Metric</t>
  </si>
  <si>
    <t xml:space="preserve">Value</t>
  </si>
  <si>
    <t xml:space="preserve">Target</t>
  </si>
  <si>
    <t xml:space="preserve">What it tells you</t>
  </si>
  <si>
    <t xml:space="preserve">Active SMEs (in cycle)</t>
  </si>
  <si>
    <t xml:space="preserve">Headline portfolio load.</t>
  </si>
  <si>
    <t xml:space="preserve">SMEs Complete</t>
  </si>
  <si>
    <t xml:space="preserve">—</t>
  </si>
  <si>
    <t xml:space="preserve">Throughput end-state.</t>
  </si>
  <si>
    <t xml:space="preserve">Stage progression rate (past Diagnostic)</t>
  </si>
  <si>
    <t xml:space="preserve">Share moved beyond diagnostic.</t>
  </si>
  <si>
    <t xml:space="preserve">Overdue cases (stage past cap)</t>
  </si>
  <si>
    <t xml:space="preserve">Direct red-flag count.</t>
  </si>
  <si>
    <t xml:space="preserve">Coaching adherence rate</t>
  </si>
  <si>
    <t xml:space="preserve">Sessions done vs scheduled.</t>
  </si>
  <si>
    <t xml:space="preserve">Field visit completion rate</t>
  </si>
  <si>
    <t xml:space="preserve">Field cadence control.</t>
  </si>
  <si>
    <t xml:space="preserve">BDP completion rate</t>
  </si>
  <si>
    <t xml:space="preserve">Approved BDPs across active SMEs.</t>
  </si>
  <si>
    <t xml:space="preserve">Avg documentation completeness</t>
  </si>
  <si>
    <t xml:space="preserve">Audit-readiness signal.</t>
  </si>
  <si>
    <t xml:space="preserve">Open risks (count)</t>
  </si>
  <si>
    <t xml:space="preserve">Active exception load.</t>
  </si>
  <si>
    <t xml:space="preserve">Red risks (count)</t>
  </si>
  <si>
    <t xml:space="preserve">Needs PD attention.</t>
  </si>
  <si>
    <t xml:space="preserve">Oldest open risk (days)</t>
  </si>
  <si>
    <t xml:space="preserve">&lt;30</t>
  </si>
  <si>
    <t xml:space="preserve">Risk aging — stale = bad.</t>
  </si>
  <si>
    <t xml:space="preserve">Avg grant utilisation</t>
  </si>
  <si>
    <t xml:space="preserve">Burn-rate health.</t>
  </si>
  <si>
    <t xml:space="preserve">WORKLOAD BY COACH  (type Coach names below; caseload counts auto-fill from the Registry)</t>
  </si>
  <si>
    <t xml:space="preserve">Coach name</t>
  </si>
  <si>
    <t xml:space="preserve">Active caseload</t>
  </si>
  <si>
    <t xml:space="preserve">Avg caseload</t>
  </si>
  <si>
    <t xml:space="preserve">Imbalance flag</t>
  </si>
  <si>
    <t xml:space="preserve">THABAT PP — EXECUTIVE DASHBOARD  (Project Director view)</t>
  </si>
  <si>
    <t xml:space="preserve">Status → variance → cause → action. Concise, decision-oriented. All figures auto-update from the Registry.</t>
  </si>
  <si>
    <t xml:space="preserve">ACTIVE SMEs</t>
  </si>
  <si>
    <t xml:space="preserve">COMPLETE</t>
  </si>
  <si>
    <t xml:space="preserve">OVERDUE CASES</t>
  </si>
  <si>
    <t xml:space="preserve">OPEN RISKS</t>
  </si>
  <si>
    <t xml:space="preserve">RED RISKS</t>
  </si>
  <si>
    <t xml:space="preserve">SMEs BY STAGE</t>
  </si>
  <si>
    <t xml:space="preserve">RAG DISTRIBUTION</t>
  </si>
  <si>
    <t xml:space="preserve">DECISIONS NEEDED FROM PD</t>
  </si>
  <si>
    <t xml:space="preserve">PIPELINE MOVEMENT</t>
  </si>
  <si>
    <t xml:space="preserve">SMEs BY STATE</t>
  </si>
  <si>
    <t xml:space="preserve">_stage</t>
  </si>
  <si>
    <t xml:space="preserve">GREEN</t>
  </si>
  <si>
    <t xml:space="preserve">Diagnostics filed</t>
  </si>
  <si>
    <t xml:space="preserve">BDPs filed</t>
  </si>
  <si>
    <t xml:space="preserve">In coaching</t>
  </si>
  <si>
    <t xml:space="preserve">In field follow-up</t>
  </si>
  <si>
    <t xml:space="preserve">THABAT PP — OPERATIONAL DASHBOARD  (your delivery cockpit)</t>
  </si>
  <si>
    <t xml:space="preserve">Detailed control view. Run the work from here: adherence, workload, documentation, overdue, live risks.</t>
  </si>
  <si>
    <t xml:space="preserve">STAGE PROGRESSION</t>
  </si>
  <si>
    <t xml:space="preserve">COACHING ADHERENCE</t>
  </si>
  <si>
    <t xml:space="preserve">FIELD COMPLETION</t>
  </si>
  <si>
    <t xml:space="preserve">BDP COMPLETION</t>
  </si>
  <si>
    <t xml:space="preserve">DOC COMPLETENESS</t>
  </si>
  <si>
    <t xml:space="preserve">WORKLOAD BY COACH</t>
  </si>
  <si>
    <t xml:space="preserve">Coach</t>
  </si>
  <si>
    <t xml:space="preserve">Caseload</t>
  </si>
  <si>
    <t xml:space="preserve">Flag</t>
  </si>
  <si>
    <t xml:space="preserve">DOCUMENTATION GAPS (missing = count of 'N' or blank)</t>
  </si>
  <si>
    <t xml:space="preserve">Document</t>
  </si>
  <si>
    <t xml:space="preserve">Missing</t>
  </si>
  <si>
    <t xml:space="preserve">Missing diagnostics</t>
  </si>
  <si>
    <t xml:space="preserve">Missing BDPs</t>
  </si>
  <si>
    <t xml:space="preserve">Missing coaching notes</t>
  </si>
  <si>
    <t xml:space="preserve">Missing field notes</t>
  </si>
  <si>
    <t xml:space="preserve">Missing compliance recs</t>
  </si>
  <si>
    <t xml:space="preserve">Missing approvals</t>
  </si>
  <si>
    <t xml:space="preserve">SCHEDULE ADHERENCE (from Activity &amp; Calendar Log)</t>
  </si>
  <si>
    <t xml:space="preserve">Coaching done</t>
  </si>
  <si>
    <t xml:space="preserve">Coaching missed</t>
  </si>
  <si>
    <t xml:space="preserve">Field done</t>
  </si>
  <si>
    <t xml:space="preserve">Overdue stages</t>
  </si>
  <si>
    <t xml:space="preserve">Planned (upcoming)</t>
  </si>
  <si>
    <t xml:space="preserve">Oldest open risk (d)</t>
  </si>
  <si>
    <t xml:space="preserve">LIVE OPEN RISKS (top of register)</t>
  </si>
  <si>
    <t xml:space="preserve">SME</t>
  </si>
  <si>
    <t xml:space="preserve">Class</t>
  </si>
  <si>
    <t xml:space="preserve">Age (d)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</si>
</sst>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%"/>
    <numFmt numFmtId="167" formatCode="\$#,##0"/>
    <numFmt numFmtId="168" formatCode="General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D9D9D9"/>
      </patternFill>
    </fill>
    <fill>
      <patternFill patternType="solid">
        <fgColor rgb="FFF4B6B6"/>
        <bgColor rgb="FFFF99CC"/>
      </patternFill>
    </fill>
    <fill>
      <patternFill patternType="solid">
        <fgColor rgb="FF404040"/>
        <bgColor rgb="FF555555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2E75B6"/>
      <rgbColor rgb="FF33CCCC"/>
      <rgbColor rgb="FF99CC00"/>
      <rgbColor rgb="FFFFCC00"/>
      <rgbColor rgb="FFFF9900"/>
      <rgbColor rgb="FFC55A11"/>
      <rgbColor rgb="FF4F81BD"/>
      <rgbColor rgb="FFB3B3B3"/>
      <rgbColor rgb="FF1F3864"/>
      <rgbColor rgb="FF339966"/>
      <rgbColor rgb="FF003300"/>
      <rgbColor rgb="FF555555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SMEs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— Executive'!$B$31:$B$36</c:f>
              <c:strCache>
                <c:ptCount val="6"/>
                <c:pt idx="0">
                  <c:v>Not Started</c:v>
                </c:pt>
                <c:pt idx="1">
                  <c:v>Diagnostic</c:v>
                </c:pt>
                <c:pt idx="2">
                  <c:v>Business Development Plan</c:v>
                </c:pt>
                <c:pt idx="3">
                  <c:v>Coaching</c:v>
                </c:pt>
                <c:pt idx="4">
                  <c:v>Field Follow-up</c:v>
                </c:pt>
                <c:pt idx="5">
                  <c:v>Complete</c:v>
                </c:pt>
              </c:strCache>
            </c:strRef>
          </c:cat>
          <c:val>
            <c:numRef>
              <c:f>'Dashboard — Executive'!$C$31:$C$36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92868217"/>
        <c:axId val="12098977"/>
      </c:barChart>
      <c:catAx>
        <c:axId val="92868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98977"/>
        <c:crosses val="autoZero"/>
        <c:auto val="1"/>
        <c:lblAlgn val="ctr"/>
        <c:lblOffset val="100"/>
        <c:noMultiLvlLbl val="0"/>
      </c:catAx>
      <c:valAx>
        <c:axId val="120989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68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6e0b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4b6b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'Dashboard — Executive'!$H$31:$H$33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'Dashboard — Executive'!$I$31:$I$33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— Executive'!$B$40:$B$44</c:f>
              <c:strCache>
                <c:ptCount val="5"/>
                <c:pt idx="0">
                  <c:v>Diagnostics filed</c:v>
                </c:pt>
                <c:pt idx="1">
                  <c:v>BDPs filed</c:v>
                </c:pt>
                <c:pt idx="2">
                  <c:v>In coaching</c:v>
                </c:pt>
                <c:pt idx="3">
                  <c:v>In field follow-up</c:v>
                </c:pt>
                <c:pt idx="4">
                  <c:v>Complete</c:v>
                </c:pt>
              </c:strCache>
            </c:strRef>
          </c:cat>
          <c:val>
            <c:numRef>
              <c:f>'Dashboard — Executive'!$C$40:$C$44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97391203"/>
        <c:axId val="50147100"/>
      </c:barChart>
      <c:catAx>
        <c:axId val="97391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47100"/>
        <c:crosses val="autoZero"/>
        <c:auto val="1"/>
        <c:lblAlgn val="ctr"/>
        <c:lblOffset val="100"/>
        <c:noMultiLvlLbl val="0"/>
      </c:catAx>
      <c:valAx>
        <c:axId val="50147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912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— Executive'!$E$31:$E$33</c:f>
              <c:strCache>
                <c:ptCount val="3"/>
                <c:pt idx="0">
                  <c:v>Kassala</c:v>
                </c:pt>
                <c:pt idx="1">
                  <c:v>River Nile</c:v>
                </c:pt>
                <c:pt idx="2">
                  <c:v>Northern</c:v>
                </c:pt>
              </c:strCache>
            </c:strRef>
          </c:cat>
          <c:val>
            <c:numRef>
              <c:f>'Dashboard — Executive'!$F$31:$F$33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28360645"/>
        <c:axId val="44704253"/>
      </c:barChart>
      <c:catAx>
        <c:axId val="28360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04253"/>
        <c:crosses val="autoZero"/>
        <c:auto val="1"/>
        <c:lblAlgn val="ctr"/>
        <c:lblOffset val="100"/>
        <c:noMultiLvlLbl val="0"/>
      </c:catAx>
      <c:valAx>
        <c:axId val="44704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606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caseload per Coach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— Operational'!$B$10:$B$17</c:f>
              <c:strCache>
                <c:ptCount val="8"/>
                <c:pt idx="0">
                  <c:v>Coach 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'Dashboard — Operational'!$C$10:$C$17</c:f>
              <c:numCache>
                <c:formatCode>General</c:formatCode>
                <c:ptCount val="8"/>
                <c:pt idx="0">
                  <c:v>3</c:v>
                </c:pt>
              </c:numCache>
            </c:numRef>
          </c:val>
        </c:ser>
        <c:gapWidth val="150"/>
        <c:overlap val="0"/>
        <c:axId val="57375208"/>
        <c:axId val="50694626"/>
      </c:barChart>
      <c:catAx>
        <c:axId val="5737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94626"/>
        <c:crosses val="autoZero"/>
        <c:auto val="1"/>
        <c:lblAlgn val="ctr"/>
        <c:lblOffset val="100"/>
        <c:noMultiLvlLbl val="0"/>
      </c:catAx>
      <c:valAx>
        <c:axId val="506946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75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Documentation gaps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— Operational'!$B$22:$B$27</c:f>
              <c:strCache>
                <c:ptCount val="6"/>
                <c:pt idx="0">
                  <c:v>Missing diagnostics</c:v>
                </c:pt>
                <c:pt idx="1">
                  <c:v>Missing BDPs</c:v>
                </c:pt>
                <c:pt idx="2">
                  <c:v>Missing coaching notes</c:v>
                </c:pt>
                <c:pt idx="3">
                  <c:v>Missing field notes</c:v>
                </c:pt>
                <c:pt idx="4">
                  <c:v>Missing compliance recs</c:v>
                </c:pt>
                <c:pt idx="5">
                  <c:v>Missing approvals</c:v>
                </c:pt>
              </c:strCache>
            </c:strRef>
          </c:cat>
          <c:val>
            <c:numRef>
              <c:f>'Dashboard — Operational'!$C$22:$C$27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13814164"/>
        <c:axId val="95700589"/>
      </c:barChart>
      <c:catAx>
        <c:axId val="13814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00589"/>
        <c:crosses val="autoZero"/>
        <c:auto val="1"/>
        <c:lblAlgn val="ctr"/>
        <c:lblOffset val="100"/>
        <c:noMultiLvlLbl val="0"/>
      </c:catAx>
      <c:valAx>
        <c:axId val="957005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141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1006560</xdr:colOff>
      <xdr:row>21</xdr:row>
      <xdr:rowOff>43200</xdr:rowOff>
    </xdr:to>
    <xdr:graphicFrame>
      <xdr:nvGraphicFramePr>
        <xdr:cNvPr id="0" name="Chart 1"/>
        <xdr:cNvGraphicFramePr/>
      </xdr:nvGraphicFramePr>
      <xdr:xfrm>
        <a:off x="211320" y="19242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9</xdr:col>
      <xdr:colOff>405000</xdr:colOff>
      <xdr:row>21</xdr:row>
      <xdr:rowOff>43200</xdr:rowOff>
    </xdr:to>
    <xdr:graphicFrame>
      <xdr:nvGraphicFramePr>
        <xdr:cNvPr id="1" name="Chart 2"/>
        <xdr:cNvGraphicFramePr/>
      </xdr:nvGraphicFramePr>
      <xdr:xfrm>
        <a:off x="6696000" y="1924200"/>
        <a:ext cx="25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4</xdr:col>
      <xdr:colOff>1006560</xdr:colOff>
      <xdr:row>36</xdr:row>
      <xdr:rowOff>53640</xdr:rowOff>
    </xdr:to>
    <xdr:graphicFrame>
      <xdr:nvGraphicFramePr>
        <xdr:cNvPr id="2" name="Chart 3"/>
        <xdr:cNvGraphicFramePr/>
      </xdr:nvGraphicFramePr>
      <xdr:xfrm>
        <a:off x="211320" y="502920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9</xdr:col>
      <xdr:colOff>405000</xdr:colOff>
      <xdr:row>36</xdr:row>
      <xdr:rowOff>53640</xdr:rowOff>
    </xdr:to>
    <xdr:graphicFrame>
      <xdr:nvGraphicFramePr>
        <xdr:cNvPr id="3" name="Chart 4"/>
        <xdr:cNvGraphicFramePr/>
      </xdr:nvGraphicFramePr>
      <xdr:xfrm>
        <a:off x="6696000" y="5029200"/>
        <a:ext cx="25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9</xdr:col>
      <xdr:colOff>858240</xdr:colOff>
      <xdr:row>19</xdr:row>
      <xdr:rowOff>53640</xdr:rowOff>
    </xdr:to>
    <xdr:graphicFrame>
      <xdr:nvGraphicFramePr>
        <xdr:cNvPr id="4" name="Chart 1"/>
        <xdr:cNvGraphicFramePr/>
      </xdr:nvGraphicFramePr>
      <xdr:xfrm>
        <a:off x="5709240" y="1733400"/>
        <a:ext cx="39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9</xdr:col>
      <xdr:colOff>858240</xdr:colOff>
      <xdr:row>31</xdr:row>
      <xdr:rowOff>53640</xdr:rowOff>
    </xdr:to>
    <xdr:graphicFrame>
      <xdr:nvGraphicFramePr>
        <xdr:cNvPr id="5" name="Chart 2"/>
        <xdr:cNvGraphicFramePr/>
      </xdr:nvGraphicFramePr>
      <xdr:xfrm>
        <a:off x="5709240" y="4019400"/>
        <a:ext cx="395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60"/>
  </cols>
  <sheetData>
    <row r="1" customFormat="false" ht="27.75" hidden="false" customHeight="true" outlineLevel="0" collapsed="false">
      <c r="B1" s="2" t="s">
        <v>0</v>
      </c>
      <c r="C1" s="2"/>
      <c r="D1" s="2"/>
    </row>
    <row r="2" customFormat="false" ht="30" hidden="false" customHeight="true" outlineLevel="0" collapsed="false">
      <c r="B2" s="3" t="s">
        <v>1</v>
      </c>
      <c r="C2" s="3"/>
      <c r="D2" s="3"/>
    </row>
    <row r="4" customFormat="false" ht="19.5" hidden="false" customHeight="true" outlineLevel="0" collapsed="false">
      <c r="B4" s="4" t="s">
        <v>2</v>
      </c>
      <c r="C4" s="4"/>
      <c r="D4" s="4"/>
    </row>
    <row r="5" customFormat="false" ht="23.25" hidden="false" customHeight="true" outlineLevel="0" collapsed="false">
      <c r="B5" s="5" t="s">
        <v>3</v>
      </c>
      <c r="C5" s="6" t="s">
        <v>4</v>
      </c>
    </row>
    <row r="6" customFormat="false" ht="15" hidden="false" customHeight="true" outlineLevel="0" collapsed="false">
      <c r="B6" s="5" t="s">
        <v>5</v>
      </c>
      <c r="C6" s="7" t="n">
        <v>46174</v>
      </c>
      <c r="D6" s="8" t="s">
        <v>6</v>
      </c>
    </row>
    <row r="7" customFormat="false" ht="15" hidden="false" customHeight="true" outlineLevel="0" collapsed="false">
      <c r="B7" s="5" t="s">
        <v>7</v>
      </c>
      <c r="C7" s="7" t="n">
        <v>46326</v>
      </c>
      <c r="D7" s="8" t="s">
        <v>8</v>
      </c>
    </row>
    <row r="8" customFormat="false" ht="15" hidden="false" customHeight="true" outlineLevel="0" collapsed="false">
      <c r="B8" s="5" t="s">
        <v>9</v>
      </c>
      <c r="C8" s="6" t="n">
        <f aca="false">ROUND((C7-C6)/7,0)</f>
        <v>22</v>
      </c>
      <c r="D8" s="8" t="s">
        <v>10</v>
      </c>
    </row>
    <row r="9" customFormat="false" ht="15" hidden="false" customHeight="true" outlineLevel="0" collapsed="false">
      <c r="B9" s="5" t="s">
        <v>11</v>
      </c>
      <c r="C9" s="9" t="n">
        <v>80</v>
      </c>
      <c r="D9" s="8" t="s">
        <v>12</v>
      </c>
    </row>
    <row r="10" customFormat="false" ht="15" hidden="false" customHeight="true" outlineLevel="0" collapsed="false">
      <c r="B10" s="5" t="s">
        <v>13</v>
      </c>
      <c r="C10" s="9"/>
      <c r="D10" s="8" t="s">
        <v>14</v>
      </c>
    </row>
    <row r="11" customFormat="false" ht="15" hidden="false" customHeight="true" outlineLevel="0" collapsed="false">
      <c r="B11" s="5" t="s">
        <v>15</v>
      </c>
      <c r="C11" s="9"/>
      <c r="D11" s="8" t="s">
        <v>16</v>
      </c>
    </row>
    <row r="13" customFormat="false" ht="19.5" hidden="false" customHeight="true" outlineLevel="0" collapsed="false">
      <c r="B13" s="4" t="s">
        <v>17</v>
      </c>
      <c r="C13" s="4"/>
      <c r="D13" s="4"/>
    </row>
    <row r="14" customFormat="false" ht="15" hidden="false" customHeight="true" outlineLevel="0" collapsed="false">
      <c r="B14" s="5" t="s">
        <v>18</v>
      </c>
      <c r="C14" s="9" t="n">
        <v>2</v>
      </c>
      <c r="D14" s="8" t="s">
        <v>19</v>
      </c>
    </row>
    <row r="15" customFormat="false" ht="15" hidden="false" customHeight="true" outlineLevel="0" collapsed="false">
      <c r="B15" s="5" t="s">
        <v>20</v>
      </c>
      <c r="C15" s="9" t="n">
        <v>3</v>
      </c>
      <c r="D15" s="8" t="s">
        <v>21</v>
      </c>
    </row>
    <row r="16" customFormat="false" ht="15" hidden="false" customHeight="true" outlineLevel="0" collapsed="false">
      <c r="B16" s="5" t="s">
        <v>22</v>
      </c>
      <c r="C16" s="10" t="n">
        <v>0.8</v>
      </c>
      <c r="D16" s="8" t="s">
        <v>23</v>
      </c>
    </row>
    <row r="17" customFormat="false" ht="15" hidden="false" customHeight="true" outlineLevel="0" collapsed="false">
      <c r="B17" s="5" t="s">
        <v>24</v>
      </c>
      <c r="C17" s="10" t="n">
        <v>1</v>
      </c>
      <c r="D17" s="8" t="s">
        <v>25</v>
      </c>
    </row>
    <row r="18" customFormat="false" ht="15" hidden="false" customHeight="true" outlineLevel="0" collapsed="false">
      <c r="B18" s="5" t="s">
        <v>26</v>
      </c>
      <c r="C18" s="10" t="n">
        <v>0.5</v>
      </c>
      <c r="D18" s="8" t="s">
        <v>27</v>
      </c>
    </row>
    <row r="19" customFormat="false" ht="15" hidden="false" customHeight="true" outlineLevel="0" collapsed="false">
      <c r="B19" s="5" t="s">
        <v>28</v>
      </c>
      <c r="C19" s="11" t="n">
        <v>46265</v>
      </c>
      <c r="D19" s="8" t="s">
        <v>29</v>
      </c>
    </row>
    <row r="20" customFormat="false" ht="15" hidden="false" customHeight="true" outlineLevel="0" collapsed="false">
      <c r="B20" s="5" t="s">
        <v>30</v>
      </c>
      <c r="C20" s="10" t="n">
        <v>0.8</v>
      </c>
      <c r="D20" s="8" t="s">
        <v>31</v>
      </c>
    </row>
    <row r="22" customFormat="false" ht="19.5" hidden="false" customHeight="true" outlineLevel="0" collapsed="false">
      <c r="B22" s="4" t="s">
        <v>32</v>
      </c>
      <c r="C22" s="4"/>
      <c r="D22" s="4"/>
    </row>
    <row r="23" customFormat="false" ht="15" hidden="false" customHeight="true" outlineLevel="0" collapsed="false">
      <c r="B23" s="5" t="s">
        <v>33</v>
      </c>
      <c r="C23" s="9" t="n">
        <v>3</v>
      </c>
    </row>
    <row r="24" customFormat="false" ht="15" hidden="false" customHeight="true" outlineLevel="0" collapsed="false">
      <c r="B24" s="5" t="s">
        <v>34</v>
      </c>
      <c r="C24" s="9" t="n">
        <v>2</v>
      </c>
    </row>
    <row r="25" customFormat="false" ht="15" hidden="false" customHeight="true" outlineLevel="0" collapsed="false">
      <c r="B25" s="5" t="s">
        <v>35</v>
      </c>
      <c r="C25" s="9" t="n">
        <v>10</v>
      </c>
    </row>
    <row r="26" customFormat="false" ht="15" hidden="false" customHeight="true" outlineLevel="0" collapsed="false">
      <c r="B26" s="5" t="s">
        <v>36</v>
      </c>
      <c r="C26" s="9" t="n">
        <v>8</v>
      </c>
    </row>
    <row r="28" customFormat="false" ht="19.5" hidden="false" customHeight="true" outlineLevel="0" collapsed="false">
      <c r="B28" s="4" t="s">
        <v>37</v>
      </c>
      <c r="C28" s="4"/>
      <c r="D28" s="4"/>
    </row>
    <row r="29" customFormat="false" ht="15" hidden="false" customHeight="true" outlineLevel="0" collapsed="false">
      <c r="B29" s="5" t="s">
        <v>38</v>
      </c>
      <c r="C29" s="9" t="n">
        <v>1</v>
      </c>
    </row>
    <row r="30" customFormat="false" ht="15" hidden="false" customHeight="true" outlineLevel="0" collapsed="false">
      <c r="B30" s="5" t="s">
        <v>39</v>
      </c>
      <c r="C30" s="9" t="n">
        <v>1</v>
      </c>
    </row>
    <row r="31" customFormat="false" ht="15" hidden="false" customHeight="true" outlineLevel="0" collapsed="false">
      <c r="B31" s="5" t="s">
        <v>40</v>
      </c>
      <c r="C31" s="9" t="n">
        <v>12</v>
      </c>
      <c r="D31" s="8" t="s">
        <v>41</v>
      </c>
    </row>
    <row r="32" customFormat="false" ht="15" hidden="false" customHeight="true" outlineLevel="0" collapsed="false">
      <c r="B32" s="5" t="s">
        <v>42</v>
      </c>
      <c r="C32" s="9" t="n">
        <v>4</v>
      </c>
    </row>
    <row r="34" customFormat="false" ht="19.5" hidden="false" customHeight="true" outlineLevel="0" collapsed="false">
      <c r="B34" s="4" t="s">
        <v>43</v>
      </c>
      <c r="C34" s="4"/>
      <c r="D34" s="4"/>
    </row>
    <row r="35" customFormat="false" ht="21.75" hidden="false" customHeight="true" outlineLevel="0" collapsed="false">
      <c r="B35" s="5" t="s">
        <v>44</v>
      </c>
      <c r="C35" s="9" t="s">
        <v>45</v>
      </c>
      <c r="D35" s="8" t="s">
        <v>46</v>
      </c>
    </row>
  </sheetData>
  <mergeCells count="7">
    <mergeCell ref="B1:D1"/>
    <mergeCell ref="B2:D2"/>
    <mergeCell ref="B4:D4"/>
    <mergeCell ref="B13:D13"/>
    <mergeCell ref="B22:D22"/>
    <mergeCell ref="B28:D28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34"/>
    <col collapsed="false" customWidth="true" hidden="false" outlineLevel="0" max="7" min="7" style="1" width="18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47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12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2" t="s">
        <v>53</v>
      </c>
      <c r="G2" s="12" t="s">
        <v>54</v>
      </c>
      <c r="H2" s="12" t="s">
        <v>55</v>
      </c>
    </row>
    <row r="3" customFormat="false" ht="57.75" hidden="false" customHeight="true" outlineLevel="0" collapsed="false">
      <c r="A3" s="13" t="s">
        <v>56</v>
      </c>
      <c r="B3" s="6" t="n">
        <v>0</v>
      </c>
      <c r="C3" s="14" t="s">
        <v>57</v>
      </c>
      <c r="D3" s="14" t="s">
        <v>58</v>
      </c>
      <c r="E3" s="6"/>
      <c r="F3" s="14" t="s">
        <v>59</v>
      </c>
      <c r="G3" s="6" t="s">
        <v>60</v>
      </c>
      <c r="H3" s="6" t="s">
        <v>61</v>
      </c>
    </row>
    <row r="4" customFormat="false" ht="57.75" hidden="false" customHeight="true" outlineLevel="0" collapsed="false">
      <c r="A4" s="13" t="s">
        <v>62</v>
      </c>
      <c r="B4" s="6" t="n">
        <v>1</v>
      </c>
      <c r="C4" s="14" t="s">
        <v>63</v>
      </c>
      <c r="D4" s="14" t="s">
        <v>64</v>
      </c>
      <c r="E4" s="6" t="n">
        <v>14</v>
      </c>
      <c r="F4" s="14" t="s">
        <v>65</v>
      </c>
      <c r="G4" s="6" t="s">
        <v>66</v>
      </c>
      <c r="H4" s="6" t="s">
        <v>67</v>
      </c>
    </row>
    <row r="5" customFormat="false" ht="57.75" hidden="false" customHeight="true" outlineLevel="0" collapsed="false">
      <c r="A5" s="13" t="s">
        <v>68</v>
      </c>
      <c r="B5" s="6" t="n">
        <v>2</v>
      </c>
      <c r="C5" s="14" t="s">
        <v>69</v>
      </c>
      <c r="D5" s="14" t="s">
        <v>70</v>
      </c>
      <c r="E5" s="6" t="n">
        <v>21</v>
      </c>
      <c r="F5" s="14" t="s">
        <v>71</v>
      </c>
      <c r="G5" s="6" t="s">
        <v>66</v>
      </c>
      <c r="H5" s="6" t="s">
        <v>72</v>
      </c>
    </row>
    <row r="6" customFormat="false" ht="57.75" hidden="false" customHeight="true" outlineLevel="0" collapsed="false">
      <c r="A6" s="13" t="s">
        <v>73</v>
      </c>
      <c r="B6" s="6" t="n">
        <v>3</v>
      </c>
      <c r="C6" s="14" t="s">
        <v>74</v>
      </c>
      <c r="D6" s="14" t="s">
        <v>75</v>
      </c>
      <c r="E6" s="6" t="n">
        <v>70</v>
      </c>
      <c r="F6" s="14" t="s">
        <v>76</v>
      </c>
      <c r="G6" s="6" t="s">
        <v>66</v>
      </c>
      <c r="H6" s="6" t="s">
        <v>77</v>
      </c>
    </row>
    <row r="7" customFormat="false" ht="57.75" hidden="false" customHeight="true" outlineLevel="0" collapsed="false">
      <c r="A7" s="13" t="s">
        <v>78</v>
      </c>
      <c r="B7" s="6" t="n">
        <v>4</v>
      </c>
      <c r="C7" s="14" t="s">
        <v>79</v>
      </c>
      <c r="D7" s="14" t="s">
        <v>80</v>
      </c>
      <c r="E7" s="6" t="n">
        <v>21</v>
      </c>
      <c r="F7" s="14" t="s">
        <v>81</v>
      </c>
      <c r="G7" s="6" t="s">
        <v>82</v>
      </c>
      <c r="H7" s="6" t="s">
        <v>83</v>
      </c>
    </row>
    <row r="8" customFormat="false" ht="57.75" hidden="false" customHeight="true" outlineLevel="0" collapsed="false">
      <c r="A8" s="13" t="s">
        <v>84</v>
      </c>
      <c r="B8" s="6" t="n">
        <v>5</v>
      </c>
      <c r="C8" s="14" t="s">
        <v>85</v>
      </c>
      <c r="D8" s="14" t="s">
        <v>86</v>
      </c>
      <c r="E8" s="6"/>
      <c r="F8" s="14" t="s">
        <v>87</v>
      </c>
      <c r="G8" s="6" t="s">
        <v>60</v>
      </c>
      <c r="H8" s="6" t="s">
        <v>88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6"/>
  </cols>
  <sheetData>
    <row r="1" customFormat="false" ht="25.5" hidden="false" customHeight="true" outlineLevel="0" collapsed="false">
      <c r="A1" s="2" t="s">
        <v>89</v>
      </c>
      <c r="B1" s="2"/>
      <c r="C1" s="2"/>
      <c r="D1" s="2"/>
      <c r="E1" s="2"/>
    </row>
    <row r="2" customFormat="false" ht="24" hidden="false" customHeight="true" outlineLevel="0" collapsed="false">
      <c r="A2" s="3" t="s">
        <v>90</v>
      </c>
      <c r="B2" s="3"/>
      <c r="C2" s="3"/>
      <c r="D2" s="3"/>
      <c r="E2" s="3"/>
    </row>
    <row r="3" customFormat="false" ht="15" hidden="false" customHeight="true" outlineLevel="0" collapsed="false">
      <c r="A3" s="4" t="s">
        <v>91</v>
      </c>
      <c r="B3" s="4"/>
      <c r="C3" s="4"/>
      <c r="D3" s="4"/>
      <c r="E3" s="4"/>
    </row>
    <row r="4" customFormat="false" ht="30" hidden="false" customHeight="true" outlineLevel="0" collapsed="false">
      <c r="A4" s="12" t="s">
        <v>92</v>
      </c>
      <c r="B4" s="12" t="s">
        <v>93</v>
      </c>
      <c r="C4" s="12" t="s">
        <v>94</v>
      </c>
      <c r="D4" s="12" t="s">
        <v>95</v>
      </c>
      <c r="E4" s="12" t="s">
        <v>96</v>
      </c>
    </row>
    <row r="5" customFormat="false" ht="30" hidden="false" customHeight="true" outlineLevel="0" collapsed="false">
      <c r="A5" s="14" t="s">
        <v>97</v>
      </c>
      <c r="B5" s="15" t="s">
        <v>98</v>
      </c>
      <c r="C5" s="6"/>
      <c r="D5" s="6"/>
      <c r="E5" s="14" t="s">
        <v>99</v>
      </c>
    </row>
    <row r="6" customFormat="false" ht="30" hidden="false" customHeight="true" outlineLevel="0" collapsed="false">
      <c r="A6" s="14" t="s">
        <v>100</v>
      </c>
      <c r="B6" s="15" t="s">
        <v>98</v>
      </c>
      <c r="C6" s="6"/>
      <c r="D6" s="6"/>
      <c r="E6" s="14" t="s">
        <v>101</v>
      </c>
    </row>
    <row r="7" customFormat="false" ht="30" hidden="false" customHeight="true" outlineLevel="0" collapsed="false">
      <c r="A7" s="14" t="s">
        <v>102</v>
      </c>
      <c r="B7" s="6"/>
      <c r="C7" s="16" t="s">
        <v>98</v>
      </c>
      <c r="D7" s="6"/>
      <c r="E7" s="14" t="s">
        <v>103</v>
      </c>
    </row>
    <row r="8" customFormat="false" ht="30" hidden="false" customHeight="true" outlineLevel="0" collapsed="false">
      <c r="A8" s="14" t="s">
        <v>104</v>
      </c>
      <c r="B8" s="6"/>
      <c r="C8" s="6"/>
      <c r="D8" s="17" t="s">
        <v>98</v>
      </c>
      <c r="E8" s="14" t="s">
        <v>105</v>
      </c>
    </row>
    <row r="9" customFormat="false" ht="30" hidden="false" customHeight="true" outlineLevel="0" collapsed="false">
      <c r="A9" s="14" t="s">
        <v>106</v>
      </c>
      <c r="B9" s="15" t="s">
        <v>98</v>
      </c>
      <c r="C9" s="6"/>
      <c r="D9" s="6"/>
      <c r="E9" s="14" t="s">
        <v>107</v>
      </c>
    </row>
    <row r="10" customFormat="false" ht="30" hidden="false" customHeight="true" outlineLevel="0" collapsed="false">
      <c r="A10" s="14" t="s">
        <v>108</v>
      </c>
      <c r="B10" s="6"/>
      <c r="C10" s="6"/>
      <c r="D10" s="17" t="s">
        <v>98</v>
      </c>
      <c r="E10" s="14" t="s">
        <v>109</v>
      </c>
    </row>
    <row r="11" customFormat="false" ht="30" hidden="false" customHeight="true" outlineLevel="0" collapsed="false">
      <c r="A11" s="14" t="s">
        <v>110</v>
      </c>
      <c r="B11" s="6"/>
      <c r="C11" s="6"/>
      <c r="D11" s="17" t="s">
        <v>98</v>
      </c>
      <c r="E11" s="14" t="s">
        <v>111</v>
      </c>
    </row>
    <row r="12" customFormat="false" ht="30" hidden="false" customHeight="true" outlineLevel="0" collapsed="false">
      <c r="A12" s="14" t="s">
        <v>112</v>
      </c>
      <c r="B12" s="6"/>
      <c r="C12" s="16" t="s">
        <v>98</v>
      </c>
      <c r="D12" s="17" t="s">
        <v>98</v>
      </c>
      <c r="E12" s="14" t="s">
        <v>113</v>
      </c>
    </row>
    <row r="13" customFormat="false" ht="30" hidden="false" customHeight="true" outlineLevel="0" collapsed="false">
      <c r="A13" s="14" t="s">
        <v>114</v>
      </c>
      <c r="B13" s="6"/>
      <c r="C13" s="16" t="s">
        <v>98</v>
      </c>
      <c r="D13" s="6"/>
      <c r="E13" s="14" t="s">
        <v>115</v>
      </c>
    </row>
    <row r="14" customFormat="false" ht="30" hidden="false" customHeight="true" outlineLevel="0" collapsed="false">
      <c r="A14" s="14" t="s">
        <v>116</v>
      </c>
      <c r="B14" s="6"/>
      <c r="C14" s="6"/>
      <c r="D14" s="17" t="s">
        <v>98</v>
      </c>
      <c r="E14" s="14" t="s">
        <v>117</v>
      </c>
    </row>
    <row r="16" customFormat="false" ht="15" hidden="false" customHeight="true" outlineLevel="0" collapsed="false">
      <c r="A16" s="4" t="s">
        <v>118</v>
      </c>
      <c r="B16" s="4"/>
      <c r="C16" s="4"/>
      <c r="D16" s="4"/>
      <c r="E16" s="4"/>
    </row>
    <row r="17" customFormat="false" ht="30" hidden="false" customHeight="true" outlineLevel="0" collapsed="false">
      <c r="A17" s="12" t="s">
        <v>119</v>
      </c>
      <c r="B17" s="12" t="s">
        <v>120</v>
      </c>
      <c r="C17" s="12" t="s">
        <v>121</v>
      </c>
      <c r="D17" s="12" t="s">
        <v>122</v>
      </c>
      <c r="E17" s="12" t="s">
        <v>123</v>
      </c>
    </row>
    <row r="18" customFormat="false" ht="30" hidden="false" customHeight="true" outlineLevel="0" collapsed="false">
      <c r="A18" s="14" t="s">
        <v>124</v>
      </c>
      <c r="B18" s="14" t="s">
        <v>125</v>
      </c>
      <c r="C18" s="18" t="s">
        <v>126</v>
      </c>
      <c r="D18" s="14" t="s">
        <v>127</v>
      </c>
      <c r="E18" s="14" t="s">
        <v>128</v>
      </c>
    </row>
    <row r="19" customFormat="false" ht="30" hidden="false" customHeight="true" outlineLevel="0" collapsed="false">
      <c r="A19" s="14" t="s">
        <v>124</v>
      </c>
      <c r="B19" s="14" t="s">
        <v>129</v>
      </c>
      <c r="C19" s="19" t="s">
        <v>130</v>
      </c>
      <c r="D19" s="14" t="s">
        <v>131</v>
      </c>
      <c r="E19" s="14" t="s">
        <v>132</v>
      </c>
    </row>
    <row r="20" customFormat="false" ht="30" hidden="false" customHeight="true" outlineLevel="0" collapsed="false">
      <c r="A20" s="14" t="s">
        <v>133</v>
      </c>
      <c r="B20" s="14" t="s">
        <v>134</v>
      </c>
      <c r="C20" s="18" t="s">
        <v>126</v>
      </c>
      <c r="D20" s="14" t="s">
        <v>135</v>
      </c>
      <c r="E20" s="14" t="s">
        <v>136</v>
      </c>
    </row>
    <row r="21" customFormat="false" ht="30" hidden="false" customHeight="true" outlineLevel="0" collapsed="false">
      <c r="A21" s="14" t="s">
        <v>133</v>
      </c>
      <c r="B21" s="14" t="s">
        <v>137</v>
      </c>
      <c r="C21" s="19" t="s">
        <v>130</v>
      </c>
      <c r="D21" s="14" t="s">
        <v>138</v>
      </c>
      <c r="E21" s="14" t="s">
        <v>132</v>
      </c>
    </row>
    <row r="22" customFormat="false" ht="30" hidden="false" customHeight="true" outlineLevel="0" collapsed="false">
      <c r="A22" s="14" t="s">
        <v>139</v>
      </c>
      <c r="B22" s="14" t="s">
        <v>140</v>
      </c>
      <c r="C22" s="19" t="s">
        <v>130</v>
      </c>
      <c r="D22" s="14" t="s">
        <v>141</v>
      </c>
      <c r="E22" s="14" t="s">
        <v>132</v>
      </c>
    </row>
    <row r="23" customFormat="false" ht="30" hidden="false" customHeight="true" outlineLevel="0" collapsed="false">
      <c r="A23" s="14" t="s">
        <v>142</v>
      </c>
      <c r="B23" s="14" t="s">
        <v>143</v>
      </c>
      <c r="C23" s="18" t="s">
        <v>126</v>
      </c>
      <c r="D23" s="14" t="s">
        <v>144</v>
      </c>
      <c r="E23" s="14" t="s">
        <v>136</v>
      </c>
    </row>
    <row r="24" customFormat="false" ht="30" hidden="false" customHeight="true" outlineLevel="0" collapsed="false">
      <c r="A24" s="14" t="s">
        <v>145</v>
      </c>
      <c r="B24" s="14" t="s">
        <v>146</v>
      </c>
      <c r="C24" s="19" t="s">
        <v>130</v>
      </c>
      <c r="D24" s="14" t="s">
        <v>147</v>
      </c>
      <c r="E24" s="14" t="s">
        <v>132</v>
      </c>
    </row>
  </sheetData>
  <mergeCells count="4">
    <mergeCell ref="A1:E1"/>
    <mergeCell ref="A2:E2"/>
    <mergeCell ref="A3:E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1" max="18" min="7" style="1" width="18"/>
    <col collapsed="false" customWidth="true" hidden="false" outlineLevel="1" max="25" min="19" style="1" width="10"/>
    <col collapsed="false" customWidth="true" hidden="false" outlineLevel="1" max="31" min="26" style="1" width="13"/>
    <col collapsed="false" customWidth="true" hidden="false" outlineLevel="0" max="32" min="32" style="1" width="12"/>
    <col collapsed="false" customWidth="true" hidden="false" outlineLevel="0" max="33" min="33" style="1" width="9"/>
  </cols>
  <sheetData>
    <row r="1" customFormat="false" ht="18" hidden="false" customHeight="true" outlineLevel="0" collapsed="false">
      <c r="A1" s="20" t="s">
        <v>148</v>
      </c>
      <c r="B1" s="20"/>
      <c r="C1" s="20"/>
      <c r="D1" s="20"/>
      <c r="E1" s="20"/>
      <c r="F1" s="20"/>
      <c r="G1" s="21" t="s">
        <v>149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 t="s">
        <v>150</v>
      </c>
      <c r="T1" s="22"/>
      <c r="U1" s="22"/>
      <c r="V1" s="22"/>
      <c r="W1" s="22"/>
      <c r="X1" s="22"/>
      <c r="Y1" s="22"/>
      <c r="Z1" s="23" t="s">
        <v>151</v>
      </c>
      <c r="AA1" s="23"/>
      <c r="AB1" s="23"/>
      <c r="AC1" s="23"/>
      <c r="AD1" s="23"/>
      <c r="AE1" s="23"/>
      <c r="AF1" s="20" t="s">
        <v>152</v>
      </c>
      <c r="AG1" s="20"/>
    </row>
    <row r="2" customFormat="false" ht="33.75" hidden="false" customHeight="true" outlineLevel="0" collapsed="false">
      <c r="A2" s="12" t="s">
        <v>153</v>
      </c>
      <c r="B2" s="12" t="s">
        <v>154</v>
      </c>
      <c r="C2" s="12" t="s">
        <v>155</v>
      </c>
      <c r="D2" s="12" t="s">
        <v>156</v>
      </c>
      <c r="E2" s="12" t="s">
        <v>157</v>
      </c>
      <c r="F2" s="12" t="s">
        <v>158</v>
      </c>
      <c r="G2" s="12" t="s">
        <v>159</v>
      </c>
      <c r="H2" s="12" t="s">
        <v>160</v>
      </c>
      <c r="I2" s="12" t="s">
        <v>161</v>
      </c>
      <c r="J2" s="12" t="s">
        <v>162</v>
      </c>
      <c r="K2" s="12" t="s">
        <v>163</v>
      </c>
      <c r="L2" s="12" t="s">
        <v>164</v>
      </c>
      <c r="M2" s="12" t="s">
        <v>165</v>
      </c>
      <c r="N2" s="12" t="s">
        <v>166</v>
      </c>
      <c r="O2" s="12" t="s">
        <v>167</v>
      </c>
      <c r="P2" s="12" t="s">
        <v>168</v>
      </c>
      <c r="Q2" s="12" t="s">
        <v>169</v>
      </c>
      <c r="R2" s="12" t="s">
        <v>170</v>
      </c>
      <c r="S2" s="12" t="s">
        <v>171</v>
      </c>
      <c r="T2" s="12" t="s">
        <v>172</v>
      </c>
      <c r="U2" s="12" t="s">
        <v>173</v>
      </c>
      <c r="V2" s="12" t="s">
        <v>174</v>
      </c>
      <c r="W2" s="12" t="s">
        <v>175</v>
      </c>
      <c r="X2" s="12" t="s">
        <v>176</v>
      </c>
      <c r="Y2" s="12" t="s">
        <v>177</v>
      </c>
      <c r="Z2" s="12" t="s">
        <v>178</v>
      </c>
      <c r="AA2" s="12" t="s">
        <v>179</v>
      </c>
      <c r="AB2" s="12" t="s">
        <v>180</v>
      </c>
      <c r="AC2" s="12" t="s">
        <v>181</v>
      </c>
      <c r="AD2" s="12" t="s">
        <v>182</v>
      </c>
      <c r="AE2" s="12" t="s">
        <v>183</v>
      </c>
      <c r="AF2" s="12" t="s">
        <v>184</v>
      </c>
      <c r="AG2" s="12" t="s">
        <v>185</v>
      </c>
    </row>
    <row r="3" customFormat="false" ht="23.25" hidden="false" customHeight="true" outlineLevel="0" collapsed="false">
      <c r="A3" s="6" t="s">
        <v>186</v>
      </c>
      <c r="B3" s="24" t="s">
        <v>187</v>
      </c>
      <c r="C3" s="6" t="s">
        <v>188</v>
      </c>
      <c r="D3" s="6" t="s">
        <v>189</v>
      </c>
      <c r="E3" s="6" t="s">
        <v>190</v>
      </c>
      <c r="F3" s="6" t="s">
        <v>191</v>
      </c>
      <c r="G3" s="6" t="s">
        <v>73</v>
      </c>
      <c r="H3" s="25" t="n">
        <v>46188</v>
      </c>
      <c r="I3" s="6" t="n">
        <f aca="false">IFERROR(VLOOKUP(G3,'Stage-Gate Definitions'!$A$3:$E$8,5,0),"")</f>
        <v>70</v>
      </c>
      <c r="J3" s="6" t="n">
        <f aca="true">IF(OR(H3="",G3="Complete",G3=""),"",TODAY()-H3)</f>
        <v>-7</v>
      </c>
      <c r="K3" s="6" t="str">
        <f aca="false">IF(OR(J3="",I3=""),"",IF(J3&gt;I3,"YES",""))</f>
        <v/>
      </c>
      <c r="L3" s="25" t="n">
        <v>46213</v>
      </c>
      <c r="M3" s="6" t="n">
        <v>2</v>
      </c>
      <c r="N3" s="25" t="n">
        <v>46235</v>
      </c>
      <c r="O3" s="24" t="s">
        <v>192</v>
      </c>
      <c r="P3" s="25" t="n">
        <v>46246</v>
      </c>
      <c r="Q3" s="24" t="s">
        <v>193</v>
      </c>
      <c r="R3" s="25" t="n">
        <v>46239</v>
      </c>
      <c r="S3" s="6" t="s">
        <v>194</v>
      </c>
      <c r="T3" s="6" t="s">
        <v>194</v>
      </c>
      <c r="U3" s="6" t="s">
        <v>194</v>
      </c>
      <c r="V3" s="6" t="s">
        <v>195</v>
      </c>
      <c r="W3" s="6" t="s">
        <v>194</v>
      </c>
      <c r="X3" s="6" t="s">
        <v>195</v>
      </c>
      <c r="Y3" s="26" t="n">
        <f aca="false">IF(COUNTA(S3:X3)=0,"",COUNTIF(S3:X3,"Y")/6)</f>
        <v>0.666666666666667</v>
      </c>
      <c r="Z3" s="27" t="n">
        <v>12000</v>
      </c>
      <c r="AA3" s="25" t="n">
        <v>46162</v>
      </c>
      <c r="AB3" s="27" t="n">
        <v>5200</v>
      </c>
      <c r="AC3" s="26" t="n">
        <f aca="false">IF(OR(Z3="",Z3=0),"",AB3/Z3)</f>
        <v>0.433333333333333</v>
      </c>
      <c r="AD3" s="6" t="str">
        <f aca="true">IF(AC3="","",IF(AND(TODAY()&gt;=Parameters!$C$19,AC3&lt;Parameters!$C$18),"BELOW FLOOR",""))</f>
        <v/>
      </c>
      <c r="AE3" s="6" t="s">
        <v>196</v>
      </c>
      <c r="AF3" s="13" t="str">
        <f aca="false">IF(G3="","",IF(OR(K3="YES",N(M3)&gt;=Parameters!$C$15,AD3="BELOW FLOOR",AE3="At Risk"),"RED",IF(OR(N(M3)&gt;=Parameters!$C$14,AND(J3&lt;&gt;"",I3&lt;&gt;"",J3&gt;=I3*Parameters!$C$16),AND(Y3&lt;&gt;"",Y3&lt;Parameters!$C$20),AE3="Gap"),"AMBER","GREEN")))</f>
        <v>AMBER</v>
      </c>
      <c r="AG3" s="6" t="n">
        <f aca="false">COUNTIFS('Risk &amp; Issues Register'!$B$3:$B$200,A3,'Risk &amp; Issues Register'!$N$3:$N$200,"&lt;&gt;Closed")</f>
        <v>0</v>
      </c>
    </row>
    <row r="4" customFormat="false" ht="23.25" hidden="false" customHeight="true" outlineLevel="0" collapsed="false">
      <c r="A4" s="6" t="s">
        <v>197</v>
      </c>
      <c r="B4" s="24" t="s">
        <v>198</v>
      </c>
      <c r="C4" s="6" t="s">
        <v>199</v>
      </c>
      <c r="D4" s="6" t="s">
        <v>200</v>
      </c>
      <c r="E4" s="6" t="s">
        <v>201</v>
      </c>
      <c r="F4" s="6" t="s">
        <v>202</v>
      </c>
      <c r="G4" s="6" t="s">
        <v>68</v>
      </c>
      <c r="H4" s="25" t="n">
        <v>46204</v>
      </c>
      <c r="I4" s="6" t="n">
        <f aca="false">IFERROR(VLOOKUP(G4,'Stage-Gate Definitions'!$A$3:$E$8,5,0),"")</f>
        <v>21</v>
      </c>
      <c r="J4" s="6" t="n">
        <f aca="true">IF(OR(H4="",G4="Complete",G4=""),"",TODAY()-H4)</f>
        <v>-23</v>
      </c>
      <c r="K4" s="6" t="str">
        <f aca="false">IF(OR(J4="",I4=""),"",IF(J4&gt;I4,"YES",""))</f>
        <v/>
      </c>
      <c r="L4" s="25"/>
      <c r="M4" s="6" t="n">
        <v>0</v>
      </c>
      <c r="N4" s="25"/>
      <c r="O4" s="24" t="s">
        <v>203</v>
      </c>
      <c r="P4" s="25" t="n">
        <v>46244</v>
      </c>
      <c r="Q4" s="24" t="s">
        <v>204</v>
      </c>
      <c r="R4" s="25" t="n">
        <v>46238</v>
      </c>
      <c r="S4" s="6" t="s">
        <v>194</v>
      </c>
      <c r="T4" s="6" t="s">
        <v>195</v>
      </c>
      <c r="U4" s="6" t="s">
        <v>195</v>
      </c>
      <c r="V4" s="6" t="s">
        <v>195</v>
      </c>
      <c r="W4" s="6" t="s">
        <v>195</v>
      </c>
      <c r="X4" s="6" t="s">
        <v>195</v>
      </c>
      <c r="Y4" s="26" t="n">
        <f aca="false">IF(COUNTA(S4:X4)=0,"",COUNTIF(S4:X4,"Y")/6)</f>
        <v>0.166666666666667</v>
      </c>
      <c r="Z4" s="27" t="n">
        <v>18000</v>
      </c>
      <c r="AA4" s="25" t="n">
        <v>46164</v>
      </c>
      <c r="AB4" s="27" t="n">
        <v>1500</v>
      </c>
      <c r="AC4" s="26" t="n">
        <f aca="false">IF(OR(Z4="",Z4=0),"",AB4/Z4)</f>
        <v>0.0833333333333333</v>
      </c>
      <c r="AD4" s="6" t="str">
        <f aca="true">IF(AC4="","",IF(AND(TODAY()&gt;=Parameters!$C$19,AC4&lt;Parameters!$C$18),"BELOW FLOOR",""))</f>
        <v/>
      </c>
      <c r="AE4" s="6" t="s">
        <v>205</v>
      </c>
      <c r="AF4" s="13" t="str">
        <f aca="false">IF(G4="","",IF(OR(K4="YES",N(M4)&gt;=Parameters!$C$15,AD4="BELOW FLOOR",AE4="At Risk"),"RED",IF(OR(N(M4)&gt;=Parameters!$C$14,AND(J4&lt;&gt;"",I4&lt;&gt;"",J4&gt;=I4*Parameters!$C$16),AND(Y4&lt;&gt;"",Y4&lt;Parameters!$C$20),AE4="Gap"),"AMBER","GREEN")))</f>
        <v>AMBER</v>
      </c>
      <c r="AG4" s="6" t="n">
        <f aca="false">COUNTIFS('Risk &amp; Issues Register'!$B$3:$B$200,A4,'Risk &amp; Issues Register'!$N$3:$N$200,"&lt;&gt;Closed")</f>
        <v>1</v>
      </c>
    </row>
    <row r="5" customFormat="false" ht="23.25" hidden="false" customHeight="true" outlineLevel="0" collapsed="false">
      <c r="A5" s="6" t="s">
        <v>206</v>
      </c>
      <c r="B5" s="24" t="s">
        <v>207</v>
      </c>
      <c r="C5" s="6" t="s">
        <v>199</v>
      </c>
      <c r="D5" s="6" t="s">
        <v>208</v>
      </c>
      <c r="E5" s="6" t="s">
        <v>190</v>
      </c>
      <c r="F5" s="6" t="s">
        <v>202</v>
      </c>
      <c r="G5" s="6" t="s">
        <v>62</v>
      </c>
      <c r="H5" s="25" t="n">
        <v>46223</v>
      </c>
      <c r="I5" s="6" t="n">
        <f aca="false">IFERROR(VLOOKUP(G5,'Stage-Gate Definitions'!$A$3:$E$8,5,0),"")</f>
        <v>14</v>
      </c>
      <c r="J5" s="6" t="n">
        <f aca="true">IF(OR(H5="",G5="Complete",G5=""),"",TODAY()-H5)</f>
        <v>-42</v>
      </c>
      <c r="K5" s="6" t="str">
        <f aca="false">IF(OR(J5="",I5=""),"",IF(J5&gt;I5,"YES",""))</f>
        <v/>
      </c>
      <c r="L5" s="25"/>
      <c r="M5" s="6"/>
      <c r="N5" s="25"/>
      <c r="O5" s="24" t="s">
        <v>209</v>
      </c>
      <c r="P5" s="25" t="n">
        <v>46242</v>
      </c>
      <c r="Q5" s="24"/>
      <c r="R5" s="25" t="n">
        <v>46237</v>
      </c>
      <c r="S5" s="6" t="s">
        <v>195</v>
      </c>
      <c r="T5" s="6" t="s">
        <v>195</v>
      </c>
      <c r="U5" s="6" t="s">
        <v>195</v>
      </c>
      <c r="V5" s="6" t="s">
        <v>195</v>
      </c>
      <c r="W5" s="6" t="s">
        <v>195</v>
      </c>
      <c r="X5" s="6" t="s">
        <v>195</v>
      </c>
      <c r="Y5" s="26" t="n">
        <f aca="false">IF(COUNTA(S5:X5)=0,"",COUNTIF(S5:X5,"Y")/6)</f>
        <v>0</v>
      </c>
      <c r="Z5" s="27" t="n">
        <v>9000</v>
      </c>
      <c r="AA5" s="25" t="n">
        <v>46167</v>
      </c>
      <c r="AB5" s="27" t="n">
        <v>0</v>
      </c>
      <c r="AC5" s="26" t="n">
        <f aca="false">IF(OR(Z5="",Z5=0),"",AB5/Z5)</f>
        <v>0</v>
      </c>
      <c r="AD5" s="6" t="str">
        <f aca="true">IF(AC5="","",IF(AND(TODAY()&gt;=Parameters!$C$19,AC5&lt;Parameters!$C$18),"BELOW FLOOR",""))</f>
        <v/>
      </c>
      <c r="AE5" s="6" t="s">
        <v>196</v>
      </c>
      <c r="AF5" s="13" t="str">
        <f aca="false">IF(G5="","",IF(OR(K5="YES",N(M5)&gt;=Parameters!$C$15,AD5="BELOW FLOOR",AE5="At Risk"),"RED",IF(OR(N(M5)&gt;=Parameters!$C$14,AND(J5&lt;&gt;"",I5&lt;&gt;"",J5&gt;=I5*Parameters!$C$16),AND(Y5&lt;&gt;"",Y5&lt;Parameters!$C$20),AE5="Gap"),"AMBER","GREEN")))</f>
        <v>AMBER</v>
      </c>
      <c r="AG5" s="6" t="n">
        <f aca="false">COUNTIFS('Risk &amp; Issues Register'!$B$3:$B$200,A5,'Risk &amp; Issues Register'!$N$3:$N$200,"&lt;&gt;Closed")</f>
        <v>0</v>
      </c>
    </row>
    <row r="6" customFormat="false" ht="23.25" hidden="false" customHeight="true" outlineLevel="0" collapsed="false">
      <c r="A6" s="6" t="s">
        <v>210</v>
      </c>
      <c r="B6" s="24" t="s">
        <v>211</v>
      </c>
      <c r="C6" s="6" t="s">
        <v>212</v>
      </c>
      <c r="D6" s="6" t="s">
        <v>213</v>
      </c>
      <c r="E6" s="6" t="s">
        <v>214</v>
      </c>
      <c r="F6" s="6" t="s">
        <v>215</v>
      </c>
      <c r="G6" s="6" t="s">
        <v>73</v>
      </c>
      <c r="H6" s="25" t="n">
        <v>46183</v>
      </c>
      <c r="I6" s="6" t="n">
        <f aca="false">IFERROR(VLOOKUP(G6,'Stage-Gate Definitions'!$A$3:$E$8,5,0),"")</f>
        <v>70</v>
      </c>
      <c r="J6" s="6" t="n">
        <f aca="true">IF(OR(H6="",G6="Complete",G6=""),"",TODAY()-H6)</f>
        <v>-2</v>
      </c>
      <c r="K6" s="6" t="str">
        <f aca="false">IF(OR(J6="",I6=""),"",IF(J6&gt;I6,"YES",""))</f>
        <v/>
      </c>
      <c r="L6" s="25" t="n">
        <v>46201</v>
      </c>
      <c r="M6" s="6" t="n">
        <v>4</v>
      </c>
      <c r="N6" s="25" t="n">
        <v>46225</v>
      </c>
      <c r="O6" s="24" t="s">
        <v>216</v>
      </c>
      <c r="P6" s="25" t="n">
        <v>46243</v>
      </c>
      <c r="Q6" s="24" t="s">
        <v>217</v>
      </c>
      <c r="R6" s="25" t="n">
        <v>46239</v>
      </c>
      <c r="S6" s="6" t="s">
        <v>194</v>
      </c>
      <c r="T6" s="6" t="s">
        <v>194</v>
      </c>
      <c r="U6" s="6" t="s">
        <v>195</v>
      </c>
      <c r="V6" s="6" t="s">
        <v>195</v>
      </c>
      <c r="W6" s="6" t="s">
        <v>195</v>
      </c>
      <c r="X6" s="6" t="s">
        <v>195</v>
      </c>
      <c r="Y6" s="26" t="n">
        <f aca="false">IF(COUNTA(S6:X6)=0,"",COUNTIF(S6:X6,"Y")/6)</f>
        <v>0.333333333333333</v>
      </c>
      <c r="Z6" s="27" t="n">
        <v>15000</v>
      </c>
      <c r="AA6" s="25" t="n">
        <v>46160</v>
      </c>
      <c r="AB6" s="27" t="n">
        <v>11000</v>
      </c>
      <c r="AC6" s="26" t="n">
        <f aca="false">IF(OR(Z6="",Z6=0),"",AB6/Z6)</f>
        <v>0.733333333333333</v>
      </c>
      <c r="AD6" s="6" t="str">
        <f aca="true">IF(AC6="","",IF(AND(TODAY()&gt;=Parameters!$C$19,AC6&lt;Parameters!$C$18),"BELOW FLOOR",""))</f>
        <v/>
      </c>
      <c r="AE6" s="6" t="s">
        <v>218</v>
      </c>
      <c r="AF6" s="13" t="str">
        <f aca="false">IF(G6="","",IF(OR(K6="YES",N(M6)&gt;=Parameters!$C$15,AD6="BELOW FLOOR",AE6="At Risk"),"RED",IF(OR(N(M6)&gt;=Parameters!$C$14,AND(J6&lt;&gt;"",I6&lt;&gt;"",J6&gt;=I6*Parameters!$C$16),AND(Y6&lt;&gt;"",Y6&lt;Parameters!$C$20),AE6="Gap"),"AMBER","GREEN")))</f>
        <v>RED</v>
      </c>
      <c r="AG6" s="6" t="n">
        <f aca="false">COUNTIFS('Risk &amp; Issues Register'!$B$3:$B$200,A6,'Risk &amp; Issues Register'!$N$3:$N$200,"&lt;&gt;Closed")</f>
        <v>1</v>
      </c>
    </row>
    <row r="7" customFormat="false" ht="23.25" hidden="false" customHeight="true" outlineLevel="0" collapsed="false">
      <c r="A7" s="6" t="s">
        <v>219</v>
      </c>
      <c r="B7" s="24" t="s">
        <v>220</v>
      </c>
      <c r="C7" s="6" t="s">
        <v>212</v>
      </c>
      <c r="D7" s="6" t="s">
        <v>189</v>
      </c>
      <c r="E7" s="6" t="s">
        <v>214</v>
      </c>
      <c r="F7" s="6" t="s">
        <v>215</v>
      </c>
      <c r="G7" s="6" t="s">
        <v>78</v>
      </c>
      <c r="H7" s="25" t="n">
        <v>46228</v>
      </c>
      <c r="I7" s="6" t="n">
        <f aca="false">IFERROR(VLOOKUP(G7,'Stage-Gate Definitions'!$A$3:$E$8,5,0),"")</f>
        <v>21</v>
      </c>
      <c r="J7" s="6" t="n">
        <f aca="true">IF(OR(H7="",G7="Complete",G7=""),"",TODAY()-H7)</f>
        <v>-47</v>
      </c>
      <c r="K7" s="6" t="str">
        <f aca="false">IF(OR(J7="",I7=""),"",IF(J7&gt;I7,"YES",""))</f>
        <v/>
      </c>
      <c r="L7" s="25" t="n">
        <v>46233</v>
      </c>
      <c r="M7" s="6" t="n">
        <v>1</v>
      </c>
      <c r="N7" s="25" t="n">
        <v>46236</v>
      </c>
      <c r="O7" s="24" t="s">
        <v>221</v>
      </c>
      <c r="P7" s="25" t="n">
        <v>46248</v>
      </c>
      <c r="Q7" s="24"/>
      <c r="R7" s="25" t="n">
        <v>46240</v>
      </c>
      <c r="S7" s="6" t="s">
        <v>194</v>
      </c>
      <c r="T7" s="6" t="s">
        <v>194</v>
      </c>
      <c r="U7" s="6" t="s">
        <v>194</v>
      </c>
      <c r="V7" s="6" t="s">
        <v>194</v>
      </c>
      <c r="W7" s="6" t="s">
        <v>194</v>
      </c>
      <c r="X7" s="6" t="s">
        <v>194</v>
      </c>
      <c r="Y7" s="26" t="n">
        <f aca="false">IF(COUNTA(S7:X7)=0,"",COUNTIF(S7:X7,"Y")/6)</f>
        <v>1</v>
      </c>
      <c r="Z7" s="27" t="n">
        <v>11000</v>
      </c>
      <c r="AA7" s="25" t="n">
        <v>46162</v>
      </c>
      <c r="AB7" s="27" t="n">
        <v>9800</v>
      </c>
      <c r="AC7" s="26" t="n">
        <f aca="false">IF(OR(Z7="",Z7=0),"",AB7/Z7)</f>
        <v>0.890909090909091</v>
      </c>
      <c r="AD7" s="6" t="str">
        <f aca="true">IF(AC7="","",IF(AND(TODAY()&gt;=Parameters!$C$19,AC7&lt;Parameters!$C$18),"BELOW FLOOR",""))</f>
        <v/>
      </c>
      <c r="AE7" s="6" t="s">
        <v>196</v>
      </c>
      <c r="AF7" s="13" t="str">
        <f aca="false">IF(G7="","",IF(OR(K7="YES",N(M7)&gt;=Parameters!$C$15,AD7="BELOW FLOOR",AE7="At Risk"),"RED",IF(OR(N(M7)&gt;=Parameters!$C$14,AND(J7&lt;&gt;"",I7&lt;&gt;"",J7&gt;=I7*Parameters!$C$16),AND(Y7&lt;&gt;"",Y7&lt;Parameters!$C$20),AE7="Gap"),"AMBER","GREEN")))</f>
        <v>GREEN</v>
      </c>
      <c r="AG7" s="6" t="n">
        <f aca="false">COUNTIFS('Risk &amp; Issues Register'!$B$3:$B$200,A7,'Risk &amp; Issues Register'!$N$3:$N$200,"&lt;&gt;Closed")</f>
        <v>0</v>
      </c>
    </row>
    <row r="8" customFormat="false" ht="15" hidden="false" customHeight="true" outlineLevel="0" collapsed="false">
      <c r="A8" s="6" t="s">
        <v>222</v>
      </c>
      <c r="B8" s="24" t="s">
        <v>223</v>
      </c>
      <c r="C8" s="6" t="s">
        <v>188</v>
      </c>
      <c r="D8" s="6" t="s">
        <v>200</v>
      </c>
      <c r="E8" s="6" t="s">
        <v>201</v>
      </c>
      <c r="F8" s="6" t="s">
        <v>191</v>
      </c>
      <c r="G8" s="6" t="s">
        <v>84</v>
      </c>
      <c r="H8" s="25"/>
      <c r="I8" s="6" t="n">
        <f aca="false">IFERROR(VLOOKUP(G8,'Stage-Gate Definitions'!$A$3:$E$8,5,0),"")</f>
        <v>0</v>
      </c>
      <c r="J8" s="6" t="str">
        <f aca="true">IF(OR(H8="",G8="Complete",G8=""),"",TODAY()-H8)</f>
        <v/>
      </c>
      <c r="K8" s="6" t="str">
        <f aca="false">IF(OR(J8="",I8=""),"",IF(J8&gt;I8,"YES",""))</f>
        <v/>
      </c>
      <c r="L8" s="25" t="n">
        <v>46221</v>
      </c>
      <c r="M8" s="6"/>
      <c r="N8" s="25" t="n">
        <v>46223</v>
      </c>
      <c r="O8" s="24" t="s">
        <v>224</v>
      </c>
      <c r="P8" s="25" t="n">
        <v>46234</v>
      </c>
      <c r="Q8" s="24"/>
      <c r="R8" s="25" t="n">
        <v>46234</v>
      </c>
      <c r="S8" s="6" t="s">
        <v>194</v>
      </c>
      <c r="T8" s="6" t="s">
        <v>194</v>
      </c>
      <c r="U8" s="6" t="s">
        <v>194</v>
      </c>
      <c r="V8" s="6" t="s">
        <v>194</v>
      </c>
      <c r="W8" s="6" t="s">
        <v>194</v>
      </c>
      <c r="X8" s="6" t="s">
        <v>194</v>
      </c>
      <c r="Y8" s="26" t="n">
        <f aca="false">IF(COUNTA(S8:X8)=0,"",COUNTIF(S8:X8,"Y")/6)</f>
        <v>1</v>
      </c>
      <c r="Z8" s="27" t="n">
        <v>20000</v>
      </c>
      <c r="AA8" s="25" t="n">
        <v>46157</v>
      </c>
      <c r="AB8" s="27" t="n">
        <v>19500</v>
      </c>
      <c r="AC8" s="26" t="n">
        <f aca="false">IF(OR(Z8="",Z8=0),"",AB8/Z8)</f>
        <v>0.975</v>
      </c>
      <c r="AD8" s="6" t="str">
        <f aca="true">IF(AC8="","",IF(AND(TODAY()&gt;=Parameters!$C$19,AC8&lt;Parameters!$C$18),"BELOW FLOOR",""))</f>
        <v/>
      </c>
      <c r="AE8" s="6" t="s">
        <v>196</v>
      </c>
      <c r="AF8" s="13" t="str">
        <f aca="false">IF(G8="","",IF(OR(K8="YES",N(M8)&gt;=Parameters!$C$15,AD8="BELOW FLOOR",AE8="At Risk"),"RED",IF(OR(N(M8)&gt;=Parameters!$C$14,AND(J8&lt;&gt;"",I8&lt;&gt;"",J8&gt;=I8*Parameters!$C$16),AND(Y8&lt;&gt;"",Y8&lt;Parameters!$C$20),AE8="Gap"),"AMBER","GREEN")))</f>
        <v>GREEN</v>
      </c>
      <c r="AG8" s="6" t="n">
        <f aca="false">COUNTIFS('Risk &amp; Issues Register'!$B$3:$B$200,A8,'Risk &amp; Issues Register'!$N$3:$N$200,"&lt;&gt;Closed")</f>
        <v>0</v>
      </c>
    </row>
    <row r="9" customFormat="false" ht="23.25" hidden="false" customHeight="true" outlineLevel="0" collapsed="false">
      <c r="A9" s="6" t="s">
        <v>225</v>
      </c>
      <c r="B9" s="24" t="s">
        <v>226</v>
      </c>
      <c r="C9" s="6" t="s">
        <v>188</v>
      </c>
      <c r="D9" s="6" t="s">
        <v>189</v>
      </c>
      <c r="E9" s="6" t="s">
        <v>190</v>
      </c>
      <c r="F9" s="6" t="s">
        <v>191</v>
      </c>
      <c r="G9" s="6" t="s">
        <v>73</v>
      </c>
      <c r="H9" s="25" t="n">
        <v>46193</v>
      </c>
      <c r="I9" s="6" t="n">
        <f aca="false">IFERROR(VLOOKUP(G9,'Stage-Gate Definitions'!$A$3:$E$8,5,0),"")</f>
        <v>70</v>
      </c>
      <c r="J9" s="6" t="n">
        <f aca="true">IF(OR(H9="",G9="Complete",G9=""),"",TODAY()-H9)</f>
        <v>-12</v>
      </c>
      <c r="K9" s="6" t="str">
        <f aca="false">IF(OR(J9="",I9=""),"",IF(J9&gt;I9,"YES",""))</f>
        <v/>
      </c>
      <c r="L9" s="25" t="n">
        <v>46208</v>
      </c>
      <c r="M9" s="6" t="n">
        <v>3</v>
      </c>
      <c r="N9" s="25" t="n">
        <v>46232</v>
      </c>
      <c r="O9" s="24" t="s">
        <v>227</v>
      </c>
      <c r="P9" s="25" t="n">
        <v>46245</v>
      </c>
      <c r="Q9" s="24" t="s">
        <v>228</v>
      </c>
      <c r="R9" s="25" t="n">
        <v>46238</v>
      </c>
      <c r="S9" s="6" t="s">
        <v>194</v>
      </c>
      <c r="T9" s="6" t="s">
        <v>194</v>
      </c>
      <c r="U9" s="6" t="s">
        <v>195</v>
      </c>
      <c r="V9" s="6" t="s">
        <v>195</v>
      </c>
      <c r="W9" s="6" t="s">
        <v>195</v>
      </c>
      <c r="X9" s="6" t="s">
        <v>195</v>
      </c>
      <c r="Y9" s="26" t="n">
        <f aca="false">IF(COUNTA(S9:X9)=0,"",COUNTIF(S9:X9,"Y")/6)</f>
        <v>0.333333333333333</v>
      </c>
      <c r="Z9" s="27" t="n">
        <v>13500</v>
      </c>
      <c r="AA9" s="25" t="n">
        <v>46163</v>
      </c>
      <c r="AB9" s="27" t="n">
        <v>3000</v>
      </c>
      <c r="AC9" s="26" t="n">
        <f aca="false">IF(OR(Z9="",Z9=0),"",AB9/Z9)</f>
        <v>0.222222222222222</v>
      </c>
      <c r="AD9" s="6" t="str">
        <f aca="true">IF(AC9="","",IF(AND(TODAY()&gt;=Parameters!$C$19,AC9&lt;Parameters!$C$18),"BELOW FLOOR",""))</f>
        <v/>
      </c>
      <c r="AE9" s="6" t="s">
        <v>196</v>
      </c>
      <c r="AF9" s="13" t="str">
        <f aca="false">IF(G9="","",IF(OR(K9="YES",N(M9)&gt;=Parameters!$C$15,AD9="BELOW FLOOR",AE9="At Risk"),"RED",IF(OR(N(M9)&gt;=Parameters!$C$14,AND(J9&lt;&gt;"",I9&lt;&gt;"",J9&gt;=I9*Parameters!$C$16),AND(Y9&lt;&gt;"",Y9&lt;Parameters!$C$20),AE9="Gap"),"AMBER","GREEN")))</f>
        <v>RED</v>
      </c>
      <c r="AG9" s="6" t="n">
        <f aca="false">COUNTIFS('Risk &amp; Issues Register'!$B$3:$B$200,A9,'Risk &amp; Issues Register'!$N$3:$N$200,"&lt;&gt;Closed")</f>
        <v>1</v>
      </c>
    </row>
    <row r="10" customFormat="false" ht="23.25" hidden="false" customHeight="true" outlineLevel="0" collapsed="false">
      <c r="A10" s="6" t="s">
        <v>229</v>
      </c>
      <c r="B10" s="24" t="s">
        <v>230</v>
      </c>
      <c r="C10" s="6" t="s">
        <v>199</v>
      </c>
      <c r="D10" s="6" t="s">
        <v>213</v>
      </c>
      <c r="E10" s="6" t="s">
        <v>201</v>
      </c>
      <c r="F10" s="6" t="s">
        <v>202</v>
      </c>
      <c r="G10" s="6" t="s">
        <v>62</v>
      </c>
      <c r="H10" s="25" t="n">
        <v>46231</v>
      </c>
      <c r="I10" s="6" t="n">
        <f aca="false">IFERROR(VLOOKUP(G10,'Stage-Gate Definitions'!$A$3:$E$8,5,0),"")</f>
        <v>14</v>
      </c>
      <c r="J10" s="6" t="n">
        <f aca="true">IF(OR(H10="",G10="Complete",G10=""),"",TODAY()-H10)</f>
        <v>-50</v>
      </c>
      <c r="K10" s="6" t="str">
        <f aca="false">IF(OR(J10="",I10=""),"",IF(J10&gt;I10,"YES",""))</f>
        <v/>
      </c>
      <c r="L10" s="25"/>
      <c r="M10" s="6" t="n">
        <v>0</v>
      </c>
      <c r="N10" s="25"/>
      <c r="O10" s="24" t="s">
        <v>231</v>
      </c>
      <c r="P10" s="25" t="n">
        <v>46249</v>
      </c>
      <c r="Q10" s="24"/>
      <c r="R10" s="25" t="n">
        <v>46239</v>
      </c>
      <c r="S10" s="6" t="s">
        <v>195</v>
      </c>
      <c r="T10" s="6" t="s">
        <v>195</v>
      </c>
      <c r="U10" s="6" t="s">
        <v>195</v>
      </c>
      <c r="V10" s="6" t="s">
        <v>195</v>
      </c>
      <c r="W10" s="6" t="s">
        <v>195</v>
      </c>
      <c r="X10" s="6" t="s">
        <v>195</v>
      </c>
      <c r="Y10" s="26" t="n">
        <f aca="false">IF(COUNTA(S10:X10)=0,"",COUNTIF(S10:X10,"Y")/6)</f>
        <v>0</v>
      </c>
      <c r="Z10" s="27" t="n">
        <v>8500</v>
      </c>
      <c r="AA10" s="25" t="n">
        <v>46168</v>
      </c>
      <c r="AB10" s="27" t="n">
        <v>0</v>
      </c>
      <c r="AC10" s="26" t="n">
        <f aca="false">IF(OR(Z10="",Z10=0),"",AB10/Z10)</f>
        <v>0</v>
      </c>
      <c r="AD10" s="6" t="str">
        <f aca="true">IF(AC10="","",IF(AND(TODAY()&gt;=Parameters!$C$19,AC10&lt;Parameters!$C$18),"BELOW FLOOR",""))</f>
        <v/>
      </c>
      <c r="AE10" s="6" t="s">
        <v>196</v>
      </c>
      <c r="AF10" s="13" t="str">
        <f aca="false">IF(G10="","",IF(OR(K10="YES",N(M10)&gt;=Parameters!$C$15,AD10="BELOW FLOOR",AE10="At Risk"),"RED",IF(OR(N(M10)&gt;=Parameters!$C$14,AND(J10&lt;&gt;"",I10&lt;&gt;"",J10&gt;=I10*Parameters!$C$16),AND(Y10&lt;&gt;"",Y10&lt;Parameters!$C$20),AE10="Gap"),"AMBER","GREEN")))</f>
        <v>AMBER</v>
      </c>
      <c r="AG10" s="6" t="n">
        <f aca="false">COUNTIFS('Risk &amp; Issues Register'!$B$3:$B$200,A10,'Risk &amp; Issues Register'!$N$3:$N$200,"&lt;&gt;Closed")</f>
        <v>0</v>
      </c>
    </row>
    <row r="11" customFormat="false" ht="15" hidden="false" customHeight="true" outlineLevel="0" collapsed="false">
      <c r="A11" s="6" t="s">
        <v>232</v>
      </c>
      <c r="B11" s="24"/>
      <c r="C11" s="6"/>
      <c r="D11" s="6"/>
      <c r="E11" s="6"/>
      <c r="F11" s="6"/>
      <c r="G11" s="6"/>
      <c r="H11" s="25"/>
      <c r="I11" s="6" t="str">
        <f aca="false">IFERROR(VLOOKUP(G11,'Stage-Gate Definitions'!$A$3:$E$8,5,0),"")</f>
        <v/>
      </c>
      <c r="J11" s="6" t="str">
        <f aca="true">IF(OR(H11="",G11="Complete",G11=""),"",TODAY()-H11)</f>
        <v/>
      </c>
      <c r="K11" s="6" t="str">
        <f aca="false">IF(OR(J11="",I11=""),"",IF(J11&gt;I11,"YES",""))</f>
        <v/>
      </c>
      <c r="L11" s="25"/>
      <c r="M11" s="6"/>
      <c r="N11" s="25"/>
      <c r="O11" s="24"/>
      <c r="P11" s="25"/>
      <c r="Q11" s="24"/>
      <c r="R11" s="25"/>
      <c r="S11" s="6"/>
      <c r="T11" s="6"/>
      <c r="U11" s="6"/>
      <c r="V11" s="6"/>
      <c r="W11" s="6"/>
      <c r="X11" s="6"/>
      <c r="Y11" s="26" t="str">
        <f aca="false">IF(COUNTA(S11:X11)=0,"",COUNTIF(S11:X11,"Y")/6)</f>
        <v/>
      </c>
      <c r="Z11" s="27"/>
      <c r="AA11" s="25"/>
      <c r="AB11" s="27"/>
      <c r="AC11" s="26" t="str">
        <f aca="false">IF(OR(Z11="",Z11=0),"",AB11/Z11)</f>
        <v/>
      </c>
      <c r="AD11" s="6" t="str">
        <f aca="true">IF(AC11="","",IF(AND(TODAY()&gt;=Parameters!$C$19,AC11&lt;Parameters!$C$18),"BELOW FLOOR",""))</f>
        <v/>
      </c>
      <c r="AE11" s="6"/>
      <c r="AF11" s="13" t="str">
        <f aca="false">IF(G11="","",IF(OR(K11="YES",N(M11)&gt;=Parameters!$C$15,AD11="BELOW FLOOR",AE11="At Risk"),"RED",IF(OR(N(M11)&gt;=Parameters!$C$14,AND(J11&lt;&gt;"",I11&lt;&gt;"",J11&gt;=I11*Parameters!$C$16),AND(Y11&lt;&gt;"",Y11&lt;Parameters!$C$20),AE11="Gap"),"AMBER","GREEN")))</f>
        <v/>
      </c>
      <c r="AG11" s="6" t="n">
        <f aca="false">COUNTIFS('Risk &amp; Issues Register'!$B$3:$B$200,A11,'Risk &amp; Issues Register'!$N$3:$N$200,"&lt;&gt;Closed")</f>
        <v>0</v>
      </c>
    </row>
    <row r="12" customFormat="false" ht="15" hidden="false" customHeight="true" outlineLevel="0" collapsed="false">
      <c r="A12" s="6" t="s">
        <v>233</v>
      </c>
      <c r="B12" s="24"/>
      <c r="C12" s="6"/>
      <c r="D12" s="6"/>
      <c r="E12" s="6"/>
      <c r="F12" s="6"/>
      <c r="G12" s="6"/>
      <c r="H12" s="25"/>
      <c r="I12" s="6" t="str">
        <f aca="false">IFERROR(VLOOKUP(G12,'Stage-Gate Definitions'!$A$3:$E$8,5,0),"")</f>
        <v/>
      </c>
      <c r="J12" s="6" t="str">
        <f aca="true">IF(OR(H12="",G12="Complete",G12=""),"",TODAY()-H12)</f>
        <v/>
      </c>
      <c r="K12" s="6" t="str">
        <f aca="false">IF(OR(J12="",I12=""),"",IF(J12&gt;I12,"YES",""))</f>
        <v/>
      </c>
      <c r="L12" s="25"/>
      <c r="M12" s="6"/>
      <c r="N12" s="25"/>
      <c r="O12" s="24"/>
      <c r="P12" s="25"/>
      <c r="Q12" s="24"/>
      <c r="R12" s="25"/>
      <c r="S12" s="6"/>
      <c r="T12" s="6"/>
      <c r="U12" s="6"/>
      <c r="V12" s="6"/>
      <c r="W12" s="6"/>
      <c r="X12" s="6"/>
      <c r="Y12" s="26" t="str">
        <f aca="false">IF(COUNTA(S12:X12)=0,"",COUNTIF(S12:X12,"Y")/6)</f>
        <v/>
      </c>
      <c r="Z12" s="27"/>
      <c r="AA12" s="25"/>
      <c r="AB12" s="27"/>
      <c r="AC12" s="26" t="str">
        <f aca="false">IF(OR(Z12="",Z12=0),"",AB12/Z12)</f>
        <v/>
      </c>
      <c r="AD12" s="6" t="str">
        <f aca="true">IF(AC12="","",IF(AND(TODAY()&gt;=Parameters!$C$19,AC12&lt;Parameters!$C$18),"BELOW FLOOR",""))</f>
        <v/>
      </c>
      <c r="AE12" s="6"/>
      <c r="AF12" s="13" t="str">
        <f aca="false">IF(G12="","",IF(OR(K12="YES",N(M12)&gt;=Parameters!$C$15,AD12="BELOW FLOOR",AE12="At Risk"),"RED",IF(OR(N(M12)&gt;=Parameters!$C$14,AND(J12&lt;&gt;"",I12&lt;&gt;"",J12&gt;=I12*Parameters!$C$16),AND(Y12&lt;&gt;"",Y12&lt;Parameters!$C$20),AE12="Gap"),"AMBER","GREEN")))</f>
        <v/>
      </c>
      <c r="AG12" s="6" t="n">
        <f aca="false">COUNTIFS('Risk &amp; Issues Register'!$B$3:$B$200,A12,'Risk &amp; Issues Register'!$N$3:$N$200,"&lt;&gt;Closed")</f>
        <v>0</v>
      </c>
    </row>
    <row r="13" customFormat="false" ht="15" hidden="false" customHeight="true" outlineLevel="0" collapsed="false">
      <c r="A13" s="6" t="s">
        <v>234</v>
      </c>
      <c r="B13" s="24"/>
      <c r="C13" s="6"/>
      <c r="D13" s="6"/>
      <c r="E13" s="6"/>
      <c r="F13" s="6"/>
      <c r="G13" s="6"/>
      <c r="H13" s="25"/>
      <c r="I13" s="6" t="str">
        <f aca="false">IFERROR(VLOOKUP(G13,'Stage-Gate Definitions'!$A$3:$E$8,5,0),"")</f>
        <v/>
      </c>
      <c r="J13" s="6" t="str">
        <f aca="true">IF(OR(H13="",G13="Complete",G13=""),"",TODAY()-H13)</f>
        <v/>
      </c>
      <c r="K13" s="6" t="str">
        <f aca="false">IF(OR(J13="",I13=""),"",IF(J13&gt;I13,"YES",""))</f>
        <v/>
      </c>
      <c r="L13" s="25"/>
      <c r="M13" s="6"/>
      <c r="N13" s="25"/>
      <c r="O13" s="24"/>
      <c r="P13" s="25"/>
      <c r="Q13" s="24"/>
      <c r="R13" s="25"/>
      <c r="S13" s="6"/>
      <c r="T13" s="6"/>
      <c r="U13" s="6"/>
      <c r="V13" s="6"/>
      <c r="W13" s="6"/>
      <c r="X13" s="6"/>
      <c r="Y13" s="26" t="str">
        <f aca="false">IF(COUNTA(S13:X13)=0,"",COUNTIF(S13:X13,"Y")/6)</f>
        <v/>
      </c>
      <c r="Z13" s="27"/>
      <c r="AA13" s="25"/>
      <c r="AB13" s="27"/>
      <c r="AC13" s="26" t="str">
        <f aca="false">IF(OR(Z13="",Z13=0),"",AB13/Z13)</f>
        <v/>
      </c>
      <c r="AD13" s="6" t="str">
        <f aca="true">IF(AC13="","",IF(AND(TODAY()&gt;=Parameters!$C$19,AC13&lt;Parameters!$C$18),"BELOW FLOOR",""))</f>
        <v/>
      </c>
      <c r="AE13" s="6"/>
      <c r="AF13" s="13" t="str">
        <f aca="false">IF(G13="","",IF(OR(K13="YES",N(M13)&gt;=Parameters!$C$15,AD13="BELOW FLOOR",AE13="At Risk"),"RED",IF(OR(N(M13)&gt;=Parameters!$C$14,AND(J13&lt;&gt;"",I13&lt;&gt;"",J13&gt;=I13*Parameters!$C$16),AND(Y13&lt;&gt;"",Y13&lt;Parameters!$C$20),AE13="Gap"),"AMBER","GREEN")))</f>
        <v/>
      </c>
      <c r="AG13" s="6" t="n">
        <f aca="false">COUNTIFS('Risk &amp; Issues Register'!$B$3:$B$200,A13,'Risk &amp; Issues Register'!$N$3:$N$200,"&lt;&gt;Closed")</f>
        <v>0</v>
      </c>
    </row>
    <row r="14" customFormat="false" ht="15" hidden="false" customHeight="true" outlineLevel="0" collapsed="false">
      <c r="A14" s="6" t="s">
        <v>235</v>
      </c>
      <c r="B14" s="24"/>
      <c r="C14" s="6"/>
      <c r="D14" s="6"/>
      <c r="E14" s="6"/>
      <c r="F14" s="6"/>
      <c r="G14" s="6"/>
      <c r="H14" s="25"/>
      <c r="I14" s="6" t="str">
        <f aca="false">IFERROR(VLOOKUP(G14,'Stage-Gate Definitions'!$A$3:$E$8,5,0),"")</f>
        <v/>
      </c>
      <c r="J14" s="6" t="str">
        <f aca="true">IF(OR(H14="",G14="Complete",G14=""),"",TODAY()-H14)</f>
        <v/>
      </c>
      <c r="K14" s="6" t="str">
        <f aca="false">IF(OR(J14="",I14=""),"",IF(J14&gt;I14,"YES",""))</f>
        <v/>
      </c>
      <c r="L14" s="25"/>
      <c r="M14" s="6"/>
      <c r="N14" s="25"/>
      <c r="O14" s="24"/>
      <c r="P14" s="25"/>
      <c r="Q14" s="24"/>
      <c r="R14" s="25"/>
      <c r="S14" s="6"/>
      <c r="T14" s="6"/>
      <c r="U14" s="6"/>
      <c r="V14" s="6"/>
      <c r="W14" s="6"/>
      <c r="X14" s="6"/>
      <c r="Y14" s="26" t="str">
        <f aca="false">IF(COUNTA(S14:X14)=0,"",COUNTIF(S14:X14,"Y")/6)</f>
        <v/>
      </c>
      <c r="Z14" s="27"/>
      <c r="AA14" s="25"/>
      <c r="AB14" s="27"/>
      <c r="AC14" s="26" t="str">
        <f aca="false">IF(OR(Z14="",Z14=0),"",AB14/Z14)</f>
        <v/>
      </c>
      <c r="AD14" s="6" t="str">
        <f aca="true">IF(AC14="","",IF(AND(TODAY()&gt;=Parameters!$C$19,AC14&lt;Parameters!$C$18),"BELOW FLOOR",""))</f>
        <v/>
      </c>
      <c r="AE14" s="6"/>
      <c r="AF14" s="13" t="str">
        <f aca="false">IF(G14="","",IF(OR(K14="YES",N(M14)&gt;=Parameters!$C$15,AD14="BELOW FLOOR",AE14="At Risk"),"RED",IF(OR(N(M14)&gt;=Parameters!$C$14,AND(J14&lt;&gt;"",I14&lt;&gt;"",J14&gt;=I14*Parameters!$C$16),AND(Y14&lt;&gt;"",Y14&lt;Parameters!$C$20),AE14="Gap"),"AMBER","GREEN")))</f>
        <v/>
      </c>
      <c r="AG14" s="6" t="n">
        <f aca="false">COUNTIFS('Risk &amp; Issues Register'!$B$3:$B$200,A14,'Risk &amp; Issues Register'!$N$3:$N$200,"&lt;&gt;Closed")</f>
        <v>0</v>
      </c>
    </row>
    <row r="15" customFormat="false" ht="15" hidden="false" customHeight="true" outlineLevel="0" collapsed="false">
      <c r="A15" s="6" t="s">
        <v>236</v>
      </c>
      <c r="B15" s="24"/>
      <c r="C15" s="6"/>
      <c r="D15" s="6"/>
      <c r="E15" s="6"/>
      <c r="F15" s="6"/>
      <c r="G15" s="6"/>
      <c r="H15" s="25"/>
      <c r="I15" s="6" t="str">
        <f aca="false">IFERROR(VLOOKUP(G15,'Stage-Gate Definitions'!$A$3:$E$8,5,0),"")</f>
        <v/>
      </c>
      <c r="J15" s="6" t="str">
        <f aca="true">IF(OR(H15="",G15="Complete",G15=""),"",TODAY()-H15)</f>
        <v/>
      </c>
      <c r="K15" s="6" t="str">
        <f aca="false">IF(OR(J15="",I15=""),"",IF(J15&gt;I15,"YES",""))</f>
        <v/>
      </c>
      <c r="L15" s="25"/>
      <c r="M15" s="6"/>
      <c r="N15" s="25"/>
      <c r="O15" s="24"/>
      <c r="P15" s="25"/>
      <c r="Q15" s="24"/>
      <c r="R15" s="25"/>
      <c r="S15" s="6"/>
      <c r="T15" s="6"/>
      <c r="U15" s="6"/>
      <c r="V15" s="6"/>
      <c r="W15" s="6"/>
      <c r="X15" s="6"/>
      <c r="Y15" s="26" t="str">
        <f aca="false">IF(COUNTA(S15:X15)=0,"",COUNTIF(S15:X15,"Y")/6)</f>
        <v/>
      </c>
      <c r="Z15" s="27"/>
      <c r="AA15" s="25"/>
      <c r="AB15" s="27"/>
      <c r="AC15" s="26" t="str">
        <f aca="false">IF(OR(Z15="",Z15=0),"",AB15/Z15)</f>
        <v/>
      </c>
      <c r="AD15" s="6" t="str">
        <f aca="true">IF(AC15="","",IF(AND(TODAY()&gt;=Parameters!$C$19,AC15&lt;Parameters!$C$18),"BELOW FLOOR",""))</f>
        <v/>
      </c>
      <c r="AE15" s="6"/>
      <c r="AF15" s="13" t="str">
        <f aca="false">IF(G15="","",IF(OR(K15="YES",N(M15)&gt;=Parameters!$C$15,AD15="BELOW FLOOR",AE15="At Risk"),"RED",IF(OR(N(M15)&gt;=Parameters!$C$14,AND(J15&lt;&gt;"",I15&lt;&gt;"",J15&gt;=I15*Parameters!$C$16),AND(Y15&lt;&gt;"",Y15&lt;Parameters!$C$20),AE15="Gap"),"AMBER","GREEN")))</f>
        <v/>
      </c>
      <c r="AG15" s="6" t="n">
        <f aca="false">COUNTIFS('Risk &amp; Issues Register'!$B$3:$B$200,A15,'Risk &amp; Issues Register'!$N$3:$N$200,"&lt;&gt;Closed")</f>
        <v>0</v>
      </c>
    </row>
    <row r="16" customFormat="false" ht="15" hidden="false" customHeight="true" outlineLevel="0" collapsed="false">
      <c r="A16" s="6" t="s">
        <v>237</v>
      </c>
      <c r="B16" s="24"/>
      <c r="C16" s="6"/>
      <c r="D16" s="6"/>
      <c r="E16" s="6"/>
      <c r="F16" s="6"/>
      <c r="G16" s="6"/>
      <c r="H16" s="25"/>
      <c r="I16" s="6" t="str">
        <f aca="false">IFERROR(VLOOKUP(G16,'Stage-Gate Definitions'!$A$3:$E$8,5,0),"")</f>
        <v/>
      </c>
      <c r="J16" s="6" t="str">
        <f aca="true">IF(OR(H16="",G16="Complete",G16=""),"",TODAY()-H16)</f>
        <v/>
      </c>
      <c r="K16" s="6" t="str">
        <f aca="false">IF(OR(J16="",I16=""),"",IF(J16&gt;I16,"YES",""))</f>
        <v/>
      </c>
      <c r="L16" s="25"/>
      <c r="M16" s="6"/>
      <c r="N16" s="25"/>
      <c r="O16" s="24"/>
      <c r="P16" s="25"/>
      <c r="Q16" s="24"/>
      <c r="R16" s="25"/>
      <c r="S16" s="6"/>
      <c r="T16" s="6"/>
      <c r="U16" s="6"/>
      <c r="V16" s="6"/>
      <c r="W16" s="6"/>
      <c r="X16" s="6"/>
      <c r="Y16" s="26" t="str">
        <f aca="false">IF(COUNTA(S16:X16)=0,"",COUNTIF(S16:X16,"Y")/6)</f>
        <v/>
      </c>
      <c r="Z16" s="27"/>
      <c r="AA16" s="25"/>
      <c r="AB16" s="27"/>
      <c r="AC16" s="26" t="str">
        <f aca="false">IF(OR(Z16="",Z16=0),"",AB16/Z16)</f>
        <v/>
      </c>
      <c r="AD16" s="6" t="str">
        <f aca="true">IF(AC16="","",IF(AND(TODAY()&gt;=Parameters!$C$19,AC16&lt;Parameters!$C$18),"BELOW FLOOR",""))</f>
        <v/>
      </c>
      <c r="AE16" s="6"/>
      <c r="AF16" s="13" t="str">
        <f aca="false">IF(G16="","",IF(OR(K16="YES",N(M16)&gt;=Parameters!$C$15,AD16="BELOW FLOOR",AE16="At Risk"),"RED",IF(OR(N(M16)&gt;=Parameters!$C$14,AND(J16&lt;&gt;"",I16&lt;&gt;"",J16&gt;=I16*Parameters!$C$16),AND(Y16&lt;&gt;"",Y16&lt;Parameters!$C$20),AE16="Gap"),"AMBER","GREEN")))</f>
        <v/>
      </c>
      <c r="AG16" s="6" t="n">
        <f aca="false">COUNTIFS('Risk &amp; Issues Register'!$B$3:$B$200,A16,'Risk &amp; Issues Register'!$N$3:$N$200,"&lt;&gt;Closed")</f>
        <v>0</v>
      </c>
    </row>
    <row r="17" customFormat="false" ht="15" hidden="false" customHeight="true" outlineLevel="0" collapsed="false">
      <c r="A17" s="6" t="s">
        <v>238</v>
      </c>
      <c r="B17" s="24"/>
      <c r="C17" s="6"/>
      <c r="D17" s="6"/>
      <c r="E17" s="6"/>
      <c r="F17" s="6"/>
      <c r="G17" s="6"/>
      <c r="H17" s="25"/>
      <c r="I17" s="6" t="str">
        <f aca="false">IFERROR(VLOOKUP(G17,'Stage-Gate Definitions'!$A$3:$E$8,5,0),"")</f>
        <v/>
      </c>
      <c r="J17" s="6" t="str">
        <f aca="true">IF(OR(H17="",G17="Complete",G17=""),"",TODAY()-H17)</f>
        <v/>
      </c>
      <c r="K17" s="6" t="str">
        <f aca="false">IF(OR(J17="",I17=""),"",IF(J17&gt;I17,"YES",""))</f>
        <v/>
      </c>
      <c r="L17" s="25"/>
      <c r="M17" s="6"/>
      <c r="N17" s="25"/>
      <c r="O17" s="24"/>
      <c r="P17" s="25"/>
      <c r="Q17" s="24"/>
      <c r="R17" s="25"/>
      <c r="S17" s="6"/>
      <c r="T17" s="6"/>
      <c r="U17" s="6"/>
      <c r="V17" s="6"/>
      <c r="W17" s="6"/>
      <c r="X17" s="6"/>
      <c r="Y17" s="26" t="str">
        <f aca="false">IF(COUNTA(S17:X17)=0,"",COUNTIF(S17:X17,"Y")/6)</f>
        <v/>
      </c>
      <c r="Z17" s="27"/>
      <c r="AA17" s="25"/>
      <c r="AB17" s="27"/>
      <c r="AC17" s="26" t="str">
        <f aca="false">IF(OR(Z17="",Z17=0),"",AB17/Z17)</f>
        <v/>
      </c>
      <c r="AD17" s="6" t="str">
        <f aca="true">IF(AC17="","",IF(AND(TODAY()&gt;=Parameters!$C$19,AC17&lt;Parameters!$C$18),"BELOW FLOOR",""))</f>
        <v/>
      </c>
      <c r="AE17" s="6"/>
      <c r="AF17" s="13" t="str">
        <f aca="false">IF(G17="","",IF(OR(K17="YES",N(M17)&gt;=Parameters!$C$15,AD17="BELOW FLOOR",AE17="At Risk"),"RED",IF(OR(N(M17)&gt;=Parameters!$C$14,AND(J17&lt;&gt;"",I17&lt;&gt;"",J17&gt;=I17*Parameters!$C$16),AND(Y17&lt;&gt;"",Y17&lt;Parameters!$C$20),AE17="Gap"),"AMBER","GREEN")))</f>
        <v/>
      </c>
      <c r="AG17" s="6" t="n">
        <f aca="false">COUNTIFS('Risk &amp; Issues Register'!$B$3:$B$200,A17,'Risk &amp; Issues Register'!$N$3:$N$200,"&lt;&gt;Closed")</f>
        <v>0</v>
      </c>
    </row>
    <row r="18" customFormat="false" ht="15" hidden="false" customHeight="true" outlineLevel="0" collapsed="false">
      <c r="A18" s="6" t="s">
        <v>239</v>
      </c>
      <c r="B18" s="24"/>
      <c r="C18" s="6"/>
      <c r="D18" s="6"/>
      <c r="E18" s="6"/>
      <c r="F18" s="6"/>
      <c r="G18" s="6"/>
      <c r="H18" s="25"/>
      <c r="I18" s="6" t="str">
        <f aca="false">IFERROR(VLOOKUP(G18,'Stage-Gate Definitions'!$A$3:$E$8,5,0),"")</f>
        <v/>
      </c>
      <c r="J18" s="6" t="str">
        <f aca="true">IF(OR(H18="",G18="Complete",G18=""),"",TODAY()-H18)</f>
        <v/>
      </c>
      <c r="K18" s="6" t="str">
        <f aca="false">IF(OR(J18="",I18=""),"",IF(J18&gt;I18,"YES",""))</f>
        <v/>
      </c>
      <c r="L18" s="25"/>
      <c r="M18" s="6"/>
      <c r="N18" s="25"/>
      <c r="O18" s="24"/>
      <c r="P18" s="25"/>
      <c r="Q18" s="24"/>
      <c r="R18" s="25"/>
      <c r="S18" s="6"/>
      <c r="T18" s="6"/>
      <c r="U18" s="6"/>
      <c r="V18" s="6"/>
      <c r="W18" s="6"/>
      <c r="X18" s="6"/>
      <c r="Y18" s="26" t="str">
        <f aca="false">IF(COUNTA(S18:X18)=0,"",COUNTIF(S18:X18,"Y")/6)</f>
        <v/>
      </c>
      <c r="Z18" s="27"/>
      <c r="AA18" s="25"/>
      <c r="AB18" s="27"/>
      <c r="AC18" s="26" t="str">
        <f aca="false">IF(OR(Z18="",Z18=0),"",AB18/Z18)</f>
        <v/>
      </c>
      <c r="AD18" s="6" t="str">
        <f aca="true">IF(AC18="","",IF(AND(TODAY()&gt;=Parameters!$C$19,AC18&lt;Parameters!$C$18),"BELOW FLOOR",""))</f>
        <v/>
      </c>
      <c r="AE18" s="6"/>
      <c r="AF18" s="13" t="str">
        <f aca="false">IF(G18="","",IF(OR(K18="YES",N(M18)&gt;=Parameters!$C$15,AD18="BELOW FLOOR",AE18="At Risk"),"RED",IF(OR(N(M18)&gt;=Parameters!$C$14,AND(J18&lt;&gt;"",I18&lt;&gt;"",J18&gt;=I18*Parameters!$C$16),AND(Y18&lt;&gt;"",Y18&lt;Parameters!$C$20),AE18="Gap"),"AMBER","GREEN")))</f>
        <v/>
      </c>
      <c r="AG18" s="6" t="n">
        <f aca="false">COUNTIFS('Risk &amp; Issues Register'!$B$3:$B$200,A18,'Risk &amp; Issues Register'!$N$3:$N$200,"&lt;&gt;Closed")</f>
        <v>0</v>
      </c>
    </row>
    <row r="19" customFormat="false" ht="15" hidden="false" customHeight="true" outlineLevel="0" collapsed="false">
      <c r="A19" s="6" t="s">
        <v>240</v>
      </c>
      <c r="B19" s="24"/>
      <c r="C19" s="6"/>
      <c r="D19" s="6"/>
      <c r="E19" s="6"/>
      <c r="F19" s="6"/>
      <c r="G19" s="6"/>
      <c r="H19" s="25"/>
      <c r="I19" s="6" t="str">
        <f aca="false">IFERROR(VLOOKUP(G19,'Stage-Gate Definitions'!$A$3:$E$8,5,0),"")</f>
        <v/>
      </c>
      <c r="J19" s="6" t="str">
        <f aca="true">IF(OR(H19="",G19="Complete",G19=""),"",TODAY()-H19)</f>
        <v/>
      </c>
      <c r="K19" s="6" t="str">
        <f aca="false">IF(OR(J19="",I19=""),"",IF(J19&gt;I19,"YES",""))</f>
        <v/>
      </c>
      <c r="L19" s="25"/>
      <c r="M19" s="6"/>
      <c r="N19" s="25"/>
      <c r="O19" s="24"/>
      <c r="P19" s="25"/>
      <c r="Q19" s="24"/>
      <c r="R19" s="25"/>
      <c r="S19" s="6"/>
      <c r="T19" s="6"/>
      <c r="U19" s="6"/>
      <c r="V19" s="6"/>
      <c r="W19" s="6"/>
      <c r="X19" s="6"/>
      <c r="Y19" s="26" t="str">
        <f aca="false">IF(COUNTA(S19:X19)=0,"",COUNTIF(S19:X19,"Y")/6)</f>
        <v/>
      </c>
      <c r="Z19" s="27"/>
      <c r="AA19" s="25"/>
      <c r="AB19" s="27"/>
      <c r="AC19" s="26" t="str">
        <f aca="false">IF(OR(Z19="",Z19=0),"",AB19/Z19)</f>
        <v/>
      </c>
      <c r="AD19" s="6" t="str">
        <f aca="true">IF(AC19="","",IF(AND(TODAY()&gt;=Parameters!$C$19,AC19&lt;Parameters!$C$18),"BELOW FLOOR",""))</f>
        <v/>
      </c>
      <c r="AE19" s="6"/>
      <c r="AF19" s="13" t="str">
        <f aca="false">IF(G19="","",IF(OR(K19="YES",N(M19)&gt;=Parameters!$C$15,AD19="BELOW FLOOR",AE19="At Risk"),"RED",IF(OR(N(M19)&gt;=Parameters!$C$14,AND(J19&lt;&gt;"",I19&lt;&gt;"",J19&gt;=I19*Parameters!$C$16),AND(Y19&lt;&gt;"",Y19&lt;Parameters!$C$20),AE19="Gap"),"AMBER","GREEN")))</f>
        <v/>
      </c>
      <c r="AG19" s="6" t="n">
        <f aca="false">COUNTIFS('Risk &amp; Issues Register'!$B$3:$B$200,A19,'Risk &amp; Issues Register'!$N$3:$N$200,"&lt;&gt;Closed")</f>
        <v>0</v>
      </c>
    </row>
    <row r="20" customFormat="false" ht="15" hidden="false" customHeight="true" outlineLevel="0" collapsed="false">
      <c r="A20" s="6" t="s">
        <v>241</v>
      </c>
      <c r="B20" s="24"/>
      <c r="C20" s="6"/>
      <c r="D20" s="6"/>
      <c r="E20" s="6"/>
      <c r="F20" s="6"/>
      <c r="G20" s="6"/>
      <c r="H20" s="25"/>
      <c r="I20" s="6" t="str">
        <f aca="false">IFERROR(VLOOKUP(G20,'Stage-Gate Definitions'!$A$3:$E$8,5,0),"")</f>
        <v/>
      </c>
      <c r="J20" s="6" t="str">
        <f aca="true">IF(OR(H20="",G20="Complete",G20=""),"",TODAY()-H20)</f>
        <v/>
      </c>
      <c r="K20" s="6" t="str">
        <f aca="false">IF(OR(J20="",I20=""),"",IF(J20&gt;I20,"YES",""))</f>
        <v/>
      </c>
      <c r="L20" s="25"/>
      <c r="M20" s="6"/>
      <c r="N20" s="25"/>
      <c r="O20" s="24"/>
      <c r="P20" s="25"/>
      <c r="Q20" s="24"/>
      <c r="R20" s="25"/>
      <c r="S20" s="6"/>
      <c r="T20" s="6"/>
      <c r="U20" s="6"/>
      <c r="V20" s="6"/>
      <c r="W20" s="6"/>
      <c r="X20" s="6"/>
      <c r="Y20" s="26" t="str">
        <f aca="false">IF(COUNTA(S20:X20)=0,"",COUNTIF(S20:X20,"Y")/6)</f>
        <v/>
      </c>
      <c r="Z20" s="27"/>
      <c r="AA20" s="25"/>
      <c r="AB20" s="27"/>
      <c r="AC20" s="26" t="str">
        <f aca="false">IF(OR(Z20="",Z20=0),"",AB20/Z20)</f>
        <v/>
      </c>
      <c r="AD20" s="6" t="str">
        <f aca="true">IF(AC20="","",IF(AND(TODAY()&gt;=Parameters!$C$19,AC20&lt;Parameters!$C$18),"BELOW FLOOR",""))</f>
        <v/>
      </c>
      <c r="AE20" s="6"/>
      <c r="AF20" s="13" t="str">
        <f aca="false">IF(G20="","",IF(OR(K20="YES",N(M20)&gt;=Parameters!$C$15,AD20="BELOW FLOOR",AE20="At Risk"),"RED",IF(OR(N(M20)&gt;=Parameters!$C$14,AND(J20&lt;&gt;"",I20&lt;&gt;"",J20&gt;=I20*Parameters!$C$16),AND(Y20&lt;&gt;"",Y20&lt;Parameters!$C$20),AE20="Gap"),"AMBER","GREEN")))</f>
        <v/>
      </c>
      <c r="AG20" s="6" t="n">
        <f aca="false">COUNTIFS('Risk &amp; Issues Register'!$B$3:$B$200,A20,'Risk &amp; Issues Register'!$N$3:$N$200,"&lt;&gt;Closed")</f>
        <v>0</v>
      </c>
    </row>
    <row r="21" customFormat="false" ht="15" hidden="false" customHeight="true" outlineLevel="0" collapsed="false">
      <c r="A21" s="6" t="s">
        <v>242</v>
      </c>
      <c r="B21" s="24"/>
      <c r="C21" s="6"/>
      <c r="D21" s="6"/>
      <c r="E21" s="6"/>
      <c r="F21" s="6"/>
      <c r="G21" s="6"/>
      <c r="H21" s="25"/>
      <c r="I21" s="6" t="str">
        <f aca="false">IFERROR(VLOOKUP(G21,'Stage-Gate Definitions'!$A$3:$E$8,5,0),"")</f>
        <v/>
      </c>
      <c r="J21" s="6" t="str">
        <f aca="true">IF(OR(H21="",G21="Complete",G21=""),"",TODAY()-H21)</f>
        <v/>
      </c>
      <c r="K21" s="6" t="str">
        <f aca="false">IF(OR(J21="",I21=""),"",IF(J21&gt;I21,"YES",""))</f>
        <v/>
      </c>
      <c r="L21" s="25"/>
      <c r="M21" s="6"/>
      <c r="N21" s="25"/>
      <c r="O21" s="24"/>
      <c r="P21" s="25"/>
      <c r="Q21" s="24"/>
      <c r="R21" s="25"/>
      <c r="S21" s="6"/>
      <c r="T21" s="6"/>
      <c r="U21" s="6"/>
      <c r="V21" s="6"/>
      <c r="W21" s="6"/>
      <c r="X21" s="6"/>
      <c r="Y21" s="26" t="str">
        <f aca="false">IF(COUNTA(S21:X21)=0,"",COUNTIF(S21:X21,"Y")/6)</f>
        <v/>
      </c>
      <c r="Z21" s="27"/>
      <c r="AA21" s="25"/>
      <c r="AB21" s="27"/>
      <c r="AC21" s="26" t="str">
        <f aca="false">IF(OR(Z21="",Z21=0),"",AB21/Z21)</f>
        <v/>
      </c>
      <c r="AD21" s="6" t="str">
        <f aca="true">IF(AC21="","",IF(AND(TODAY()&gt;=Parameters!$C$19,AC21&lt;Parameters!$C$18),"BELOW FLOOR",""))</f>
        <v/>
      </c>
      <c r="AE21" s="6"/>
      <c r="AF21" s="13" t="str">
        <f aca="false">IF(G21="","",IF(OR(K21="YES",N(M21)&gt;=Parameters!$C$15,AD21="BELOW FLOOR",AE21="At Risk"),"RED",IF(OR(N(M21)&gt;=Parameters!$C$14,AND(J21&lt;&gt;"",I21&lt;&gt;"",J21&gt;=I21*Parameters!$C$16),AND(Y21&lt;&gt;"",Y21&lt;Parameters!$C$20),AE21="Gap"),"AMBER","GREEN")))</f>
        <v/>
      </c>
      <c r="AG21" s="6" t="n">
        <f aca="false">COUNTIFS('Risk &amp; Issues Register'!$B$3:$B$200,A21,'Risk &amp; Issues Register'!$N$3:$N$200,"&lt;&gt;Closed")</f>
        <v>0</v>
      </c>
    </row>
    <row r="22" customFormat="false" ht="15" hidden="false" customHeight="true" outlineLevel="0" collapsed="false">
      <c r="A22" s="6" t="s">
        <v>243</v>
      </c>
      <c r="B22" s="24"/>
      <c r="C22" s="6"/>
      <c r="D22" s="6"/>
      <c r="E22" s="6"/>
      <c r="F22" s="6"/>
      <c r="G22" s="6"/>
      <c r="H22" s="25"/>
      <c r="I22" s="6" t="str">
        <f aca="false">IFERROR(VLOOKUP(G22,'Stage-Gate Definitions'!$A$3:$E$8,5,0),"")</f>
        <v/>
      </c>
      <c r="J22" s="6" t="str">
        <f aca="true">IF(OR(H22="",G22="Complete",G22=""),"",TODAY()-H22)</f>
        <v/>
      </c>
      <c r="K22" s="6" t="str">
        <f aca="false">IF(OR(J22="",I22=""),"",IF(J22&gt;I22,"YES",""))</f>
        <v/>
      </c>
      <c r="L22" s="25"/>
      <c r="M22" s="6"/>
      <c r="N22" s="25"/>
      <c r="O22" s="24"/>
      <c r="P22" s="25"/>
      <c r="Q22" s="24"/>
      <c r="R22" s="25"/>
      <c r="S22" s="6"/>
      <c r="T22" s="6"/>
      <c r="U22" s="6"/>
      <c r="V22" s="6"/>
      <c r="W22" s="6"/>
      <c r="X22" s="6"/>
      <c r="Y22" s="26" t="str">
        <f aca="false">IF(COUNTA(S22:X22)=0,"",COUNTIF(S22:X22,"Y")/6)</f>
        <v/>
      </c>
      <c r="Z22" s="27"/>
      <c r="AA22" s="25"/>
      <c r="AB22" s="27"/>
      <c r="AC22" s="26" t="str">
        <f aca="false">IF(OR(Z22="",Z22=0),"",AB22/Z22)</f>
        <v/>
      </c>
      <c r="AD22" s="6" t="str">
        <f aca="true">IF(AC22="","",IF(AND(TODAY()&gt;=Parameters!$C$19,AC22&lt;Parameters!$C$18),"BELOW FLOOR",""))</f>
        <v/>
      </c>
      <c r="AE22" s="6"/>
      <c r="AF22" s="13" t="str">
        <f aca="false">IF(G22="","",IF(OR(K22="YES",N(M22)&gt;=Parameters!$C$15,AD22="BELOW FLOOR",AE22="At Risk"),"RED",IF(OR(N(M22)&gt;=Parameters!$C$14,AND(J22&lt;&gt;"",I22&lt;&gt;"",J22&gt;=I22*Parameters!$C$16),AND(Y22&lt;&gt;"",Y22&lt;Parameters!$C$20),AE22="Gap"),"AMBER","GREEN")))</f>
        <v/>
      </c>
      <c r="AG22" s="6" t="n">
        <f aca="false">COUNTIFS('Risk &amp; Issues Register'!$B$3:$B$200,A22,'Risk &amp; Issues Register'!$N$3:$N$200,"&lt;&gt;Closed")</f>
        <v>0</v>
      </c>
    </row>
    <row r="23" customFormat="false" ht="15" hidden="false" customHeight="true" outlineLevel="0" collapsed="false">
      <c r="A23" s="6" t="s">
        <v>244</v>
      </c>
      <c r="B23" s="24"/>
      <c r="C23" s="6"/>
      <c r="D23" s="6"/>
      <c r="E23" s="6"/>
      <c r="F23" s="6"/>
      <c r="G23" s="6"/>
      <c r="H23" s="25"/>
      <c r="I23" s="6" t="str">
        <f aca="false">IFERROR(VLOOKUP(G23,'Stage-Gate Definitions'!$A$3:$E$8,5,0),"")</f>
        <v/>
      </c>
      <c r="J23" s="6" t="str">
        <f aca="true">IF(OR(H23="",G23="Complete",G23=""),"",TODAY()-H23)</f>
        <v/>
      </c>
      <c r="K23" s="6" t="str">
        <f aca="false">IF(OR(J23="",I23=""),"",IF(J23&gt;I23,"YES",""))</f>
        <v/>
      </c>
      <c r="L23" s="25"/>
      <c r="M23" s="6"/>
      <c r="N23" s="25"/>
      <c r="O23" s="24"/>
      <c r="P23" s="25"/>
      <c r="Q23" s="24"/>
      <c r="R23" s="25"/>
      <c r="S23" s="6"/>
      <c r="T23" s="6"/>
      <c r="U23" s="6"/>
      <c r="V23" s="6"/>
      <c r="W23" s="6"/>
      <c r="X23" s="6"/>
      <c r="Y23" s="26" t="str">
        <f aca="false">IF(COUNTA(S23:X23)=0,"",COUNTIF(S23:X23,"Y")/6)</f>
        <v/>
      </c>
      <c r="Z23" s="27"/>
      <c r="AA23" s="25"/>
      <c r="AB23" s="27"/>
      <c r="AC23" s="26" t="str">
        <f aca="false">IF(OR(Z23="",Z23=0),"",AB23/Z23)</f>
        <v/>
      </c>
      <c r="AD23" s="6" t="str">
        <f aca="true">IF(AC23="","",IF(AND(TODAY()&gt;=Parameters!$C$19,AC23&lt;Parameters!$C$18),"BELOW FLOOR",""))</f>
        <v/>
      </c>
      <c r="AE23" s="6"/>
      <c r="AF23" s="13" t="str">
        <f aca="false">IF(G23="","",IF(OR(K23="YES",N(M23)&gt;=Parameters!$C$15,AD23="BELOW FLOOR",AE23="At Risk"),"RED",IF(OR(N(M23)&gt;=Parameters!$C$14,AND(J23&lt;&gt;"",I23&lt;&gt;"",J23&gt;=I23*Parameters!$C$16),AND(Y23&lt;&gt;"",Y23&lt;Parameters!$C$20),AE23="Gap"),"AMBER","GREEN")))</f>
        <v/>
      </c>
      <c r="AG23" s="6" t="n">
        <f aca="false">COUNTIFS('Risk &amp; Issues Register'!$B$3:$B$200,A23,'Risk &amp; Issues Register'!$N$3:$N$200,"&lt;&gt;Closed")</f>
        <v>0</v>
      </c>
    </row>
    <row r="24" customFormat="false" ht="15" hidden="false" customHeight="true" outlineLevel="0" collapsed="false">
      <c r="A24" s="6" t="s">
        <v>245</v>
      </c>
      <c r="B24" s="24"/>
      <c r="C24" s="6"/>
      <c r="D24" s="6"/>
      <c r="E24" s="6"/>
      <c r="F24" s="6"/>
      <c r="G24" s="6"/>
      <c r="H24" s="25"/>
      <c r="I24" s="6" t="str">
        <f aca="false">IFERROR(VLOOKUP(G24,'Stage-Gate Definitions'!$A$3:$E$8,5,0),"")</f>
        <v/>
      </c>
      <c r="J24" s="6" t="str">
        <f aca="true">IF(OR(H24="",G24="Complete",G24=""),"",TODAY()-H24)</f>
        <v/>
      </c>
      <c r="K24" s="6" t="str">
        <f aca="false">IF(OR(J24="",I24=""),"",IF(J24&gt;I24,"YES",""))</f>
        <v/>
      </c>
      <c r="L24" s="25"/>
      <c r="M24" s="6"/>
      <c r="N24" s="25"/>
      <c r="O24" s="24"/>
      <c r="P24" s="25"/>
      <c r="Q24" s="24"/>
      <c r="R24" s="25"/>
      <c r="S24" s="6"/>
      <c r="T24" s="6"/>
      <c r="U24" s="6"/>
      <c r="V24" s="6"/>
      <c r="W24" s="6"/>
      <c r="X24" s="6"/>
      <c r="Y24" s="26" t="str">
        <f aca="false">IF(COUNTA(S24:X24)=0,"",COUNTIF(S24:X24,"Y")/6)</f>
        <v/>
      </c>
      <c r="Z24" s="27"/>
      <c r="AA24" s="25"/>
      <c r="AB24" s="27"/>
      <c r="AC24" s="26" t="str">
        <f aca="false">IF(OR(Z24="",Z24=0),"",AB24/Z24)</f>
        <v/>
      </c>
      <c r="AD24" s="6" t="str">
        <f aca="true">IF(AC24="","",IF(AND(TODAY()&gt;=Parameters!$C$19,AC24&lt;Parameters!$C$18),"BELOW FLOOR",""))</f>
        <v/>
      </c>
      <c r="AE24" s="6"/>
      <c r="AF24" s="13" t="str">
        <f aca="false">IF(G24="","",IF(OR(K24="YES",N(M24)&gt;=Parameters!$C$15,AD24="BELOW FLOOR",AE24="At Risk"),"RED",IF(OR(N(M24)&gt;=Parameters!$C$14,AND(J24&lt;&gt;"",I24&lt;&gt;"",J24&gt;=I24*Parameters!$C$16),AND(Y24&lt;&gt;"",Y24&lt;Parameters!$C$20),AE24="Gap"),"AMBER","GREEN")))</f>
        <v/>
      </c>
      <c r="AG24" s="6" t="n">
        <f aca="false">COUNTIFS('Risk &amp; Issues Register'!$B$3:$B$200,A24,'Risk &amp; Issues Register'!$N$3:$N$200,"&lt;&gt;Closed")</f>
        <v>0</v>
      </c>
    </row>
    <row r="25" customFormat="false" ht="15" hidden="false" customHeight="true" outlineLevel="0" collapsed="false">
      <c r="A25" s="6" t="s">
        <v>246</v>
      </c>
      <c r="B25" s="24"/>
      <c r="C25" s="6"/>
      <c r="D25" s="6"/>
      <c r="E25" s="6"/>
      <c r="F25" s="6"/>
      <c r="G25" s="6"/>
      <c r="H25" s="25"/>
      <c r="I25" s="6" t="str">
        <f aca="false">IFERROR(VLOOKUP(G25,'Stage-Gate Definitions'!$A$3:$E$8,5,0),"")</f>
        <v/>
      </c>
      <c r="J25" s="6" t="str">
        <f aca="true">IF(OR(H25="",G25="Complete",G25=""),"",TODAY()-H25)</f>
        <v/>
      </c>
      <c r="K25" s="6" t="str">
        <f aca="false">IF(OR(J25="",I25=""),"",IF(J25&gt;I25,"YES",""))</f>
        <v/>
      </c>
      <c r="L25" s="25"/>
      <c r="M25" s="6"/>
      <c r="N25" s="25"/>
      <c r="O25" s="24"/>
      <c r="P25" s="25"/>
      <c r="Q25" s="24"/>
      <c r="R25" s="25"/>
      <c r="S25" s="6"/>
      <c r="T25" s="6"/>
      <c r="U25" s="6"/>
      <c r="V25" s="6"/>
      <c r="W25" s="6"/>
      <c r="X25" s="6"/>
      <c r="Y25" s="26" t="str">
        <f aca="false">IF(COUNTA(S25:X25)=0,"",COUNTIF(S25:X25,"Y")/6)</f>
        <v/>
      </c>
      <c r="Z25" s="27"/>
      <c r="AA25" s="25"/>
      <c r="AB25" s="27"/>
      <c r="AC25" s="26" t="str">
        <f aca="false">IF(OR(Z25="",Z25=0),"",AB25/Z25)</f>
        <v/>
      </c>
      <c r="AD25" s="6" t="str">
        <f aca="true">IF(AC25="","",IF(AND(TODAY()&gt;=Parameters!$C$19,AC25&lt;Parameters!$C$18),"BELOW FLOOR",""))</f>
        <v/>
      </c>
      <c r="AE25" s="6"/>
      <c r="AF25" s="13" t="str">
        <f aca="false">IF(G25="","",IF(OR(K25="YES",N(M25)&gt;=Parameters!$C$15,AD25="BELOW FLOOR",AE25="At Risk"),"RED",IF(OR(N(M25)&gt;=Parameters!$C$14,AND(J25&lt;&gt;"",I25&lt;&gt;"",J25&gt;=I25*Parameters!$C$16),AND(Y25&lt;&gt;"",Y25&lt;Parameters!$C$20),AE25="Gap"),"AMBER","GREEN")))</f>
        <v/>
      </c>
      <c r="AG25" s="6" t="n">
        <f aca="false">COUNTIFS('Risk &amp; Issues Register'!$B$3:$B$200,A25,'Risk &amp; Issues Register'!$N$3:$N$200,"&lt;&gt;Closed")</f>
        <v>0</v>
      </c>
    </row>
    <row r="26" customFormat="false" ht="15" hidden="false" customHeight="true" outlineLevel="0" collapsed="false">
      <c r="A26" s="6" t="s">
        <v>247</v>
      </c>
      <c r="B26" s="24"/>
      <c r="C26" s="6"/>
      <c r="D26" s="6"/>
      <c r="E26" s="6"/>
      <c r="F26" s="6"/>
      <c r="G26" s="6"/>
      <c r="H26" s="25"/>
      <c r="I26" s="6" t="str">
        <f aca="false">IFERROR(VLOOKUP(G26,'Stage-Gate Definitions'!$A$3:$E$8,5,0),"")</f>
        <v/>
      </c>
      <c r="J26" s="6" t="str">
        <f aca="true">IF(OR(H26="",G26="Complete",G26=""),"",TODAY()-H26)</f>
        <v/>
      </c>
      <c r="K26" s="6" t="str">
        <f aca="false">IF(OR(J26="",I26=""),"",IF(J26&gt;I26,"YES",""))</f>
        <v/>
      </c>
      <c r="L26" s="25"/>
      <c r="M26" s="6"/>
      <c r="N26" s="25"/>
      <c r="O26" s="24"/>
      <c r="P26" s="25"/>
      <c r="Q26" s="24"/>
      <c r="R26" s="25"/>
      <c r="S26" s="6"/>
      <c r="T26" s="6"/>
      <c r="U26" s="6"/>
      <c r="V26" s="6"/>
      <c r="W26" s="6"/>
      <c r="X26" s="6"/>
      <c r="Y26" s="26" t="str">
        <f aca="false">IF(COUNTA(S26:X26)=0,"",COUNTIF(S26:X26,"Y")/6)</f>
        <v/>
      </c>
      <c r="Z26" s="27"/>
      <c r="AA26" s="25"/>
      <c r="AB26" s="27"/>
      <c r="AC26" s="26" t="str">
        <f aca="false">IF(OR(Z26="",Z26=0),"",AB26/Z26)</f>
        <v/>
      </c>
      <c r="AD26" s="6" t="str">
        <f aca="true">IF(AC26="","",IF(AND(TODAY()&gt;=Parameters!$C$19,AC26&lt;Parameters!$C$18),"BELOW FLOOR",""))</f>
        <v/>
      </c>
      <c r="AE26" s="6"/>
      <c r="AF26" s="13" t="str">
        <f aca="false">IF(G26="","",IF(OR(K26="YES",N(M26)&gt;=Parameters!$C$15,AD26="BELOW FLOOR",AE26="At Risk"),"RED",IF(OR(N(M26)&gt;=Parameters!$C$14,AND(J26&lt;&gt;"",I26&lt;&gt;"",J26&gt;=I26*Parameters!$C$16),AND(Y26&lt;&gt;"",Y26&lt;Parameters!$C$20),AE26="Gap"),"AMBER","GREEN")))</f>
        <v/>
      </c>
      <c r="AG26" s="6" t="n">
        <f aca="false">COUNTIFS('Risk &amp; Issues Register'!$B$3:$B$200,A26,'Risk &amp; Issues Register'!$N$3:$N$200,"&lt;&gt;Closed")</f>
        <v>0</v>
      </c>
    </row>
    <row r="27" customFormat="false" ht="15" hidden="false" customHeight="true" outlineLevel="0" collapsed="false">
      <c r="A27" s="6" t="s">
        <v>248</v>
      </c>
      <c r="B27" s="24"/>
      <c r="C27" s="6"/>
      <c r="D27" s="6"/>
      <c r="E27" s="6"/>
      <c r="F27" s="6"/>
      <c r="G27" s="6"/>
      <c r="H27" s="25"/>
      <c r="I27" s="6" t="str">
        <f aca="false">IFERROR(VLOOKUP(G27,'Stage-Gate Definitions'!$A$3:$E$8,5,0),"")</f>
        <v/>
      </c>
      <c r="J27" s="6" t="str">
        <f aca="true">IF(OR(H27="",G27="Complete",G27=""),"",TODAY()-H27)</f>
        <v/>
      </c>
      <c r="K27" s="6" t="str">
        <f aca="false">IF(OR(J27="",I27=""),"",IF(J27&gt;I27,"YES",""))</f>
        <v/>
      </c>
      <c r="L27" s="25"/>
      <c r="M27" s="6"/>
      <c r="N27" s="25"/>
      <c r="O27" s="24"/>
      <c r="P27" s="25"/>
      <c r="Q27" s="24"/>
      <c r="R27" s="25"/>
      <c r="S27" s="6"/>
      <c r="T27" s="6"/>
      <c r="U27" s="6"/>
      <c r="V27" s="6"/>
      <c r="W27" s="6"/>
      <c r="X27" s="6"/>
      <c r="Y27" s="26" t="str">
        <f aca="false">IF(COUNTA(S27:X27)=0,"",COUNTIF(S27:X27,"Y")/6)</f>
        <v/>
      </c>
      <c r="Z27" s="27"/>
      <c r="AA27" s="25"/>
      <c r="AB27" s="27"/>
      <c r="AC27" s="26" t="str">
        <f aca="false">IF(OR(Z27="",Z27=0),"",AB27/Z27)</f>
        <v/>
      </c>
      <c r="AD27" s="6" t="str">
        <f aca="true">IF(AC27="","",IF(AND(TODAY()&gt;=Parameters!$C$19,AC27&lt;Parameters!$C$18),"BELOW FLOOR",""))</f>
        <v/>
      </c>
      <c r="AE27" s="6"/>
      <c r="AF27" s="13" t="str">
        <f aca="false">IF(G27="","",IF(OR(K27="YES",N(M27)&gt;=Parameters!$C$15,AD27="BELOW FLOOR",AE27="At Risk"),"RED",IF(OR(N(M27)&gt;=Parameters!$C$14,AND(J27&lt;&gt;"",I27&lt;&gt;"",J27&gt;=I27*Parameters!$C$16),AND(Y27&lt;&gt;"",Y27&lt;Parameters!$C$20),AE27="Gap"),"AMBER","GREEN")))</f>
        <v/>
      </c>
      <c r="AG27" s="6" t="n">
        <f aca="false">COUNTIFS('Risk &amp; Issues Register'!$B$3:$B$200,A27,'Risk &amp; Issues Register'!$N$3:$N$200,"&lt;&gt;Closed")</f>
        <v>0</v>
      </c>
    </row>
    <row r="28" customFormat="false" ht="15" hidden="false" customHeight="true" outlineLevel="0" collapsed="false">
      <c r="A28" s="6" t="s">
        <v>249</v>
      </c>
      <c r="B28" s="24"/>
      <c r="C28" s="6"/>
      <c r="D28" s="6"/>
      <c r="E28" s="6"/>
      <c r="F28" s="6"/>
      <c r="G28" s="6"/>
      <c r="H28" s="25"/>
      <c r="I28" s="6" t="str">
        <f aca="false">IFERROR(VLOOKUP(G28,'Stage-Gate Definitions'!$A$3:$E$8,5,0),"")</f>
        <v/>
      </c>
      <c r="J28" s="6" t="str">
        <f aca="true">IF(OR(H28="",G28="Complete",G28=""),"",TODAY()-H28)</f>
        <v/>
      </c>
      <c r="K28" s="6" t="str">
        <f aca="false">IF(OR(J28="",I28=""),"",IF(J28&gt;I28,"YES",""))</f>
        <v/>
      </c>
      <c r="L28" s="25"/>
      <c r="M28" s="6"/>
      <c r="N28" s="25"/>
      <c r="O28" s="24"/>
      <c r="P28" s="25"/>
      <c r="Q28" s="24"/>
      <c r="R28" s="25"/>
      <c r="S28" s="6"/>
      <c r="T28" s="6"/>
      <c r="U28" s="6"/>
      <c r="V28" s="6"/>
      <c r="W28" s="6"/>
      <c r="X28" s="6"/>
      <c r="Y28" s="26" t="str">
        <f aca="false">IF(COUNTA(S28:X28)=0,"",COUNTIF(S28:X28,"Y")/6)</f>
        <v/>
      </c>
      <c r="Z28" s="27"/>
      <c r="AA28" s="25"/>
      <c r="AB28" s="27"/>
      <c r="AC28" s="26" t="str">
        <f aca="false">IF(OR(Z28="",Z28=0),"",AB28/Z28)</f>
        <v/>
      </c>
      <c r="AD28" s="6" t="str">
        <f aca="true">IF(AC28="","",IF(AND(TODAY()&gt;=Parameters!$C$19,AC28&lt;Parameters!$C$18),"BELOW FLOOR",""))</f>
        <v/>
      </c>
      <c r="AE28" s="6"/>
      <c r="AF28" s="13" t="str">
        <f aca="false">IF(G28="","",IF(OR(K28="YES",N(M28)&gt;=Parameters!$C$15,AD28="BELOW FLOOR",AE28="At Risk"),"RED",IF(OR(N(M28)&gt;=Parameters!$C$14,AND(J28&lt;&gt;"",I28&lt;&gt;"",J28&gt;=I28*Parameters!$C$16),AND(Y28&lt;&gt;"",Y28&lt;Parameters!$C$20),AE28="Gap"),"AMBER","GREEN")))</f>
        <v/>
      </c>
      <c r="AG28" s="6" t="n">
        <f aca="false">COUNTIFS('Risk &amp; Issues Register'!$B$3:$B$200,A28,'Risk &amp; Issues Register'!$N$3:$N$200,"&lt;&gt;Closed")</f>
        <v>0</v>
      </c>
    </row>
    <row r="29" customFormat="false" ht="15" hidden="false" customHeight="true" outlineLevel="0" collapsed="false">
      <c r="A29" s="6" t="s">
        <v>250</v>
      </c>
      <c r="B29" s="24"/>
      <c r="C29" s="6"/>
      <c r="D29" s="6"/>
      <c r="E29" s="6"/>
      <c r="F29" s="6"/>
      <c r="G29" s="6"/>
      <c r="H29" s="25"/>
      <c r="I29" s="6" t="str">
        <f aca="false">IFERROR(VLOOKUP(G29,'Stage-Gate Definitions'!$A$3:$E$8,5,0),"")</f>
        <v/>
      </c>
      <c r="J29" s="6" t="str">
        <f aca="true">IF(OR(H29="",G29="Complete",G29=""),"",TODAY()-H29)</f>
        <v/>
      </c>
      <c r="K29" s="6" t="str">
        <f aca="false">IF(OR(J29="",I29=""),"",IF(J29&gt;I29,"YES",""))</f>
        <v/>
      </c>
      <c r="L29" s="25"/>
      <c r="M29" s="6"/>
      <c r="N29" s="25"/>
      <c r="O29" s="24"/>
      <c r="P29" s="25"/>
      <c r="Q29" s="24"/>
      <c r="R29" s="25"/>
      <c r="S29" s="6"/>
      <c r="T29" s="6"/>
      <c r="U29" s="6"/>
      <c r="V29" s="6"/>
      <c r="W29" s="6"/>
      <c r="X29" s="6"/>
      <c r="Y29" s="26" t="str">
        <f aca="false">IF(COUNTA(S29:X29)=0,"",COUNTIF(S29:X29,"Y")/6)</f>
        <v/>
      </c>
      <c r="Z29" s="27"/>
      <c r="AA29" s="25"/>
      <c r="AB29" s="27"/>
      <c r="AC29" s="26" t="str">
        <f aca="false">IF(OR(Z29="",Z29=0),"",AB29/Z29)</f>
        <v/>
      </c>
      <c r="AD29" s="6" t="str">
        <f aca="true">IF(AC29="","",IF(AND(TODAY()&gt;=Parameters!$C$19,AC29&lt;Parameters!$C$18),"BELOW FLOOR",""))</f>
        <v/>
      </c>
      <c r="AE29" s="6"/>
      <c r="AF29" s="13" t="str">
        <f aca="false">IF(G29="","",IF(OR(K29="YES",N(M29)&gt;=Parameters!$C$15,AD29="BELOW FLOOR",AE29="At Risk"),"RED",IF(OR(N(M29)&gt;=Parameters!$C$14,AND(J29&lt;&gt;"",I29&lt;&gt;"",J29&gt;=I29*Parameters!$C$16),AND(Y29&lt;&gt;"",Y29&lt;Parameters!$C$20),AE29="Gap"),"AMBER","GREEN")))</f>
        <v/>
      </c>
      <c r="AG29" s="6" t="n">
        <f aca="false">COUNTIFS('Risk &amp; Issues Register'!$B$3:$B$200,A29,'Risk &amp; Issues Register'!$N$3:$N$200,"&lt;&gt;Closed")</f>
        <v>0</v>
      </c>
    </row>
    <row r="30" customFormat="false" ht="15" hidden="false" customHeight="true" outlineLevel="0" collapsed="false">
      <c r="A30" s="6" t="s">
        <v>251</v>
      </c>
      <c r="B30" s="24"/>
      <c r="C30" s="6"/>
      <c r="D30" s="6"/>
      <c r="E30" s="6"/>
      <c r="F30" s="6"/>
      <c r="G30" s="6"/>
      <c r="H30" s="25"/>
      <c r="I30" s="6" t="str">
        <f aca="false">IFERROR(VLOOKUP(G30,'Stage-Gate Definitions'!$A$3:$E$8,5,0),"")</f>
        <v/>
      </c>
      <c r="J30" s="6" t="str">
        <f aca="true">IF(OR(H30="",G30="Complete",G30=""),"",TODAY()-H30)</f>
        <v/>
      </c>
      <c r="K30" s="6" t="str">
        <f aca="false">IF(OR(J30="",I30=""),"",IF(J30&gt;I30,"YES",""))</f>
        <v/>
      </c>
      <c r="L30" s="25"/>
      <c r="M30" s="6"/>
      <c r="N30" s="25"/>
      <c r="O30" s="24"/>
      <c r="P30" s="25"/>
      <c r="Q30" s="24"/>
      <c r="R30" s="25"/>
      <c r="S30" s="6"/>
      <c r="T30" s="6"/>
      <c r="U30" s="6"/>
      <c r="V30" s="6"/>
      <c r="W30" s="6"/>
      <c r="X30" s="6"/>
      <c r="Y30" s="26" t="str">
        <f aca="false">IF(COUNTA(S30:X30)=0,"",COUNTIF(S30:X30,"Y")/6)</f>
        <v/>
      </c>
      <c r="Z30" s="27"/>
      <c r="AA30" s="25"/>
      <c r="AB30" s="27"/>
      <c r="AC30" s="26" t="str">
        <f aca="false">IF(OR(Z30="",Z30=0),"",AB30/Z30)</f>
        <v/>
      </c>
      <c r="AD30" s="6" t="str">
        <f aca="true">IF(AC30="","",IF(AND(TODAY()&gt;=Parameters!$C$19,AC30&lt;Parameters!$C$18),"BELOW FLOOR",""))</f>
        <v/>
      </c>
      <c r="AE30" s="6"/>
      <c r="AF30" s="13" t="str">
        <f aca="false">IF(G30="","",IF(OR(K30="YES",N(M30)&gt;=Parameters!$C$15,AD30="BELOW FLOOR",AE30="At Risk"),"RED",IF(OR(N(M30)&gt;=Parameters!$C$14,AND(J30&lt;&gt;"",I30&lt;&gt;"",J30&gt;=I30*Parameters!$C$16),AND(Y30&lt;&gt;"",Y30&lt;Parameters!$C$20),AE30="Gap"),"AMBER","GREEN")))</f>
        <v/>
      </c>
      <c r="AG30" s="6" t="n">
        <f aca="false">COUNTIFS('Risk &amp; Issues Register'!$B$3:$B$200,A30,'Risk &amp; Issues Register'!$N$3:$N$200,"&lt;&gt;Closed")</f>
        <v>0</v>
      </c>
    </row>
    <row r="31" customFormat="false" ht="15" hidden="false" customHeight="true" outlineLevel="0" collapsed="false">
      <c r="A31" s="6" t="s">
        <v>252</v>
      </c>
      <c r="B31" s="24"/>
      <c r="C31" s="6"/>
      <c r="D31" s="6"/>
      <c r="E31" s="6"/>
      <c r="F31" s="6"/>
      <c r="G31" s="6"/>
      <c r="H31" s="25"/>
      <c r="I31" s="6" t="str">
        <f aca="false">IFERROR(VLOOKUP(G31,'Stage-Gate Definitions'!$A$3:$E$8,5,0),"")</f>
        <v/>
      </c>
      <c r="J31" s="6" t="str">
        <f aca="true">IF(OR(H31="",G31="Complete",G31=""),"",TODAY()-H31)</f>
        <v/>
      </c>
      <c r="K31" s="6" t="str">
        <f aca="false">IF(OR(J31="",I31=""),"",IF(J31&gt;I31,"YES",""))</f>
        <v/>
      </c>
      <c r="L31" s="25"/>
      <c r="M31" s="6"/>
      <c r="N31" s="25"/>
      <c r="O31" s="24"/>
      <c r="P31" s="25"/>
      <c r="Q31" s="24"/>
      <c r="R31" s="25"/>
      <c r="S31" s="6"/>
      <c r="T31" s="6"/>
      <c r="U31" s="6"/>
      <c r="V31" s="6"/>
      <c r="W31" s="6"/>
      <c r="X31" s="6"/>
      <c r="Y31" s="26" t="str">
        <f aca="false">IF(COUNTA(S31:X31)=0,"",COUNTIF(S31:X31,"Y")/6)</f>
        <v/>
      </c>
      <c r="Z31" s="27"/>
      <c r="AA31" s="25"/>
      <c r="AB31" s="27"/>
      <c r="AC31" s="26" t="str">
        <f aca="false">IF(OR(Z31="",Z31=0),"",AB31/Z31)</f>
        <v/>
      </c>
      <c r="AD31" s="6" t="str">
        <f aca="true">IF(AC31="","",IF(AND(TODAY()&gt;=Parameters!$C$19,AC31&lt;Parameters!$C$18),"BELOW FLOOR",""))</f>
        <v/>
      </c>
      <c r="AE31" s="6"/>
      <c r="AF31" s="13" t="str">
        <f aca="false">IF(G31="","",IF(OR(K31="YES",N(M31)&gt;=Parameters!$C$15,AD31="BELOW FLOOR",AE31="At Risk"),"RED",IF(OR(N(M31)&gt;=Parameters!$C$14,AND(J31&lt;&gt;"",I31&lt;&gt;"",J31&gt;=I31*Parameters!$C$16),AND(Y31&lt;&gt;"",Y31&lt;Parameters!$C$20),AE31="Gap"),"AMBER","GREEN")))</f>
        <v/>
      </c>
      <c r="AG31" s="6" t="n">
        <f aca="false">COUNTIFS('Risk &amp; Issues Register'!$B$3:$B$200,A31,'Risk &amp; Issues Register'!$N$3:$N$200,"&lt;&gt;Closed")</f>
        <v>0</v>
      </c>
    </row>
    <row r="32" customFormat="false" ht="15" hidden="false" customHeight="true" outlineLevel="0" collapsed="false">
      <c r="A32" s="6" t="s">
        <v>253</v>
      </c>
      <c r="B32" s="24"/>
      <c r="C32" s="6"/>
      <c r="D32" s="6"/>
      <c r="E32" s="6"/>
      <c r="F32" s="6"/>
      <c r="G32" s="6"/>
      <c r="H32" s="25"/>
      <c r="I32" s="6" t="str">
        <f aca="false">IFERROR(VLOOKUP(G32,'Stage-Gate Definitions'!$A$3:$E$8,5,0),"")</f>
        <v/>
      </c>
      <c r="J32" s="6" t="str">
        <f aca="true">IF(OR(H32="",G32="Complete",G32=""),"",TODAY()-H32)</f>
        <v/>
      </c>
      <c r="K32" s="6" t="str">
        <f aca="false">IF(OR(J32="",I32=""),"",IF(J32&gt;I32,"YES",""))</f>
        <v/>
      </c>
      <c r="L32" s="25"/>
      <c r="M32" s="6"/>
      <c r="N32" s="25"/>
      <c r="O32" s="24"/>
      <c r="P32" s="25"/>
      <c r="Q32" s="24"/>
      <c r="R32" s="25"/>
      <c r="S32" s="6"/>
      <c r="T32" s="6"/>
      <c r="U32" s="6"/>
      <c r="V32" s="6"/>
      <c r="W32" s="6"/>
      <c r="X32" s="6"/>
      <c r="Y32" s="26" t="str">
        <f aca="false">IF(COUNTA(S32:X32)=0,"",COUNTIF(S32:X32,"Y")/6)</f>
        <v/>
      </c>
      <c r="Z32" s="27"/>
      <c r="AA32" s="25"/>
      <c r="AB32" s="27"/>
      <c r="AC32" s="26" t="str">
        <f aca="false">IF(OR(Z32="",Z32=0),"",AB32/Z32)</f>
        <v/>
      </c>
      <c r="AD32" s="6" t="str">
        <f aca="true">IF(AC32="","",IF(AND(TODAY()&gt;=Parameters!$C$19,AC32&lt;Parameters!$C$18),"BELOW FLOOR",""))</f>
        <v/>
      </c>
      <c r="AE32" s="6"/>
      <c r="AF32" s="13" t="str">
        <f aca="false">IF(G32="","",IF(OR(K32="YES",N(M32)&gt;=Parameters!$C$15,AD32="BELOW FLOOR",AE32="At Risk"),"RED",IF(OR(N(M32)&gt;=Parameters!$C$14,AND(J32&lt;&gt;"",I32&lt;&gt;"",J32&gt;=I32*Parameters!$C$16),AND(Y32&lt;&gt;"",Y32&lt;Parameters!$C$20),AE32="Gap"),"AMBER","GREEN")))</f>
        <v/>
      </c>
      <c r="AG32" s="6" t="n">
        <f aca="false">COUNTIFS('Risk &amp; Issues Register'!$B$3:$B$200,A32,'Risk &amp; Issues Register'!$N$3:$N$200,"&lt;&gt;Closed")</f>
        <v>0</v>
      </c>
    </row>
    <row r="33" customFormat="false" ht="15" hidden="false" customHeight="true" outlineLevel="0" collapsed="false">
      <c r="A33" s="6" t="s">
        <v>254</v>
      </c>
      <c r="B33" s="24"/>
      <c r="C33" s="6"/>
      <c r="D33" s="6"/>
      <c r="E33" s="6"/>
      <c r="F33" s="6"/>
      <c r="G33" s="6"/>
      <c r="H33" s="25"/>
      <c r="I33" s="6" t="str">
        <f aca="false">IFERROR(VLOOKUP(G33,'Stage-Gate Definitions'!$A$3:$E$8,5,0),"")</f>
        <v/>
      </c>
      <c r="J33" s="6" t="str">
        <f aca="true">IF(OR(H33="",G33="Complete",G33=""),"",TODAY()-H33)</f>
        <v/>
      </c>
      <c r="K33" s="6" t="str">
        <f aca="false">IF(OR(J33="",I33=""),"",IF(J33&gt;I33,"YES",""))</f>
        <v/>
      </c>
      <c r="L33" s="25"/>
      <c r="M33" s="6"/>
      <c r="N33" s="25"/>
      <c r="O33" s="24"/>
      <c r="P33" s="25"/>
      <c r="Q33" s="24"/>
      <c r="R33" s="25"/>
      <c r="S33" s="6"/>
      <c r="T33" s="6"/>
      <c r="U33" s="6"/>
      <c r="V33" s="6"/>
      <c r="W33" s="6"/>
      <c r="X33" s="6"/>
      <c r="Y33" s="26" t="str">
        <f aca="false">IF(COUNTA(S33:X33)=0,"",COUNTIF(S33:X33,"Y")/6)</f>
        <v/>
      </c>
      <c r="Z33" s="27"/>
      <c r="AA33" s="25"/>
      <c r="AB33" s="27"/>
      <c r="AC33" s="26" t="str">
        <f aca="false">IF(OR(Z33="",Z33=0),"",AB33/Z33)</f>
        <v/>
      </c>
      <c r="AD33" s="6" t="str">
        <f aca="true">IF(AC33="","",IF(AND(TODAY()&gt;=Parameters!$C$19,AC33&lt;Parameters!$C$18),"BELOW FLOOR",""))</f>
        <v/>
      </c>
      <c r="AE33" s="6"/>
      <c r="AF33" s="13" t="str">
        <f aca="false">IF(G33="","",IF(OR(K33="YES",N(M33)&gt;=Parameters!$C$15,AD33="BELOW FLOOR",AE33="At Risk"),"RED",IF(OR(N(M33)&gt;=Parameters!$C$14,AND(J33&lt;&gt;"",I33&lt;&gt;"",J33&gt;=I33*Parameters!$C$16),AND(Y33&lt;&gt;"",Y33&lt;Parameters!$C$20),AE33="Gap"),"AMBER","GREEN")))</f>
        <v/>
      </c>
      <c r="AG33" s="6" t="n">
        <f aca="false">COUNTIFS('Risk &amp; Issues Register'!$B$3:$B$200,A33,'Risk &amp; Issues Register'!$N$3:$N$200,"&lt;&gt;Closed")</f>
        <v>0</v>
      </c>
    </row>
    <row r="34" customFormat="false" ht="15" hidden="false" customHeight="true" outlineLevel="0" collapsed="false">
      <c r="A34" s="6" t="s">
        <v>255</v>
      </c>
      <c r="B34" s="24"/>
      <c r="C34" s="6"/>
      <c r="D34" s="6"/>
      <c r="E34" s="6"/>
      <c r="F34" s="6"/>
      <c r="G34" s="6"/>
      <c r="H34" s="25"/>
      <c r="I34" s="6" t="str">
        <f aca="false">IFERROR(VLOOKUP(G34,'Stage-Gate Definitions'!$A$3:$E$8,5,0),"")</f>
        <v/>
      </c>
      <c r="J34" s="6" t="str">
        <f aca="true">IF(OR(H34="",G34="Complete",G34=""),"",TODAY()-H34)</f>
        <v/>
      </c>
      <c r="K34" s="6" t="str">
        <f aca="false">IF(OR(J34="",I34=""),"",IF(J34&gt;I34,"YES",""))</f>
        <v/>
      </c>
      <c r="L34" s="25"/>
      <c r="M34" s="6"/>
      <c r="N34" s="25"/>
      <c r="O34" s="24"/>
      <c r="P34" s="25"/>
      <c r="Q34" s="24"/>
      <c r="R34" s="25"/>
      <c r="S34" s="6"/>
      <c r="T34" s="6"/>
      <c r="U34" s="6"/>
      <c r="V34" s="6"/>
      <c r="W34" s="6"/>
      <c r="X34" s="6"/>
      <c r="Y34" s="26" t="str">
        <f aca="false">IF(COUNTA(S34:X34)=0,"",COUNTIF(S34:X34,"Y")/6)</f>
        <v/>
      </c>
      <c r="Z34" s="27"/>
      <c r="AA34" s="25"/>
      <c r="AB34" s="27"/>
      <c r="AC34" s="26" t="str">
        <f aca="false">IF(OR(Z34="",Z34=0),"",AB34/Z34)</f>
        <v/>
      </c>
      <c r="AD34" s="6" t="str">
        <f aca="true">IF(AC34="","",IF(AND(TODAY()&gt;=Parameters!$C$19,AC34&lt;Parameters!$C$18),"BELOW FLOOR",""))</f>
        <v/>
      </c>
      <c r="AE34" s="6"/>
      <c r="AF34" s="13" t="str">
        <f aca="false">IF(G34="","",IF(OR(K34="YES",N(M34)&gt;=Parameters!$C$15,AD34="BELOW FLOOR",AE34="At Risk"),"RED",IF(OR(N(M34)&gt;=Parameters!$C$14,AND(J34&lt;&gt;"",I34&lt;&gt;"",J34&gt;=I34*Parameters!$C$16),AND(Y34&lt;&gt;"",Y34&lt;Parameters!$C$20),AE34="Gap"),"AMBER","GREEN")))</f>
        <v/>
      </c>
      <c r="AG34" s="6" t="n">
        <f aca="false">COUNTIFS('Risk &amp; Issues Register'!$B$3:$B$200,A34,'Risk &amp; Issues Register'!$N$3:$N$200,"&lt;&gt;Closed")</f>
        <v>0</v>
      </c>
    </row>
    <row r="35" customFormat="false" ht="15" hidden="false" customHeight="true" outlineLevel="0" collapsed="false">
      <c r="A35" s="6" t="s">
        <v>256</v>
      </c>
      <c r="B35" s="24"/>
      <c r="C35" s="6"/>
      <c r="D35" s="6"/>
      <c r="E35" s="6"/>
      <c r="F35" s="6"/>
      <c r="G35" s="6"/>
      <c r="H35" s="25"/>
      <c r="I35" s="6" t="str">
        <f aca="false">IFERROR(VLOOKUP(G35,'Stage-Gate Definitions'!$A$3:$E$8,5,0),"")</f>
        <v/>
      </c>
      <c r="J35" s="6" t="str">
        <f aca="true">IF(OR(H35="",G35="Complete",G35=""),"",TODAY()-H35)</f>
        <v/>
      </c>
      <c r="K35" s="6" t="str">
        <f aca="false">IF(OR(J35="",I35=""),"",IF(J35&gt;I35,"YES",""))</f>
        <v/>
      </c>
      <c r="L35" s="25"/>
      <c r="M35" s="6"/>
      <c r="N35" s="25"/>
      <c r="O35" s="24"/>
      <c r="P35" s="25"/>
      <c r="Q35" s="24"/>
      <c r="R35" s="25"/>
      <c r="S35" s="6"/>
      <c r="T35" s="6"/>
      <c r="U35" s="6"/>
      <c r="V35" s="6"/>
      <c r="W35" s="6"/>
      <c r="X35" s="6"/>
      <c r="Y35" s="26" t="str">
        <f aca="false">IF(COUNTA(S35:X35)=0,"",COUNTIF(S35:X35,"Y")/6)</f>
        <v/>
      </c>
      <c r="Z35" s="27"/>
      <c r="AA35" s="25"/>
      <c r="AB35" s="27"/>
      <c r="AC35" s="26" t="str">
        <f aca="false">IF(OR(Z35="",Z35=0),"",AB35/Z35)</f>
        <v/>
      </c>
      <c r="AD35" s="6" t="str">
        <f aca="true">IF(AC35="","",IF(AND(TODAY()&gt;=Parameters!$C$19,AC35&lt;Parameters!$C$18),"BELOW FLOOR",""))</f>
        <v/>
      </c>
      <c r="AE35" s="6"/>
      <c r="AF35" s="13" t="str">
        <f aca="false">IF(G35="","",IF(OR(K35="YES",N(M35)&gt;=Parameters!$C$15,AD35="BELOW FLOOR",AE35="At Risk"),"RED",IF(OR(N(M35)&gt;=Parameters!$C$14,AND(J35&lt;&gt;"",I35&lt;&gt;"",J35&gt;=I35*Parameters!$C$16),AND(Y35&lt;&gt;"",Y35&lt;Parameters!$C$20),AE35="Gap"),"AMBER","GREEN")))</f>
        <v/>
      </c>
      <c r="AG35" s="6" t="n">
        <f aca="false">COUNTIFS('Risk &amp; Issues Register'!$B$3:$B$200,A35,'Risk &amp; Issues Register'!$N$3:$N$200,"&lt;&gt;Closed")</f>
        <v>0</v>
      </c>
    </row>
    <row r="36" customFormat="false" ht="15" hidden="false" customHeight="true" outlineLevel="0" collapsed="false">
      <c r="A36" s="6" t="s">
        <v>257</v>
      </c>
      <c r="B36" s="24"/>
      <c r="C36" s="6"/>
      <c r="D36" s="6"/>
      <c r="E36" s="6"/>
      <c r="F36" s="6"/>
      <c r="G36" s="6"/>
      <c r="H36" s="25"/>
      <c r="I36" s="6" t="str">
        <f aca="false">IFERROR(VLOOKUP(G36,'Stage-Gate Definitions'!$A$3:$E$8,5,0),"")</f>
        <v/>
      </c>
      <c r="J36" s="6" t="str">
        <f aca="true">IF(OR(H36="",G36="Complete",G36=""),"",TODAY()-H36)</f>
        <v/>
      </c>
      <c r="K36" s="6" t="str">
        <f aca="false">IF(OR(J36="",I36=""),"",IF(J36&gt;I36,"YES",""))</f>
        <v/>
      </c>
      <c r="L36" s="25"/>
      <c r="M36" s="6"/>
      <c r="N36" s="25"/>
      <c r="O36" s="24"/>
      <c r="P36" s="25"/>
      <c r="Q36" s="24"/>
      <c r="R36" s="25"/>
      <c r="S36" s="6"/>
      <c r="T36" s="6"/>
      <c r="U36" s="6"/>
      <c r="V36" s="6"/>
      <c r="W36" s="6"/>
      <c r="X36" s="6"/>
      <c r="Y36" s="26" t="str">
        <f aca="false">IF(COUNTA(S36:X36)=0,"",COUNTIF(S36:X36,"Y")/6)</f>
        <v/>
      </c>
      <c r="Z36" s="27"/>
      <c r="AA36" s="25"/>
      <c r="AB36" s="27"/>
      <c r="AC36" s="26" t="str">
        <f aca="false">IF(OR(Z36="",Z36=0),"",AB36/Z36)</f>
        <v/>
      </c>
      <c r="AD36" s="6" t="str">
        <f aca="true">IF(AC36="","",IF(AND(TODAY()&gt;=Parameters!$C$19,AC36&lt;Parameters!$C$18),"BELOW FLOOR",""))</f>
        <v/>
      </c>
      <c r="AE36" s="6"/>
      <c r="AF36" s="13" t="str">
        <f aca="false">IF(G36="","",IF(OR(K36="YES",N(M36)&gt;=Parameters!$C$15,AD36="BELOW FLOOR",AE36="At Risk"),"RED",IF(OR(N(M36)&gt;=Parameters!$C$14,AND(J36&lt;&gt;"",I36&lt;&gt;"",J36&gt;=I36*Parameters!$C$16),AND(Y36&lt;&gt;"",Y36&lt;Parameters!$C$20),AE36="Gap"),"AMBER","GREEN")))</f>
        <v/>
      </c>
      <c r="AG36" s="6" t="n">
        <f aca="false">COUNTIFS('Risk &amp; Issues Register'!$B$3:$B$200,A36,'Risk &amp; Issues Register'!$N$3:$N$200,"&lt;&gt;Closed")</f>
        <v>0</v>
      </c>
    </row>
    <row r="37" customFormat="false" ht="15" hidden="false" customHeight="true" outlineLevel="0" collapsed="false">
      <c r="A37" s="6" t="s">
        <v>258</v>
      </c>
      <c r="B37" s="24"/>
      <c r="C37" s="6"/>
      <c r="D37" s="6"/>
      <c r="E37" s="6"/>
      <c r="F37" s="6"/>
      <c r="G37" s="6"/>
      <c r="H37" s="25"/>
      <c r="I37" s="6" t="str">
        <f aca="false">IFERROR(VLOOKUP(G37,'Stage-Gate Definitions'!$A$3:$E$8,5,0),"")</f>
        <v/>
      </c>
      <c r="J37" s="6" t="str">
        <f aca="true">IF(OR(H37="",G37="Complete",G37=""),"",TODAY()-H37)</f>
        <v/>
      </c>
      <c r="K37" s="6" t="str">
        <f aca="false">IF(OR(J37="",I37=""),"",IF(J37&gt;I37,"YES",""))</f>
        <v/>
      </c>
      <c r="L37" s="25"/>
      <c r="M37" s="6"/>
      <c r="N37" s="25"/>
      <c r="O37" s="24"/>
      <c r="P37" s="25"/>
      <c r="Q37" s="24"/>
      <c r="R37" s="25"/>
      <c r="S37" s="6"/>
      <c r="T37" s="6"/>
      <c r="U37" s="6"/>
      <c r="V37" s="6"/>
      <c r="W37" s="6"/>
      <c r="X37" s="6"/>
      <c r="Y37" s="26" t="str">
        <f aca="false">IF(COUNTA(S37:X37)=0,"",COUNTIF(S37:X37,"Y")/6)</f>
        <v/>
      </c>
      <c r="Z37" s="27"/>
      <c r="AA37" s="25"/>
      <c r="AB37" s="27"/>
      <c r="AC37" s="26" t="str">
        <f aca="false">IF(OR(Z37="",Z37=0),"",AB37/Z37)</f>
        <v/>
      </c>
      <c r="AD37" s="6" t="str">
        <f aca="true">IF(AC37="","",IF(AND(TODAY()&gt;=Parameters!$C$19,AC37&lt;Parameters!$C$18),"BELOW FLOOR",""))</f>
        <v/>
      </c>
      <c r="AE37" s="6"/>
      <c r="AF37" s="13" t="str">
        <f aca="false">IF(G37="","",IF(OR(K37="YES",N(M37)&gt;=Parameters!$C$15,AD37="BELOW FLOOR",AE37="At Risk"),"RED",IF(OR(N(M37)&gt;=Parameters!$C$14,AND(J37&lt;&gt;"",I37&lt;&gt;"",J37&gt;=I37*Parameters!$C$16),AND(Y37&lt;&gt;"",Y37&lt;Parameters!$C$20),AE37="Gap"),"AMBER","GREEN")))</f>
        <v/>
      </c>
      <c r="AG37" s="6" t="n">
        <f aca="false">COUNTIFS('Risk &amp; Issues Register'!$B$3:$B$200,A37,'Risk &amp; Issues Register'!$N$3:$N$200,"&lt;&gt;Closed")</f>
        <v>0</v>
      </c>
    </row>
    <row r="38" customFormat="false" ht="15" hidden="false" customHeight="true" outlineLevel="0" collapsed="false">
      <c r="A38" s="6" t="s">
        <v>259</v>
      </c>
      <c r="B38" s="24"/>
      <c r="C38" s="6"/>
      <c r="D38" s="6"/>
      <c r="E38" s="6"/>
      <c r="F38" s="6"/>
      <c r="G38" s="6"/>
      <c r="H38" s="25"/>
      <c r="I38" s="6" t="str">
        <f aca="false">IFERROR(VLOOKUP(G38,'Stage-Gate Definitions'!$A$3:$E$8,5,0),"")</f>
        <v/>
      </c>
      <c r="J38" s="6" t="str">
        <f aca="true">IF(OR(H38="",G38="Complete",G38=""),"",TODAY()-H38)</f>
        <v/>
      </c>
      <c r="K38" s="6" t="str">
        <f aca="false">IF(OR(J38="",I38=""),"",IF(J38&gt;I38,"YES",""))</f>
        <v/>
      </c>
      <c r="L38" s="25"/>
      <c r="M38" s="6"/>
      <c r="N38" s="25"/>
      <c r="O38" s="24"/>
      <c r="P38" s="25"/>
      <c r="Q38" s="24"/>
      <c r="R38" s="25"/>
      <c r="S38" s="6"/>
      <c r="T38" s="6"/>
      <c r="U38" s="6"/>
      <c r="V38" s="6"/>
      <c r="W38" s="6"/>
      <c r="X38" s="6"/>
      <c r="Y38" s="26" t="str">
        <f aca="false">IF(COUNTA(S38:X38)=0,"",COUNTIF(S38:X38,"Y")/6)</f>
        <v/>
      </c>
      <c r="Z38" s="27"/>
      <c r="AA38" s="25"/>
      <c r="AB38" s="27"/>
      <c r="AC38" s="26" t="str">
        <f aca="false">IF(OR(Z38="",Z38=0),"",AB38/Z38)</f>
        <v/>
      </c>
      <c r="AD38" s="6" t="str">
        <f aca="true">IF(AC38="","",IF(AND(TODAY()&gt;=Parameters!$C$19,AC38&lt;Parameters!$C$18),"BELOW FLOOR",""))</f>
        <v/>
      </c>
      <c r="AE38" s="6"/>
      <c r="AF38" s="13" t="str">
        <f aca="false">IF(G38="","",IF(OR(K38="YES",N(M38)&gt;=Parameters!$C$15,AD38="BELOW FLOOR",AE38="At Risk"),"RED",IF(OR(N(M38)&gt;=Parameters!$C$14,AND(J38&lt;&gt;"",I38&lt;&gt;"",J38&gt;=I38*Parameters!$C$16),AND(Y38&lt;&gt;"",Y38&lt;Parameters!$C$20),AE38="Gap"),"AMBER","GREEN")))</f>
        <v/>
      </c>
      <c r="AG38" s="6" t="n">
        <f aca="false">COUNTIFS('Risk &amp; Issues Register'!$B$3:$B$200,A38,'Risk &amp; Issues Register'!$N$3:$N$200,"&lt;&gt;Closed")</f>
        <v>0</v>
      </c>
    </row>
    <row r="39" customFormat="false" ht="15" hidden="false" customHeight="true" outlineLevel="0" collapsed="false">
      <c r="A39" s="6" t="s">
        <v>260</v>
      </c>
      <c r="B39" s="24"/>
      <c r="C39" s="6"/>
      <c r="D39" s="6"/>
      <c r="E39" s="6"/>
      <c r="F39" s="6"/>
      <c r="G39" s="6"/>
      <c r="H39" s="25"/>
      <c r="I39" s="6" t="str">
        <f aca="false">IFERROR(VLOOKUP(G39,'Stage-Gate Definitions'!$A$3:$E$8,5,0),"")</f>
        <v/>
      </c>
      <c r="J39" s="6" t="str">
        <f aca="true">IF(OR(H39="",G39="Complete",G39=""),"",TODAY()-H39)</f>
        <v/>
      </c>
      <c r="K39" s="6" t="str">
        <f aca="false">IF(OR(J39="",I39=""),"",IF(J39&gt;I39,"YES",""))</f>
        <v/>
      </c>
      <c r="L39" s="25"/>
      <c r="M39" s="6"/>
      <c r="N39" s="25"/>
      <c r="O39" s="24"/>
      <c r="P39" s="25"/>
      <c r="Q39" s="24"/>
      <c r="R39" s="25"/>
      <c r="S39" s="6"/>
      <c r="T39" s="6"/>
      <c r="U39" s="6"/>
      <c r="V39" s="6"/>
      <c r="W39" s="6"/>
      <c r="X39" s="6"/>
      <c r="Y39" s="26" t="str">
        <f aca="false">IF(COUNTA(S39:X39)=0,"",COUNTIF(S39:X39,"Y")/6)</f>
        <v/>
      </c>
      <c r="Z39" s="27"/>
      <c r="AA39" s="25"/>
      <c r="AB39" s="27"/>
      <c r="AC39" s="26" t="str">
        <f aca="false">IF(OR(Z39="",Z39=0),"",AB39/Z39)</f>
        <v/>
      </c>
      <c r="AD39" s="6" t="str">
        <f aca="true">IF(AC39="","",IF(AND(TODAY()&gt;=Parameters!$C$19,AC39&lt;Parameters!$C$18),"BELOW FLOOR",""))</f>
        <v/>
      </c>
      <c r="AE39" s="6"/>
      <c r="AF39" s="13" t="str">
        <f aca="false">IF(G39="","",IF(OR(K39="YES",N(M39)&gt;=Parameters!$C$15,AD39="BELOW FLOOR",AE39="At Risk"),"RED",IF(OR(N(M39)&gt;=Parameters!$C$14,AND(J39&lt;&gt;"",I39&lt;&gt;"",J39&gt;=I39*Parameters!$C$16),AND(Y39&lt;&gt;"",Y39&lt;Parameters!$C$20),AE39="Gap"),"AMBER","GREEN")))</f>
        <v/>
      </c>
      <c r="AG39" s="6" t="n">
        <f aca="false">COUNTIFS('Risk &amp; Issues Register'!$B$3:$B$200,A39,'Risk &amp; Issues Register'!$N$3:$N$200,"&lt;&gt;Closed")</f>
        <v>0</v>
      </c>
    </row>
    <row r="40" customFormat="false" ht="15" hidden="false" customHeight="true" outlineLevel="0" collapsed="false">
      <c r="A40" s="6" t="s">
        <v>261</v>
      </c>
      <c r="B40" s="24"/>
      <c r="C40" s="6"/>
      <c r="D40" s="6"/>
      <c r="E40" s="6"/>
      <c r="F40" s="6"/>
      <c r="G40" s="6"/>
      <c r="H40" s="25"/>
      <c r="I40" s="6" t="str">
        <f aca="false">IFERROR(VLOOKUP(G40,'Stage-Gate Definitions'!$A$3:$E$8,5,0),"")</f>
        <v/>
      </c>
      <c r="J40" s="6" t="str">
        <f aca="true">IF(OR(H40="",G40="Complete",G40=""),"",TODAY()-H40)</f>
        <v/>
      </c>
      <c r="K40" s="6" t="str">
        <f aca="false">IF(OR(J40="",I40=""),"",IF(J40&gt;I40,"YES",""))</f>
        <v/>
      </c>
      <c r="L40" s="25"/>
      <c r="M40" s="6"/>
      <c r="N40" s="25"/>
      <c r="O40" s="24"/>
      <c r="P40" s="25"/>
      <c r="Q40" s="24"/>
      <c r="R40" s="25"/>
      <c r="S40" s="6"/>
      <c r="T40" s="6"/>
      <c r="U40" s="6"/>
      <c r="V40" s="6"/>
      <c r="W40" s="6"/>
      <c r="X40" s="6"/>
      <c r="Y40" s="26" t="str">
        <f aca="false">IF(COUNTA(S40:X40)=0,"",COUNTIF(S40:X40,"Y")/6)</f>
        <v/>
      </c>
      <c r="Z40" s="27"/>
      <c r="AA40" s="25"/>
      <c r="AB40" s="27"/>
      <c r="AC40" s="26" t="str">
        <f aca="false">IF(OR(Z40="",Z40=0),"",AB40/Z40)</f>
        <v/>
      </c>
      <c r="AD40" s="6" t="str">
        <f aca="true">IF(AC40="","",IF(AND(TODAY()&gt;=Parameters!$C$19,AC40&lt;Parameters!$C$18),"BELOW FLOOR",""))</f>
        <v/>
      </c>
      <c r="AE40" s="6"/>
      <c r="AF40" s="13" t="str">
        <f aca="false">IF(G40="","",IF(OR(K40="YES",N(M40)&gt;=Parameters!$C$15,AD40="BELOW FLOOR",AE40="At Risk"),"RED",IF(OR(N(M40)&gt;=Parameters!$C$14,AND(J40&lt;&gt;"",I40&lt;&gt;"",J40&gt;=I40*Parameters!$C$16),AND(Y40&lt;&gt;"",Y40&lt;Parameters!$C$20),AE40="Gap"),"AMBER","GREEN")))</f>
        <v/>
      </c>
      <c r="AG40" s="6" t="n">
        <f aca="false">COUNTIFS('Risk &amp; Issues Register'!$B$3:$B$200,A40,'Risk &amp; Issues Register'!$N$3:$N$200,"&lt;&gt;Closed")</f>
        <v>0</v>
      </c>
    </row>
    <row r="41" customFormat="false" ht="15" hidden="false" customHeight="true" outlineLevel="0" collapsed="false">
      <c r="A41" s="6" t="s">
        <v>262</v>
      </c>
      <c r="B41" s="24"/>
      <c r="C41" s="6"/>
      <c r="D41" s="6"/>
      <c r="E41" s="6"/>
      <c r="F41" s="6"/>
      <c r="G41" s="6"/>
      <c r="H41" s="25"/>
      <c r="I41" s="6" t="str">
        <f aca="false">IFERROR(VLOOKUP(G41,'Stage-Gate Definitions'!$A$3:$E$8,5,0),"")</f>
        <v/>
      </c>
      <c r="J41" s="6" t="str">
        <f aca="true">IF(OR(H41="",G41="Complete",G41=""),"",TODAY()-H41)</f>
        <v/>
      </c>
      <c r="K41" s="6" t="str">
        <f aca="false">IF(OR(J41="",I41=""),"",IF(J41&gt;I41,"YES",""))</f>
        <v/>
      </c>
      <c r="L41" s="25"/>
      <c r="M41" s="6"/>
      <c r="N41" s="25"/>
      <c r="O41" s="24"/>
      <c r="P41" s="25"/>
      <c r="Q41" s="24"/>
      <c r="R41" s="25"/>
      <c r="S41" s="6"/>
      <c r="T41" s="6"/>
      <c r="U41" s="6"/>
      <c r="V41" s="6"/>
      <c r="W41" s="6"/>
      <c r="X41" s="6"/>
      <c r="Y41" s="26" t="str">
        <f aca="false">IF(COUNTA(S41:X41)=0,"",COUNTIF(S41:X41,"Y")/6)</f>
        <v/>
      </c>
      <c r="Z41" s="27"/>
      <c r="AA41" s="25"/>
      <c r="AB41" s="27"/>
      <c r="AC41" s="26" t="str">
        <f aca="false">IF(OR(Z41="",Z41=0),"",AB41/Z41)</f>
        <v/>
      </c>
      <c r="AD41" s="6" t="str">
        <f aca="true">IF(AC41="","",IF(AND(TODAY()&gt;=Parameters!$C$19,AC41&lt;Parameters!$C$18),"BELOW FLOOR",""))</f>
        <v/>
      </c>
      <c r="AE41" s="6"/>
      <c r="AF41" s="13" t="str">
        <f aca="false">IF(G41="","",IF(OR(K41="YES",N(M41)&gt;=Parameters!$C$15,AD41="BELOW FLOOR",AE41="At Risk"),"RED",IF(OR(N(M41)&gt;=Parameters!$C$14,AND(J41&lt;&gt;"",I41&lt;&gt;"",J41&gt;=I41*Parameters!$C$16),AND(Y41&lt;&gt;"",Y41&lt;Parameters!$C$20),AE41="Gap"),"AMBER","GREEN")))</f>
        <v/>
      </c>
      <c r="AG41" s="6" t="n">
        <f aca="false">COUNTIFS('Risk &amp; Issues Register'!$B$3:$B$200,A41,'Risk &amp; Issues Register'!$N$3:$N$200,"&lt;&gt;Closed")</f>
        <v>0</v>
      </c>
    </row>
    <row r="42" customFormat="false" ht="15" hidden="false" customHeight="true" outlineLevel="0" collapsed="false">
      <c r="A42" s="6" t="s">
        <v>263</v>
      </c>
      <c r="B42" s="24"/>
      <c r="C42" s="6"/>
      <c r="D42" s="6"/>
      <c r="E42" s="6"/>
      <c r="F42" s="6"/>
      <c r="G42" s="6"/>
      <c r="H42" s="25"/>
      <c r="I42" s="6" t="str">
        <f aca="false">IFERROR(VLOOKUP(G42,'Stage-Gate Definitions'!$A$3:$E$8,5,0),"")</f>
        <v/>
      </c>
      <c r="J42" s="6" t="str">
        <f aca="true">IF(OR(H42="",G42="Complete",G42=""),"",TODAY()-H42)</f>
        <v/>
      </c>
      <c r="K42" s="6" t="str">
        <f aca="false">IF(OR(J42="",I42=""),"",IF(J42&gt;I42,"YES",""))</f>
        <v/>
      </c>
      <c r="L42" s="25"/>
      <c r="M42" s="6"/>
      <c r="N42" s="25"/>
      <c r="O42" s="24"/>
      <c r="P42" s="25"/>
      <c r="Q42" s="24"/>
      <c r="R42" s="25"/>
      <c r="S42" s="6"/>
      <c r="T42" s="6"/>
      <c r="U42" s="6"/>
      <c r="V42" s="6"/>
      <c r="W42" s="6"/>
      <c r="X42" s="6"/>
      <c r="Y42" s="26" t="str">
        <f aca="false">IF(COUNTA(S42:X42)=0,"",COUNTIF(S42:X42,"Y")/6)</f>
        <v/>
      </c>
      <c r="Z42" s="27"/>
      <c r="AA42" s="25"/>
      <c r="AB42" s="27"/>
      <c r="AC42" s="26" t="str">
        <f aca="false">IF(OR(Z42="",Z42=0),"",AB42/Z42)</f>
        <v/>
      </c>
      <c r="AD42" s="6" t="str">
        <f aca="true">IF(AC42="","",IF(AND(TODAY()&gt;=Parameters!$C$19,AC42&lt;Parameters!$C$18),"BELOW FLOOR",""))</f>
        <v/>
      </c>
      <c r="AE42" s="6"/>
      <c r="AF42" s="13" t="str">
        <f aca="false">IF(G42="","",IF(OR(K42="YES",N(M42)&gt;=Parameters!$C$15,AD42="BELOW FLOOR",AE42="At Risk"),"RED",IF(OR(N(M42)&gt;=Parameters!$C$14,AND(J42&lt;&gt;"",I42&lt;&gt;"",J42&gt;=I42*Parameters!$C$16),AND(Y42&lt;&gt;"",Y42&lt;Parameters!$C$20),AE42="Gap"),"AMBER","GREEN")))</f>
        <v/>
      </c>
      <c r="AG42" s="6" t="n">
        <f aca="false">COUNTIFS('Risk &amp; Issues Register'!$B$3:$B$200,A42,'Risk &amp; Issues Register'!$N$3:$N$200,"&lt;&gt;Closed")</f>
        <v>0</v>
      </c>
    </row>
    <row r="43" customFormat="false" ht="15" hidden="false" customHeight="true" outlineLevel="0" collapsed="false">
      <c r="A43" s="6" t="s">
        <v>264</v>
      </c>
      <c r="B43" s="24"/>
      <c r="C43" s="6"/>
      <c r="D43" s="6"/>
      <c r="E43" s="6"/>
      <c r="F43" s="6"/>
      <c r="G43" s="6"/>
      <c r="H43" s="25"/>
      <c r="I43" s="6" t="str">
        <f aca="false">IFERROR(VLOOKUP(G43,'Stage-Gate Definitions'!$A$3:$E$8,5,0),"")</f>
        <v/>
      </c>
      <c r="J43" s="6" t="str">
        <f aca="true">IF(OR(H43="",G43="Complete",G43=""),"",TODAY()-H43)</f>
        <v/>
      </c>
      <c r="K43" s="6" t="str">
        <f aca="false">IF(OR(J43="",I43=""),"",IF(J43&gt;I43,"YES",""))</f>
        <v/>
      </c>
      <c r="L43" s="25"/>
      <c r="M43" s="6"/>
      <c r="N43" s="25"/>
      <c r="O43" s="24"/>
      <c r="P43" s="25"/>
      <c r="Q43" s="24"/>
      <c r="R43" s="25"/>
      <c r="S43" s="6"/>
      <c r="T43" s="6"/>
      <c r="U43" s="6"/>
      <c r="V43" s="6"/>
      <c r="W43" s="6"/>
      <c r="X43" s="6"/>
      <c r="Y43" s="26" t="str">
        <f aca="false">IF(COUNTA(S43:X43)=0,"",COUNTIF(S43:X43,"Y")/6)</f>
        <v/>
      </c>
      <c r="Z43" s="27"/>
      <c r="AA43" s="25"/>
      <c r="AB43" s="27"/>
      <c r="AC43" s="26" t="str">
        <f aca="false">IF(OR(Z43="",Z43=0),"",AB43/Z43)</f>
        <v/>
      </c>
      <c r="AD43" s="6" t="str">
        <f aca="true">IF(AC43="","",IF(AND(TODAY()&gt;=Parameters!$C$19,AC43&lt;Parameters!$C$18),"BELOW FLOOR",""))</f>
        <v/>
      </c>
      <c r="AE43" s="6"/>
      <c r="AF43" s="13" t="str">
        <f aca="false">IF(G43="","",IF(OR(K43="YES",N(M43)&gt;=Parameters!$C$15,AD43="BELOW FLOOR",AE43="At Risk"),"RED",IF(OR(N(M43)&gt;=Parameters!$C$14,AND(J43&lt;&gt;"",I43&lt;&gt;"",J43&gt;=I43*Parameters!$C$16),AND(Y43&lt;&gt;"",Y43&lt;Parameters!$C$20),AE43="Gap"),"AMBER","GREEN")))</f>
        <v/>
      </c>
      <c r="AG43" s="6" t="n">
        <f aca="false">COUNTIFS('Risk &amp; Issues Register'!$B$3:$B$200,A43,'Risk &amp; Issues Register'!$N$3:$N$200,"&lt;&gt;Closed")</f>
        <v>0</v>
      </c>
    </row>
    <row r="44" customFormat="false" ht="15" hidden="false" customHeight="true" outlineLevel="0" collapsed="false">
      <c r="A44" s="6" t="s">
        <v>265</v>
      </c>
      <c r="B44" s="24"/>
      <c r="C44" s="6"/>
      <c r="D44" s="6"/>
      <c r="E44" s="6"/>
      <c r="F44" s="6"/>
      <c r="G44" s="6"/>
      <c r="H44" s="25"/>
      <c r="I44" s="6" t="str">
        <f aca="false">IFERROR(VLOOKUP(G44,'Stage-Gate Definitions'!$A$3:$E$8,5,0),"")</f>
        <v/>
      </c>
      <c r="J44" s="6" t="str">
        <f aca="true">IF(OR(H44="",G44="Complete",G44=""),"",TODAY()-H44)</f>
        <v/>
      </c>
      <c r="K44" s="6" t="str">
        <f aca="false">IF(OR(J44="",I44=""),"",IF(J44&gt;I44,"YES",""))</f>
        <v/>
      </c>
      <c r="L44" s="25"/>
      <c r="M44" s="6"/>
      <c r="N44" s="25"/>
      <c r="O44" s="24"/>
      <c r="P44" s="25"/>
      <c r="Q44" s="24"/>
      <c r="R44" s="25"/>
      <c r="S44" s="6"/>
      <c r="T44" s="6"/>
      <c r="U44" s="6"/>
      <c r="V44" s="6"/>
      <c r="W44" s="6"/>
      <c r="X44" s="6"/>
      <c r="Y44" s="26" t="str">
        <f aca="false">IF(COUNTA(S44:X44)=0,"",COUNTIF(S44:X44,"Y")/6)</f>
        <v/>
      </c>
      <c r="Z44" s="27"/>
      <c r="AA44" s="25"/>
      <c r="AB44" s="27"/>
      <c r="AC44" s="26" t="str">
        <f aca="false">IF(OR(Z44="",Z44=0),"",AB44/Z44)</f>
        <v/>
      </c>
      <c r="AD44" s="6" t="str">
        <f aca="true">IF(AC44="","",IF(AND(TODAY()&gt;=Parameters!$C$19,AC44&lt;Parameters!$C$18),"BELOW FLOOR",""))</f>
        <v/>
      </c>
      <c r="AE44" s="6"/>
      <c r="AF44" s="13" t="str">
        <f aca="false">IF(G44="","",IF(OR(K44="YES",N(M44)&gt;=Parameters!$C$15,AD44="BELOW FLOOR",AE44="At Risk"),"RED",IF(OR(N(M44)&gt;=Parameters!$C$14,AND(J44&lt;&gt;"",I44&lt;&gt;"",J44&gt;=I44*Parameters!$C$16),AND(Y44&lt;&gt;"",Y44&lt;Parameters!$C$20),AE44="Gap"),"AMBER","GREEN")))</f>
        <v/>
      </c>
      <c r="AG44" s="6" t="n">
        <f aca="false">COUNTIFS('Risk &amp; Issues Register'!$B$3:$B$200,A44,'Risk &amp; Issues Register'!$N$3:$N$200,"&lt;&gt;Closed")</f>
        <v>0</v>
      </c>
    </row>
    <row r="45" customFormat="false" ht="15" hidden="false" customHeight="true" outlineLevel="0" collapsed="false">
      <c r="A45" s="6" t="s">
        <v>266</v>
      </c>
      <c r="B45" s="24"/>
      <c r="C45" s="6"/>
      <c r="D45" s="6"/>
      <c r="E45" s="6"/>
      <c r="F45" s="6"/>
      <c r="G45" s="6"/>
      <c r="H45" s="25"/>
      <c r="I45" s="6" t="str">
        <f aca="false">IFERROR(VLOOKUP(G45,'Stage-Gate Definitions'!$A$3:$E$8,5,0),"")</f>
        <v/>
      </c>
      <c r="J45" s="6" t="str">
        <f aca="true">IF(OR(H45="",G45="Complete",G45=""),"",TODAY()-H45)</f>
        <v/>
      </c>
      <c r="K45" s="6" t="str">
        <f aca="false">IF(OR(J45="",I45=""),"",IF(J45&gt;I45,"YES",""))</f>
        <v/>
      </c>
      <c r="L45" s="25"/>
      <c r="M45" s="6"/>
      <c r="N45" s="25"/>
      <c r="O45" s="24"/>
      <c r="P45" s="25"/>
      <c r="Q45" s="24"/>
      <c r="R45" s="25"/>
      <c r="S45" s="6"/>
      <c r="T45" s="6"/>
      <c r="U45" s="6"/>
      <c r="V45" s="6"/>
      <c r="W45" s="6"/>
      <c r="X45" s="6"/>
      <c r="Y45" s="26" t="str">
        <f aca="false">IF(COUNTA(S45:X45)=0,"",COUNTIF(S45:X45,"Y")/6)</f>
        <v/>
      </c>
      <c r="Z45" s="27"/>
      <c r="AA45" s="25"/>
      <c r="AB45" s="27"/>
      <c r="AC45" s="26" t="str">
        <f aca="false">IF(OR(Z45="",Z45=0),"",AB45/Z45)</f>
        <v/>
      </c>
      <c r="AD45" s="6" t="str">
        <f aca="true">IF(AC45="","",IF(AND(TODAY()&gt;=Parameters!$C$19,AC45&lt;Parameters!$C$18),"BELOW FLOOR",""))</f>
        <v/>
      </c>
      <c r="AE45" s="6"/>
      <c r="AF45" s="13" t="str">
        <f aca="false">IF(G45="","",IF(OR(K45="YES",N(M45)&gt;=Parameters!$C$15,AD45="BELOW FLOOR",AE45="At Risk"),"RED",IF(OR(N(M45)&gt;=Parameters!$C$14,AND(J45&lt;&gt;"",I45&lt;&gt;"",J45&gt;=I45*Parameters!$C$16),AND(Y45&lt;&gt;"",Y45&lt;Parameters!$C$20),AE45="Gap"),"AMBER","GREEN")))</f>
        <v/>
      </c>
      <c r="AG45" s="6" t="n">
        <f aca="false">COUNTIFS('Risk &amp; Issues Register'!$B$3:$B$200,A45,'Risk &amp; Issues Register'!$N$3:$N$200,"&lt;&gt;Closed")</f>
        <v>0</v>
      </c>
    </row>
    <row r="46" customFormat="false" ht="15" hidden="false" customHeight="true" outlineLevel="0" collapsed="false">
      <c r="A46" s="6" t="s">
        <v>267</v>
      </c>
      <c r="B46" s="24"/>
      <c r="C46" s="6"/>
      <c r="D46" s="6"/>
      <c r="E46" s="6"/>
      <c r="F46" s="6"/>
      <c r="G46" s="6"/>
      <c r="H46" s="25"/>
      <c r="I46" s="6" t="str">
        <f aca="false">IFERROR(VLOOKUP(G46,'Stage-Gate Definitions'!$A$3:$E$8,5,0),"")</f>
        <v/>
      </c>
      <c r="J46" s="6" t="str">
        <f aca="true">IF(OR(H46="",G46="Complete",G46=""),"",TODAY()-H46)</f>
        <v/>
      </c>
      <c r="K46" s="6" t="str">
        <f aca="false">IF(OR(J46="",I46=""),"",IF(J46&gt;I46,"YES",""))</f>
        <v/>
      </c>
      <c r="L46" s="25"/>
      <c r="M46" s="6"/>
      <c r="N46" s="25"/>
      <c r="O46" s="24"/>
      <c r="P46" s="25"/>
      <c r="Q46" s="24"/>
      <c r="R46" s="25"/>
      <c r="S46" s="6"/>
      <c r="T46" s="6"/>
      <c r="U46" s="6"/>
      <c r="V46" s="6"/>
      <c r="W46" s="6"/>
      <c r="X46" s="6"/>
      <c r="Y46" s="26" t="str">
        <f aca="false">IF(COUNTA(S46:X46)=0,"",COUNTIF(S46:X46,"Y")/6)</f>
        <v/>
      </c>
      <c r="Z46" s="27"/>
      <c r="AA46" s="25"/>
      <c r="AB46" s="27"/>
      <c r="AC46" s="26" t="str">
        <f aca="false">IF(OR(Z46="",Z46=0),"",AB46/Z46)</f>
        <v/>
      </c>
      <c r="AD46" s="6" t="str">
        <f aca="true">IF(AC46="","",IF(AND(TODAY()&gt;=Parameters!$C$19,AC46&lt;Parameters!$C$18),"BELOW FLOOR",""))</f>
        <v/>
      </c>
      <c r="AE46" s="6"/>
      <c r="AF46" s="13" t="str">
        <f aca="false">IF(G46="","",IF(OR(K46="YES",N(M46)&gt;=Parameters!$C$15,AD46="BELOW FLOOR",AE46="At Risk"),"RED",IF(OR(N(M46)&gt;=Parameters!$C$14,AND(J46&lt;&gt;"",I46&lt;&gt;"",J46&gt;=I46*Parameters!$C$16),AND(Y46&lt;&gt;"",Y46&lt;Parameters!$C$20),AE46="Gap"),"AMBER","GREEN")))</f>
        <v/>
      </c>
      <c r="AG46" s="6" t="n">
        <f aca="false">COUNTIFS('Risk &amp; Issues Register'!$B$3:$B$200,A46,'Risk &amp; Issues Register'!$N$3:$N$200,"&lt;&gt;Closed")</f>
        <v>0</v>
      </c>
    </row>
    <row r="47" customFormat="false" ht="15" hidden="false" customHeight="true" outlineLevel="0" collapsed="false">
      <c r="A47" s="6" t="s">
        <v>268</v>
      </c>
      <c r="B47" s="24"/>
      <c r="C47" s="6"/>
      <c r="D47" s="6"/>
      <c r="E47" s="6"/>
      <c r="F47" s="6"/>
      <c r="G47" s="6"/>
      <c r="H47" s="25"/>
      <c r="I47" s="6" t="str">
        <f aca="false">IFERROR(VLOOKUP(G47,'Stage-Gate Definitions'!$A$3:$E$8,5,0),"")</f>
        <v/>
      </c>
      <c r="J47" s="6" t="str">
        <f aca="true">IF(OR(H47="",G47="Complete",G47=""),"",TODAY()-H47)</f>
        <v/>
      </c>
      <c r="K47" s="6" t="str">
        <f aca="false">IF(OR(J47="",I47=""),"",IF(J47&gt;I47,"YES",""))</f>
        <v/>
      </c>
      <c r="L47" s="25"/>
      <c r="M47" s="6"/>
      <c r="N47" s="25"/>
      <c r="O47" s="24"/>
      <c r="P47" s="25"/>
      <c r="Q47" s="24"/>
      <c r="R47" s="25"/>
      <c r="S47" s="6"/>
      <c r="T47" s="6"/>
      <c r="U47" s="6"/>
      <c r="V47" s="6"/>
      <c r="W47" s="6"/>
      <c r="X47" s="6"/>
      <c r="Y47" s="26" t="str">
        <f aca="false">IF(COUNTA(S47:X47)=0,"",COUNTIF(S47:X47,"Y")/6)</f>
        <v/>
      </c>
      <c r="Z47" s="27"/>
      <c r="AA47" s="25"/>
      <c r="AB47" s="27"/>
      <c r="AC47" s="26" t="str">
        <f aca="false">IF(OR(Z47="",Z47=0),"",AB47/Z47)</f>
        <v/>
      </c>
      <c r="AD47" s="6" t="str">
        <f aca="true">IF(AC47="","",IF(AND(TODAY()&gt;=Parameters!$C$19,AC47&lt;Parameters!$C$18),"BELOW FLOOR",""))</f>
        <v/>
      </c>
      <c r="AE47" s="6"/>
      <c r="AF47" s="13" t="str">
        <f aca="false">IF(G47="","",IF(OR(K47="YES",N(M47)&gt;=Parameters!$C$15,AD47="BELOW FLOOR",AE47="At Risk"),"RED",IF(OR(N(M47)&gt;=Parameters!$C$14,AND(J47&lt;&gt;"",I47&lt;&gt;"",J47&gt;=I47*Parameters!$C$16),AND(Y47&lt;&gt;"",Y47&lt;Parameters!$C$20),AE47="Gap"),"AMBER","GREEN")))</f>
        <v/>
      </c>
      <c r="AG47" s="6" t="n">
        <f aca="false">COUNTIFS('Risk &amp; Issues Register'!$B$3:$B$200,A47,'Risk &amp; Issues Register'!$N$3:$N$200,"&lt;&gt;Closed")</f>
        <v>0</v>
      </c>
    </row>
    <row r="48" customFormat="false" ht="15" hidden="false" customHeight="true" outlineLevel="0" collapsed="false">
      <c r="A48" s="6" t="s">
        <v>269</v>
      </c>
      <c r="B48" s="24"/>
      <c r="C48" s="6"/>
      <c r="D48" s="6"/>
      <c r="E48" s="6"/>
      <c r="F48" s="6"/>
      <c r="G48" s="6"/>
      <c r="H48" s="25"/>
      <c r="I48" s="6" t="str">
        <f aca="false">IFERROR(VLOOKUP(G48,'Stage-Gate Definitions'!$A$3:$E$8,5,0),"")</f>
        <v/>
      </c>
      <c r="J48" s="6" t="str">
        <f aca="true">IF(OR(H48="",G48="Complete",G48=""),"",TODAY()-H48)</f>
        <v/>
      </c>
      <c r="K48" s="6" t="str">
        <f aca="false">IF(OR(J48="",I48=""),"",IF(J48&gt;I48,"YES",""))</f>
        <v/>
      </c>
      <c r="L48" s="25"/>
      <c r="M48" s="6"/>
      <c r="N48" s="25"/>
      <c r="O48" s="24"/>
      <c r="P48" s="25"/>
      <c r="Q48" s="24"/>
      <c r="R48" s="25"/>
      <c r="S48" s="6"/>
      <c r="T48" s="6"/>
      <c r="U48" s="6"/>
      <c r="V48" s="6"/>
      <c r="W48" s="6"/>
      <c r="X48" s="6"/>
      <c r="Y48" s="26" t="str">
        <f aca="false">IF(COUNTA(S48:X48)=0,"",COUNTIF(S48:X48,"Y")/6)</f>
        <v/>
      </c>
      <c r="Z48" s="27"/>
      <c r="AA48" s="25"/>
      <c r="AB48" s="27"/>
      <c r="AC48" s="26" t="str">
        <f aca="false">IF(OR(Z48="",Z48=0),"",AB48/Z48)</f>
        <v/>
      </c>
      <c r="AD48" s="6" t="str">
        <f aca="true">IF(AC48="","",IF(AND(TODAY()&gt;=Parameters!$C$19,AC48&lt;Parameters!$C$18),"BELOW FLOOR",""))</f>
        <v/>
      </c>
      <c r="AE48" s="6"/>
      <c r="AF48" s="13" t="str">
        <f aca="false">IF(G48="","",IF(OR(K48="YES",N(M48)&gt;=Parameters!$C$15,AD48="BELOW FLOOR",AE48="At Risk"),"RED",IF(OR(N(M48)&gt;=Parameters!$C$14,AND(J48&lt;&gt;"",I48&lt;&gt;"",J48&gt;=I48*Parameters!$C$16),AND(Y48&lt;&gt;"",Y48&lt;Parameters!$C$20),AE48="Gap"),"AMBER","GREEN")))</f>
        <v/>
      </c>
      <c r="AG48" s="6" t="n">
        <f aca="false">COUNTIFS('Risk &amp; Issues Register'!$B$3:$B$200,A48,'Risk &amp; Issues Register'!$N$3:$N$200,"&lt;&gt;Closed")</f>
        <v>0</v>
      </c>
    </row>
    <row r="49" customFormat="false" ht="15" hidden="false" customHeight="true" outlineLevel="0" collapsed="false">
      <c r="A49" s="6" t="s">
        <v>270</v>
      </c>
      <c r="B49" s="24"/>
      <c r="C49" s="6"/>
      <c r="D49" s="6"/>
      <c r="E49" s="6"/>
      <c r="F49" s="6"/>
      <c r="G49" s="6"/>
      <c r="H49" s="25"/>
      <c r="I49" s="6" t="str">
        <f aca="false">IFERROR(VLOOKUP(G49,'Stage-Gate Definitions'!$A$3:$E$8,5,0),"")</f>
        <v/>
      </c>
      <c r="J49" s="6" t="str">
        <f aca="true">IF(OR(H49="",G49="Complete",G49=""),"",TODAY()-H49)</f>
        <v/>
      </c>
      <c r="K49" s="6" t="str">
        <f aca="false">IF(OR(J49="",I49=""),"",IF(J49&gt;I49,"YES",""))</f>
        <v/>
      </c>
      <c r="L49" s="25"/>
      <c r="M49" s="6"/>
      <c r="N49" s="25"/>
      <c r="O49" s="24"/>
      <c r="P49" s="25"/>
      <c r="Q49" s="24"/>
      <c r="R49" s="25"/>
      <c r="S49" s="6"/>
      <c r="T49" s="6"/>
      <c r="U49" s="6"/>
      <c r="V49" s="6"/>
      <c r="W49" s="6"/>
      <c r="X49" s="6"/>
      <c r="Y49" s="26" t="str">
        <f aca="false">IF(COUNTA(S49:X49)=0,"",COUNTIF(S49:X49,"Y")/6)</f>
        <v/>
      </c>
      <c r="Z49" s="27"/>
      <c r="AA49" s="25"/>
      <c r="AB49" s="27"/>
      <c r="AC49" s="26" t="str">
        <f aca="false">IF(OR(Z49="",Z49=0),"",AB49/Z49)</f>
        <v/>
      </c>
      <c r="AD49" s="6" t="str">
        <f aca="true">IF(AC49="","",IF(AND(TODAY()&gt;=Parameters!$C$19,AC49&lt;Parameters!$C$18),"BELOW FLOOR",""))</f>
        <v/>
      </c>
      <c r="AE49" s="6"/>
      <c r="AF49" s="13" t="str">
        <f aca="false">IF(G49="","",IF(OR(K49="YES",N(M49)&gt;=Parameters!$C$15,AD49="BELOW FLOOR",AE49="At Risk"),"RED",IF(OR(N(M49)&gt;=Parameters!$C$14,AND(J49&lt;&gt;"",I49&lt;&gt;"",J49&gt;=I49*Parameters!$C$16),AND(Y49&lt;&gt;"",Y49&lt;Parameters!$C$20),AE49="Gap"),"AMBER","GREEN")))</f>
        <v/>
      </c>
      <c r="AG49" s="6" t="n">
        <f aca="false">COUNTIFS('Risk &amp; Issues Register'!$B$3:$B$200,A49,'Risk &amp; Issues Register'!$N$3:$N$200,"&lt;&gt;Closed")</f>
        <v>0</v>
      </c>
    </row>
    <row r="50" customFormat="false" ht="15" hidden="false" customHeight="true" outlineLevel="0" collapsed="false">
      <c r="A50" s="6" t="s">
        <v>271</v>
      </c>
      <c r="B50" s="24"/>
      <c r="C50" s="6"/>
      <c r="D50" s="6"/>
      <c r="E50" s="6"/>
      <c r="F50" s="6"/>
      <c r="G50" s="6"/>
      <c r="H50" s="25"/>
      <c r="I50" s="6" t="str">
        <f aca="false">IFERROR(VLOOKUP(G50,'Stage-Gate Definitions'!$A$3:$E$8,5,0),"")</f>
        <v/>
      </c>
      <c r="J50" s="6" t="str">
        <f aca="true">IF(OR(H50="",G50="Complete",G50=""),"",TODAY()-H50)</f>
        <v/>
      </c>
      <c r="K50" s="6" t="str">
        <f aca="false">IF(OR(J50="",I50=""),"",IF(J50&gt;I50,"YES",""))</f>
        <v/>
      </c>
      <c r="L50" s="25"/>
      <c r="M50" s="6"/>
      <c r="N50" s="25"/>
      <c r="O50" s="24"/>
      <c r="P50" s="25"/>
      <c r="Q50" s="24"/>
      <c r="R50" s="25"/>
      <c r="S50" s="6"/>
      <c r="T50" s="6"/>
      <c r="U50" s="6"/>
      <c r="V50" s="6"/>
      <c r="W50" s="6"/>
      <c r="X50" s="6"/>
      <c r="Y50" s="26" t="str">
        <f aca="false">IF(COUNTA(S50:X50)=0,"",COUNTIF(S50:X50,"Y")/6)</f>
        <v/>
      </c>
      <c r="Z50" s="27"/>
      <c r="AA50" s="25"/>
      <c r="AB50" s="27"/>
      <c r="AC50" s="26" t="str">
        <f aca="false">IF(OR(Z50="",Z50=0),"",AB50/Z50)</f>
        <v/>
      </c>
      <c r="AD50" s="6" t="str">
        <f aca="true">IF(AC50="","",IF(AND(TODAY()&gt;=Parameters!$C$19,AC50&lt;Parameters!$C$18),"BELOW FLOOR",""))</f>
        <v/>
      </c>
      <c r="AE50" s="6"/>
      <c r="AF50" s="13" t="str">
        <f aca="false">IF(G50="","",IF(OR(K50="YES",N(M50)&gt;=Parameters!$C$15,AD50="BELOW FLOOR",AE50="At Risk"),"RED",IF(OR(N(M50)&gt;=Parameters!$C$14,AND(J50&lt;&gt;"",I50&lt;&gt;"",J50&gt;=I50*Parameters!$C$16),AND(Y50&lt;&gt;"",Y50&lt;Parameters!$C$20),AE50="Gap"),"AMBER","GREEN")))</f>
        <v/>
      </c>
      <c r="AG50" s="6" t="n">
        <f aca="false">COUNTIFS('Risk &amp; Issues Register'!$B$3:$B$200,A50,'Risk &amp; Issues Register'!$N$3:$N$200,"&lt;&gt;Closed")</f>
        <v>0</v>
      </c>
    </row>
    <row r="51" customFormat="false" ht="15" hidden="false" customHeight="true" outlineLevel="0" collapsed="false">
      <c r="A51" s="6" t="s">
        <v>272</v>
      </c>
      <c r="B51" s="24"/>
      <c r="C51" s="6"/>
      <c r="D51" s="6"/>
      <c r="E51" s="6"/>
      <c r="F51" s="6"/>
      <c r="G51" s="6"/>
      <c r="H51" s="25"/>
      <c r="I51" s="6" t="str">
        <f aca="false">IFERROR(VLOOKUP(G51,'Stage-Gate Definitions'!$A$3:$E$8,5,0),"")</f>
        <v/>
      </c>
      <c r="J51" s="6" t="str">
        <f aca="true">IF(OR(H51="",G51="Complete",G51=""),"",TODAY()-H51)</f>
        <v/>
      </c>
      <c r="K51" s="6" t="str">
        <f aca="false">IF(OR(J51="",I51=""),"",IF(J51&gt;I51,"YES",""))</f>
        <v/>
      </c>
      <c r="L51" s="25"/>
      <c r="M51" s="6"/>
      <c r="N51" s="25"/>
      <c r="O51" s="24"/>
      <c r="P51" s="25"/>
      <c r="Q51" s="24"/>
      <c r="R51" s="25"/>
      <c r="S51" s="6"/>
      <c r="T51" s="6"/>
      <c r="U51" s="6"/>
      <c r="V51" s="6"/>
      <c r="W51" s="6"/>
      <c r="X51" s="6"/>
      <c r="Y51" s="26" t="str">
        <f aca="false">IF(COUNTA(S51:X51)=0,"",COUNTIF(S51:X51,"Y")/6)</f>
        <v/>
      </c>
      <c r="Z51" s="27"/>
      <c r="AA51" s="25"/>
      <c r="AB51" s="27"/>
      <c r="AC51" s="26" t="str">
        <f aca="false">IF(OR(Z51="",Z51=0),"",AB51/Z51)</f>
        <v/>
      </c>
      <c r="AD51" s="6" t="str">
        <f aca="true">IF(AC51="","",IF(AND(TODAY()&gt;=Parameters!$C$19,AC51&lt;Parameters!$C$18),"BELOW FLOOR",""))</f>
        <v/>
      </c>
      <c r="AE51" s="6"/>
      <c r="AF51" s="13" t="str">
        <f aca="false">IF(G51="","",IF(OR(K51="YES",N(M51)&gt;=Parameters!$C$15,AD51="BELOW FLOOR",AE51="At Risk"),"RED",IF(OR(N(M51)&gt;=Parameters!$C$14,AND(J51&lt;&gt;"",I51&lt;&gt;"",J51&gt;=I51*Parameters!$C$16),AND(Y51&lt;&gt;"",Y51&lt;Parameters!$C$20),AE51="Gap"),"AMBER","GREEN")))</f>
        <v/>
      </c>
      <c r="AG51" s="6" t="n">
        <f aca="false">COUNTIFS('Risk &amp; Issues Register'!$B$3:$B$200,A51,'Risk &amp; Issues Register'!$N$3:$N$200,"&lt;&gt;Closed")</f>
        <v>0</v>
      </c>
    </row>
    <row r="52" customFormat="false" ht="15" hidden="false" customHeight="true" outlineLevel="0" collapsed="false">
      <c r="A52" s="6" t="s">
        <v>273</v>
      </c>
      <c r="B52" s="24"/>
      <c r="C52" s="6"/>
      <c r="D52" s="6"/>
      <c r="E52" s="6"/>
      <c r="F52" s="6"/>
      <c r="G52" s="6"/>
      <c r="H52" s="25"/>
      <c r="I52" s="6" t="str">
        <f aca="false">IFERROR(VLOOKUP(G52,'Stage-Gate Definitions'!$A$3:$E$8,5,0),"")</f>
        <v/>
      </c>
      <c r="J52" s="6" t="str">
        <f aca="true">IF(OR(H52="",G52="Complete",G52=""),"",TODAY()-H52)</f>
        <v/>
      </c>
      <c r="K52" s="6" t="str">
        <f aca="false">IF(OR(J52="",I52=""),"",IF(J52&gt;I52,"YES",""))</f>
        <v/>
      </c>
      <c r="L52" s="25"/>
      <c r="M52" s="6"/>
      <c r="N52" s="25"/>
      <c r="O52" s="24"/>
      <c r="P52" s="25"/>
      <c r="Q52" s="24"/>
      <c r="R52" s="25"/>
      <c r="S52" s="6"/>
      <c r="T52" s="6"/>
      <c r="U52" s="6"/>
      <c r="V52" s="6"/>
      <c r="W52" s="6"/>
      <c r="X52" s="6"/>
      <c r="Y52" s="26" t="str">
        <f aca="false">IF(COUNTA(S52:X52)=0,"",COUNTIF(S52:X52,"Y")/6)</f>
        <v/>
      </c>
      <c r="Z52" s="27"/>
      <c r="AA52" s="25"/>
      <c r="AB52" s="27"/>
      <c r="AC52" s="26" t="str">
        <f aca="false">IF(OR(Z52="",Z52=0),"",AB52/Z52)</f>
        <v/>
      </c>
      <c r="AD52" s="6" t="str">
        <f aca="true">IF(AC52="","",IF(AND(TODAY()&gt;=Parameters!$C$19,AC52&lt;Parameters!$C$18),"BELOW FLOOR",""))</f>
        <v/>
      </c>
      <c r="AE52" s="6"/>
      <c r="AF52" s="13" t="str">
        <f aca="false">IF(G52="","",IF(OR(K52="YES",N(M52)&gt;=Parameters!$C$15,AD52="BELOW FLOOR",AE52="At Risk"),"RED",IF(OR(N(M52)&gt;=Parameters!$C$14,AND(J52&lt;&gt;"",I52&lt;&gt;"",J52&gt;=I52*Parameters!$C$16),AND(Y52&lt;&gt;"",Y52&lt;Parameters!$C$20),AE52="Gap"),"AMBER","GREEN")))</f>
        <v/>
      </c>
      <c r="AG52" s="6" t="n">
        <f aca="false">COUNTIFS('Risk &amp; Issues Register'!$B$3:$B$200,A52,'Risk &amp; Issues Register'!$N$3:$N$200,"&lt;&gt;Closed")</f>
        <v>0</v>
      </c>
    </row>
    <row r="53" customFormat="false" ht="15" hidden="false" customHeight="true" outlineLevel="0" collapsed="false">
      <c r="A53" s="6" t="s">
        <v>274</v>
      </c>
      <c r="B53" s="24"/>
      <c r="C53" s="6"/>
      <c r="D53" s="6"/>
      <c r="E53" s="6"/>
      <c r="F53" s="6"/>
      <c r="G53" s="6"/>
      <c r="H53" s="25"/>
      <c r="I53" s="6" t="str">
        <f aca="false">IFERROR(VLOOKUP(G53,'Stage-Gate Definitions'!$A$3:$E$8,5,0),"")</f>
        <v/>
      </c>
      <c r="J53" s="6" t="str">
        <f aca="true">IF(OR(H53="",G53="Complete",G53=""),"",TODAY()-H53)</f>
        <v/>
      </c>
      <c r="K53" s="6" t="str">
        <f aca="false">IF(OR(J53="",I53=""),"",IF(J53&gt;I53,"YES",""))</f>
        <v/>
      </c>
      <c r="L53" s="25"/>
      <c r="M53" s="6"/>
      <c r="N53" s="25"/>
      <c r="O53" s="24"/>
      <c r="P53" s="25"/>
      <c r="Q53" s="24"/>
      <c r="R53" s="25"/>
      <c r="S53" s="6"/>
      <c r="T53" s="6"/>
      <c r="U53" s="6"/>
      <c r="V53" s="6"/>
      <c r="W53" s="6"/>
      <c r="X53" s="6"/>
      <c r="Y53" s="26" t="str">
        <f aca="false">IF(COUNTA(S53:X53)=0,"",COUNTIF(S53:X53,"Y")/6)</f>
        <v/>
      </c>
      <c r="Z53" s="27"/>
      <c r="AA53" s="25"/>
      <c r="AB53" s="27"/>
      <c r="AC53" s="26" t="str">
        <f aca="false">IF(OR(Z53="",Z53=0),"",AB53/Z53)</f>
        <v/>
      </c>
      <c r="AD53" s="6" t="str">
        <f aca="true">IF(AC53="","",IF(AND(TODAY()&gt;=Parameters!$C$19,AC53&lt;Parameters!$C$18),"BELOW FLOOR",""))</f>
        <v/>
      </c>
      <c r="AE53" s="6"/>
      <c r="AF53" s="13" t="str">
        <f aca="false">IF(G53="","",IF(OR(K53="YES",N(M53)&gt;=Parameters!$C$15,AD53="BELOW FLOOR",AE53="At Risk"),"RED",IF(OR(N(M53)&gt;=Parameters!$C$14,AND(J53&lt;&gt;"",I53&lt;&gt;"",J53&gt;=I53*Parameters!$C$16),AND(Y53&lt;&gt;"",Y53&lt;Parameters!$C$20),AE53="Gap"),"AMBER","GREEN")))</f>
        <v/>
      </c>
      <c r="AG53" s="6" t="n">
        <f aca="false">COUNTIFS('Risk &amp; Issues Register'!$B$3:$B$200,A53,'Risk &amp; Issues Register'!$N$3:$N$200,"&lt;&gt;Closed")</f>
        <v>0</v>
      </c>
    </row>
    <row r="54" customFormat="false" ht="15" hidden="false" customHeight="true" outlineLevel="0" collapsed="false">
      <c r="A54" s="6" t="s">
        <v>275</v>
      </c>
      <c r="B54" s="24"/>
      <c r="C54" s="6"/>
      <c r="D54" s="6"/>
      <c r="E54" s="6"/>
      <c r="F54" s="6"/>
      <c r="G54" s="6"/>
      <c r="H54" s="25"/>
      <c r="I54" s="6" t="str">
        <f aca="false">IFERROR(VLOOKUP(G54,'Stage-Gate Definitions'!$A$3:$E$8,5,0),"")</f>
        <v/>
      </c>
      <c r="J54" s="6" t="str">
        <f aca="true">IF(OR(H54="",G54="Complete",G54=""),"",TODAY()-H54)</f>
        <v/>
      </c>
      <c r="K54" s="6" t="str">
        <f aca="false">IF(OR(J54="",I54=""),"",IF(J54&gt;I54,"YES",""))</f>
        <v/>
      </c>
      <c r="L54" s="25"/>
      <c r="M54" s="6"/>
      <c r="N54" s="25"/>
      <c r="O54" s="24"/>
      <c r="P54" s="25"/>
      <c r="Q54" s="24"/>
      <c r="R54" s="25"/>
      <c r="S54" s="6"/>
      <c r="T54" s="6"/>
      <c r="U54" s="6"/>
      <c r="V54" s="6"/>
      <c r="W54" s="6"/>
      <c r="X54" s="6"/>
      <c r="Y54" s="26" t="str">
        <f aca="false">IF(COUNTA(S54:X54)=0,"",COUNTIF(S54:X54,"Y")/6)</f>
        <v/>
      </c>
      <c r="Z54" s="27"/>
      <c r="AA54" s="25"/>
      <c r="AB54" s="27"/>
      <c r="AC54" s="26" t="str">
        <f aca="false">IF(OR(Z54="",Z54=0),"",AB54/Z54)</f>
        <v/>
      </c>
      <c r="AD54" s="6" t="str">
        <f aca="true">IF(AC54="","",IF(AND(TODAY()&gt;=Parameters!$C$19,AC54&lt;Parameters!$C$18),"BELOW FLOOR",""))</f>
        <v/>
      </c>
      <c r="AE54" s="6"/>
      <c r="AF54" s="13" t="str">
        <f aca="false">IF(G54="","",IF(OR(K54="YES",N(M54)&gt;=Parameters!$C$15,AD54="BELOW FLOOR",AE54="At Risk"),"RED",IF(OR(N(M54)&gt;=Parameters!$C$14,AND(J54&lt;&gt;"",I54&lt;&gt;"",J54&gt;=I54*Parameters!$C$16),AND(Y54&lt;&gt;"",Y54&lt;Parameters!$C$20),AE54="Gap"),"AMBER","GREEN")))</f>
        <v/>
      </c>
      <c r="AG54" s="6" t="n">
        <f aca="false">COUNTIFS('Risk &amp; Issues Register'!$B$3:$B$200,A54,'Risk &amp; Issues Register'!$N$3:$N$200,"&lt;&gt;Closed")</f>
        <v>0</v>
      </c>
    </row>
    <row r="55" customFormat="false" ht="15" hidden="false" customHeight="true" outlineLevel="0" collapsed="false">
      <c r="A55" s="6" t="s">
        <v>276</v>
      </c>
      <c r="B55" s="24"/>
      <c r="C55" s="6"/>
      <c r="D55" s="6"/>
      <c r="E55" s="6"/>
      <c r="F55" s="6"/>
      <c r="G55" s="6"/>
      <c r="H55" s="25"/>
      <c r="I55" s="6" t="str">
        <f aca="false">IFERROR(VLOOKUP(G55,'Stage-Gate Definitions'!$A$3:$E$8,5,0),"")</f>
        <v/>
      </c>
      <c r="J55" s="6" t="str">
        <f aca="true">IF(OR(H55="",G55="Complete",G55=""),"",TODAY()-H55)</f>
        <v/>
      </c>
      <c r="K55" s="6" t="str">
        <f aca="false">IF(OR(J55="",I55=""),"",IF(J55&gt;I55,"YES",""))</f>
        <v/>
      </c>
      <c r="L55" s="25"/>
      <c r="M55" s="6"/>
      <c r="N55" s="25"/>
      <c r="O55" s="24"/>
      <c r="P55" s="25"/>
      <c r="Q55" s="24"/>
      <c r="R55" s="25"/>
      <c r="S55" s="6"/>
      <c r="T55" s="6"/>
      <c r="U55" s="6"/>
      <c r="V55" s="6"/>
      <c r="W55" s="6"/>
      <c r="X55" s="6"/>
      <c r="Y55" s="26" t="str">
        <f aca="false">IF(COUNTA(S55:X55)=0,"",COUNTIF(S55:X55,"Y")/6)</f>
        <v/>
      </c>
      <c r="Z55" s="27"/>
      <c r="AA55" s="25"/>
      <c r="AB55" s="27"/>
      <c r="AC55" s="26" t="str">
        <f aca="false">IF(OR(Z55="",Z55=0),"",AB55/Z55)</f>
        <v/>
      </c>
      <c r="AD55" s="6" t="str">
        <f aca="true">IF(AC55="","",IF(AND(TODAY()&gt;=Parameters!$C$19,AC55&lt;Parameters!$C$18),"BELOW FLOOR",""))</f>
        <v/>
      </c>
      <c r="AE55" s="6"/>
      <c r="AF55" s="13" t="str">
        <f aca="false">IF(G55="","",IF(OR(K55="YES",N(M55)&gt;=Parameters!$C$15,AD55="BELOW FLOOR",AE55="At Risk"),"RED",IF(OR(N(M55)&gt;=Parameters!$C$14,AND(J55&lt;&gt;"",I55&lt;&gt;"",J55&gt;=I55*Parameters!$C$16),AND(Y55&lt;&gt;"",Y55&lt;Parameters!$C$20),AE55="Gap"),"AMBER","GREEN")))</f>
        <v/>
      </c>
      <c r="AG55" s="6" t="n">
        <f aca="false">COUNTIFS('Risk &amp; Issues Register'!$B$3:$B$200,A55,'Risk &amp; Issues Register'!$N$3:$N$200,"&lt;&gt;Closed")</f>
        <v>0</v>
      </c>
    </row>
    <row r="56" customFormat="false" ht="15" hidden="false" customHeight="true" outlineLevel="0" collapsed="false">
      <c r="A56" s="6" t="s">
        <v>277</v>
      </c>
      <c r="B56" s="24"/>
      <c r="C56" s="6"/>
      <c r="D56" s="6"/>
      <c r="E56" s="6"/>
      <c r="F56" s="6"/>
      <c r="G56" s="6"/>
      <c r="H56" s="25"/>
      <c r="I56" s="6" t="str">
        <f aca="false">IFERROR(VLOOKUP(G56,'Stage-Gate Definitions'!$A$3:$E$8,5,0),"")</f>
        <v/>
      </c>
      <c r="J56" s="6" t="str">
        <f aca="true">IF(OR(H56="",G56="Complete",G56=""),"",TODAY()-H56)</f>
        <v/>
      </c>
      <c r="K56" s="6" t="str">
        <f aca="false">IF(OR(J56="",I56=""),"",IF(J56&gt;I56,"YES",""))</f>
        <v/>
      </c>
      <c r="L56" s="25"/>
      <c r="M56" s="6"/>
      <c r="N56" s="25"/>
      <c r="O56" s="24"/>
      <c r="P56" s="25"/>
      <c r="Q56" s="24"/>
      <c r="R56" s="25"/>
      <c r="S56" s="6"/>
      <c r="T56" s="6"/>
      <c r="U56" s="6"/>
      <c r="V56" s="6"/>
      <c r="W56" s="6"/>
      <c r="X56" s="6"/>
      <c r="Y56" s="26" t="str">
        <f aca="false">IF(COUNTA(S56:X56)=0,"",COUNTIF(S56:X56,"Y")/6)</f>
        <v/>
      </c>
      <c r="Z56" s="27"/>
      <c r="AA56" s="25"/>
      <c r="AB56" s="27"/>
      <c r="AC56" s="26" t="str">
        <f aca="false">IF(OR(Z56="",Z56=0),"",AB56/Z56)</f>
        <v/>
      </c>
      <c r="AD56" s="6" t="str">
        <f aca="true">IF(AC56="","",IF(AND(TODAY()&gt;=Parameters!$C$19,AC56&lt;Parameters!$C$18),"BELOW FLOOR",""))</f>
        <v/>
      </c>
      <c r="AE56" s="6"/>
      <c r="AF56" s="13" t="str">
        <f aca="false">IF(G56="","",IF(OR(K56="YES",N(M56)&gt;=Parameters!$C$15,AD56="BELOW FLOOR",AE56="At Risk"),"RED",IF(OR(N(M56)&gt;=Parameters!$C$14,AND(J56&lt;&gt;"",I56&lt;&gt;"",J56&gt;=I56*Parameters!$C$16),AND(Y56&lt;&gt;"",Y56&lt;Parameters!$C$20),AE56="Gap"),"AMBER","GREEN")))</f>
        <v/>
      </c>
      <c r="AG56" s="6" t="n">
        <f aca="false">COUNTIFS('Risk &amp; Issues Register'!$B$3:$B$200,A56,'Risk &amp; Issues Register'!$N$3:$N$200,"&lt;&gt;Closed")</f>
        <v>0</v>
      </c>
    </row>
    <row r="57" customFormat="false" ht="15" hidden="false" customHeight="true" outlineLevel="0" collapsed="false">
      <c r="A57" s="6" t="s">
        <v>278</v>
      </c>
      <c r="B57" s="24"/>
      <c r="C57" s="6"/>
      <c r="D57" s="6"/>
      <c r="E57" s="6"/>
      <c r="F57" s="6"/>
      <c r="G57" s="6"/>
      <c r="H57" s="25"/>
      <c r="I57" s="6" t="str">
        <f aca="false">IFERROR(VLOOKUP(G57,'Stage-Gate Definitions'!$A$3:$E$8,5,0),"")</f>
        <v/>
      </c>
      <c r="J57" s="6" t="str">
        <f aca="true">IF(OR(H57="",G57="Complete",G57=""),"",TODAY()-H57)</f>
        <v/>
      </c>
      <c r="K57" s="6" t="str">
        <f aca="false">IF(OR(J57="",I57=""),"",IF(J57&gt;I57,"YES",""))</f>
        <v/>
      </c>
      <c r="L57" s="25"/>
      <c r="M57" s="6"/>
      <c r="N57" s="25"/>
      <c r="O57" s="24"/>
      <c r="P57" s="25"/>
      <c r="Q57" s="24"/>
      <c r="R57" s="25"/>
      <c r="S57" s="6"/>
      <c r="T57" s="6"/>
      <c r="U57" s="6"/>
      <c r="V57" s="6"/>
      <c r="W57" s="6"/>
      <c r="X57" s="6"/>
      <c r="Y57" s="26" t="str">
        <f aca="false">IF(COUNTA(S57:X57)=0,"",COUNTIF(S57:X57,"Y")/6)</f>
        <v/>
      </c>
      <c r="Z57" s="27"/>
      <c r="AA57" s="25"/>
      <c r="AB57" s="27"/>
      <c r="AC57" s="26" t="str">
        <f aca="false">IF(OR(Z57="",Z57=0),"",AB57/Z57)</f>
        <v/>
      </c>
      <c r="AD57" s="6" t="str">
        <f aca="true">IF(AC57="","",IF(AND(TODAY()&gt;=Parameters!$C$19,AC57&lt;Parameters!$C$18),"BELOW FLOOR",""))</f>
        <v/>
      </c>
      <c r="AE57" s="6"/>
      <c r="AF57" s="13" t="str">
        <f aca="false">IF(G57="","",IF(OR(K57="YES",N(M57)&gt;=Parameters!$C$15,AD57="BELOW FLOOR",AE57="At Risk"),"RED",IF(OR(N(M57)&gt;=Parameters!$C$14,AND(J57&lt;&gt;"",I57&lt;&gt;"",J57&gt;=I57*Parameters!$C$16),AND(Y57&lt;&gt;"",Y57&lt;Parameters!$C$20),AE57="Gap"),"AMBER","GREEN")))</f>
        <v/>
      </c>
      <c r="AG57" s="6" t="n">
        <f aca="false">COUNTIFS('Risk &amp; Issues Register'!$B$3:$B$200,A57,'Risk &amp; Issues Register'!$N$3:$N$200,"&lt;&gt;Closed")</f>
        <v>0</v>
      </c>
    </row>
    <row r="58" customFormat="false" ht="15" hidden="false" customHeight="true" outlineLevel="0" collapsed="false">
      <c r="A58" s="6" t="s">
        <v>279</v>
      </c>
      <c r="B58" s="24"/>
      <c r="C58" s="6"/>
      <c r="D58" s="6"/>
      <c r="E58" s="6"/>
      <c r="F58" s="6"/>
      <c r="G58" s="6"/>
      <c r="H58" s="25"/>
      <c r="I58" s="6" t="str">
        <f aca="false">IFERROR(VLOOKUP(G58,'Stage-Gate Definitions'!$A$3:$E$8,5,0),"")</f>
        <v/>
      </c>
      <c r="J58" s="6" t="str">
        <f aca="true">IF(OR(H58="",G58="Complete",G58=""),"",TODAY()-H58)</f>
        <v/>
      </c>
      <c r="K58" s="6" t="str">
        <f aca="false">IF(OR(J58="",I58=""),"",IF(J58&gt;I58,"YES",""))</f>
        <v/>
      </c>
      <c r="L58" s="25"/>
      <c r="M58" s="6"/>
      <c r="N58" s="25"/>
      <c r="O58" s="24"/>
      <c r="P58" s="25"/>
      <c r="Q58" s="24"/>
      <c r="R58" s="25"/>
      <c r="S58" s="6"/>
      <c r="T58" s="6"/>
      <c r="U58" s="6"/>
      <c r="V58" s="6"/>
      <c r="W58" s="6"/>
      <c r="X58" s="6"/>
      <c r="Y58" s="26" t="str">
        <f aca="false">IF(COUNTA(S58:X58)=0,"",COUNTIF(S58:X58,"Y")/6)</f>
        <v/>
      </c>
      <c r="Z58" s="27"/>
      <c r="AA58" s="25"/>
      <c r="AB58" s="27"/>
      <c r="AC58" s="26" t="str">
        <f aca="false">IF(OR(Z58="",Z58=0),"",AB58/Z58)</f>
        <v/>
      </c>
      <c r="AD58" s="6" t="str">
        <f aca="true">IF(AC58="","",IF(AND(TODAY()&gt;=Parameters!$C$19,AC58&lt;Parameters!$C$18),"BELOW FLOOR",""))</f>
        <v/>
      </c>
      <c r="AE58" s="6"/>
      <c r="AF58" s="13" t="str">
        <f aca="false">IF(G58="","",IF(OR(K58="YES",N(M58)&gt;=Parameters!$C$15,AD58="BELOW FLOOR",AE58="At Risk"),"RED",IF(OR(N(M58)&gt;=Parameters!$C$14,AND(J58&lt;&gt;"",I58&lt;&gt;"",J58&gt;=I58*Parameters!$C$16),AND(Y58&lt;&gt;"",Y58&lt;Parameters!$C$20),AE58="Gap"),"AMBER","GREEN")))</f>
        <v/>
      </c>
      <c r="AG58" s="6" t="n">
        <f aca="false">COUNTIFS('Risk &amp; Issues Register'!$B$3:$B$200,A58,'Risk &amp; Issues Register'!$N$3:$N$200,"&lt;&gt;Closed")</f>
        <v>0</v>
      </c>
    </row>
    <row r="59" customFormat="false" ht="15" hidden="false" customHeight="true" outlineLevel="0" collapsed="false">
      <c r="A59" s="6" t="s">
        <v>280</v>
      </c>
      <c r="B59" s="24"/>
      <c r="C59" s="6"/>
      <c r="D59" s="6"/>
      <c r="E59" s="6"/>
      <c r="F59" s="6"/>
      <c r="G59" s="6"/>
      <c r="H59" s="25"/>
      <c r="I59" s="6" t="str">
        <f aca="false">IFERROR(VLOOKUP(G59,'Stage-Gate Definitions'!$A$3:$E$8,5,0),"")</f>
        <v/>
      </c>
      <c r="J59" s="6" t="str">
        <f aca="true">IF(OR(H59="",G59="Complete",G59=""),"",TODAY()-H59)</f>
        <v/>
      </c>
      <c r="K59" s="6" t="str">
        <f aca="false">IF(OR(J59="",I59=""),"",IF(J59&gt;I59,"YES",""))</f>
        <v/>
      </c>
      <c r="L59" s="25"/>
      <c r="M59" s="6"/>
      <c r="N59" s="25"/>
      <c r="O59" s="24"/>
      <c r="P59" s="25"/>
      <c r="Q59" s="24"/>
      <c r="R59" s="25"/>
      <c r="S59" s="6"/>
      <c r="T59" s="6"/>
      <c r="U59" s="6"/>
      <c r="V59" s="6"/>
      <c r="W59" s="6"/>
      <c r="X59" s="6"/>
      <c r="Y59" s="26" t="str">
        <f aca="false">IF(COUNTA(S59:X59)=0,"",COUNTIF(S59:X59,"Y")/6)</f>
        <v/>
      </c>
      <c r="Z59" s="27"/>
      <c r="AA59" s="25"/>
      <c r="AB59" s="27"/>
      <c r="AC59" s="26" t="str">
        <f aca="false">IF(OR(Z59="",Z59=0),"",AB59/Z59)</f>
        <v/>
      </c>
      <c r="AD59" s="6" t="str">
        <f aca="true">IF(AC59="","",IF(AND(TODAY()&gt;=Parameters!$C$19,AC59&lt;Parameters!$C$18),"BELOW FLOOR",""))</f>
        <v/>
      </c>
      <c r="AE59" s="6"/>
      <c r="AF59" s="13" t="str">
        <f aca="false">IF(G59="","",IF(OR(K59="YES",N(M59)&gt;=Parameters!$C$15,AD59="BELOW FLOOR",AE59="At Risk"),"RED",IF(OR(N(M59)&gt;=Parameters!$C$14,AND(J59&lt;&gt;"",I59&lt;&gt;"",J59&gt;=I59*Parameters!$C$16),AND(Y59&lt;&gt;"",Y59&lt;Parameters!$C$20),AE59="Gap"),"AMBER","GREEN")))</f>
        <v/>
      </c>
      <c r="AG59" s="6" t="n">
        <f aca="false">COUNTIFS('Risk &amp; Issues Register'!$B$3:$B$200,A59,'Risk &amp; Issues Register'!$N$3:$N$200,"&lt;&gt;Closed")</f>
        <v>0</v>
      </c>
    </row>
    <row r="60" customFormat="false" ht="15" hidden="false" customHeight="true" outlineLevel="0" collapsed="false">
      <c r="A60" s="6" t="s">
        <v>281</v>
      </c>
      <c r="B60" s="24"/>
      <c r="C60" s="6"/>
      <c r="D60" s="6"/>
      <c r="E60" s="6"/>
      <c r="F60" s="6"/>
      <c r="G60" s="6"/>
      <c r="H60" s="25"/>
      <c r="I60" s="6" t="str">
        <f aca="false">IFERROR(VLOOKUP(G60,'Stage-Gate Definitions'!$A$3:$E$8,5,0),"")</f>
        <v/>
      </c>
      <c r="J60" s="6" t="str">
        <f aca="true">IF(OR(H60="",G60="Complete",G60=""),"",TODAY()-H60)</f>
        <v/>
      </c>
      <c r="K60" s="6" t="str">
        <f aca="false">IF(OR(J60="",I60=""),"",IF(J60&gt;I60,"YES",""))</f>
        <v/>
      </c>
      <c r="L60" s="25"/>
      <c r="M60" s="6"/>
      <c r="N60" s="25"/>
      <c r="O60" s="24"/>
      <c r="P60" s="25"/>
      <c r="Q60" s="24"/>
      <c r="R60" s="25"/>
      <c r="S60" s="6"/>
      <c r="T60" s="6"/>
      <c r="U60" s="6"/>
      <c r="V60" s="6"/>
      <c r="W60" s="6"/>
      <c r="X60" s="6"/>
      <c r="Y60" s="26" t="str">
        <f aca="false">IF(COUNTA(S60:X60)=0,"",COUNTIF(S60:X60,"Y")/6)</f>
        <v/>
      </c>
      <c r="Z60" s="27"/>
      <c r="AA60" s="25"/>
      <c r="AB60" s="27"/>
      <c r="AC60" s="26" t="str">
        <f aca="false">IF(OR(Z60="",Z60=0),"",AB60/Z60)</f>
        <v/>
      </c>
      <c r="AD60" s="6" t="str">
        <f aca="true">IF(AC60="","",IF(AND(TODAY()&gt;=Parameters!$C$19,AC60&lt;Parameters!$C$18),"BELOW FLOOR",""))</f>
        <v/>
      </c>
      <c r="AE60" s="6"/>
      <c r="AF60" s="13" t="str">
        <f aca="false">IF(G60="","",IF(OR(K60="YES",N(M60)&gt;=Parameters!$C$15,AD60="BELOW FLOOR",AE60="At Risk"),"RED",IF(OR(N(M60)&gt;=Parameters!$C$14,AND(J60&lt;&gt;"",I60&lt;&gt;"",J60&gt;=I60*Parameters!$C$16),AND(Y60&lt;&gt;"",Y60&lt;Parameters!$C$20),AE60="Gap"),"AMBER","GREEN")))</f>
        <v/>
      </c>
      <c r="AG60" s="6" t="n">
        <f aca="false">COUNTIFS('Risk &amp; Issues Register'!$B$3:$B$200,A60,'Risk &amp; Issues Register'!$N$3:$N$200,"&lt;&gt;Closed")</f>
        <v>0</v>
      </c>
    </row>
    <row r="61" customFormat="false" ht="15" hidden="false" customHeight="true" outlineLevel="0" collapsed="false">
      <c r="A61" s="6" t="s">
        <v>282</v>
      </c>
      <c r="B61" s="24"/>
      <c r="C61" s="6"/>
      <c r="D61" s="6"/>
      <c r="E61" s="6"/>
      <c r="F61" s="6"/>
      <c r="G61" s="6"/>
      <c r="H61" s="25"/>
      <c r="I61" s="6" t="str">
        <f aca="false">IFERROR(VLOOKUP(G61,'Stage-Gate Definitions'!$A$3:$E$8,5,0),"")</f>
        <v/>
      </c>
      <c r="J61" s="6" t="str">
        <f aca="true">IF(OR(H61="",G61="Complete",G61=""),"",TODAY()-H61)</f>
        <v/>
      </c>
      <c r="K61" s="6" t="str">
        <f aca="false">IF(OR(J61="",I61=""),"",IF(J61&gt;I61,"YES",""))</f>
        <v/>
      </c>
      <c r="L61" s="25"/>
      <c r="M61" s="6"/>
      <c r="N61" s="25"/>
      <c r="O61" s="24"/>
      <c r="P61" s="25"/>
      <c r="Q61" s="24"/>
      <c r="R61" s="25"/>
      <c r="S61" s="6"/>
      <c r="T61" s="6"/>
      <c r="U61" s="6"/>
      <c r="V61" s="6"/>
      <c r="W61" s="6"/>
      <c r="X61" s="6"/>
      <c r="Y61" s="26" t="str">
        <f aca="false">IF(COUNTA(S61:X61)=0,"",COUNTIF(S61:X61,"Y")/6)</f>
        <v/>
      </c>
      <c r="Z61" s="27"/>
      <c r="AA61" s="25"/>
      <c r="AB61" s="27"/>
      <c r="AC61" s="26" t="str">
        <f aca="false">IF(OR(Z61="",Z61=0),"",AB61/Z61)</f>
        <v/>
      </c>
      <c r="AD61" s="6" t="str">
        <f aca="true">IF(AC61="","",IF(AND(TODAY()&gt;=Parameters!$C$19,AC61&lt;Parameters!$C$18),"BELOW FLOOR",""))</f>
        <v/>
      </c>
      <c r="AE61" s="6"/>
      <c r="AF61" s="13" t="str">
        <f aca="false">IF(G61="","",IF(OR(K61="YES",N(M61)&gt;=Parameters!$C$15,AD61="BELOW FLOOR",AE61="At Risk"),"RED",IF(OR(N(M61)&gt;=Parameters!$C$14,AND(J61&lt;&gt;"",I61&lt;&gt;"",J61&gt;=I61*Parameters!$C$16),AND(Y61&lt;&gt;"",Y61&lt;Parameters!$C$20),AE61="Gap"),"AMBER","GREEN")))</f>
        <v/>
      </c>
      <c r="AG61" s="6" t="n">
        <f aca="false">COUNTIFS('Risk &amp; Issues Register'!$B$3:$B$200,A61,'Risk &amp; Issues Register'!$N$3:$N$200,"&lt;&gt;Closed")</f>
        <v>0</v>
      </c>
    </row>
    <row r="62" customFormat="false" ht="15" hidden="false" customHeight="true" outlineLevel="0" collapsed="false">
      <c r="A62" s="6" t="s">
        <v>283</v>
      </c>
      <c r="B62" s="24"/>
      <c r="C62" s="6"/>
      <c r="D62" s="6"/>
      <c r="E62" s="6"/>
      <c r="F62" s="6"/>
      <c r="G62" s="6"/>
      <c r="H62" s="25"/>
      <c r="I62" s="6" t="str">
        <f aca="false">IFERROR(VLOOKUP(G62,'Stage-Gate Definitions'!$A$3:$E$8,5,0),"")</f>
        <v/>
      </c>
      <c r="J62" s="6" t="str">
        <f aca="true">IF(OR(H62="",G62="Complete",G62=""),"",TODAY()-H62)</f>
        <v/>
      </c>
      <c r="K62" s="6" t="str">
        <f aca="false">IF(OR(J62="",I62=""),"",IF(J62&gt;I62,"YES",""))</f>
        <v/>
      </c>
      <c r="L62" s="25"/>
      <c r="M62" s="6"/>
      <c r="N62" s="25"/>
      <c r="O62" s="24"/>
      <c r="P62" s="25"/>
      <c r="Q62" s="24"/>
      <c r="R62" s="25"/>
      <c r="S62" s="6"/>
      <c r="T62" s="6"/>
      <c r="U62" s="6"/>
      <c r="V62" s="6"/>
      <c r="W62" s="6"/>
      <c r="X62" s="6"/>
      <c r="Y62" s="26" t="str">
        <f aca="false">IF(COUNTA(S62:X62)=0,"",COUNTIF(S62:X62,"Y")/6)</f>
        <v/>
      </c>
      <c r="Z62" s="27"/>
      <c r="AA62" s="25"/>
      <c r="AB62" s="27"/>
      <c r="AC62" s="26" t="str">
        <f aca="false">IF(OR(Z62="",Z62=0),"",AB62/Z62)</f>
        <v/>
      </c>
      <c r="AD62" s="6" t="str">
        <f aca="true">IF(AC62="","",IF(AND(TODAY()&gt;=Parameters!$C$19,AC62&lt;Parameters!$C$18),"BELOW FLOOR",""))</f>
        <v/>
      </c>
      <c r="AE62" s="6"/>
      <c r="AF62" s="13" t="str">
        <f aca="false">IF(G62="","",IF(OR(K62="YES",N(M62)&gt;=Parameters!$C$15,AD62="BELOW FLOOR",AE62="At Risk"),"RED",IF(OR(N(M62)&gt;=Parameters!$C$14,AND(J62&lt;&gt;"",I62&lt;&gt;"",J62&gt;=I62*Parameters!$C$16),AND(Y62&lt;&gt;"",Y62&lt;Parameters!$C$20),AE62="Gap"),"AMBER","GREEN")))</f>
        <v/>
      </c>
      <c r="AG62" s="6" t="n">
        <f aca="false">COUNTIFS('Risk &amp; Issues Register'!$B$3:$B$200,A62,'Risk &amp; Issues Register'!$N$3:$N$200,"&lt;&gt;Closed")</f>
        <v>0</v>
      </c>
    </row>
    <row r="63" customFormat="false" ht="15" hidden="false" customHeight="true" outlineLevel="0" collapsed="false">
      <c r="A63" s="6" t="s">
        <v>284</v>
      </c>
      <c r="B63" s="24"/>
      <c r="C63" s="6"/>
      <c r="D63" s="6"/>
      <c r="E63" s="6"/>
      <c r="F63" s="6"/>
      <c r="G63" s="6"/>
      <c r="H63" s="25"/>
      <c r="I63" s="6" t="str">
        <f aca="false">IFERROR(VLOOKUP(G63,'Stage-Gate Definitions'!$A$3:$E$8,5,0),"")</f>
        <v/>
      </c>
      <c r="J63" s="6" t="str">
        <f aca="true">IF(OR(H63="",G63="Complete",G63=""),"",TODAY()-H63)</f>
        <v/>
      </c>
      <c r="K63" s="6" t="str">
        <f aca="false">IF(OR(J63="",I63=""),"",IF(J63&gt;I63,"YES",""))</f>
        <v/>
      </c>
      <c r="L63" s="25"/>
      <c r="M63" s="6"/>
      <c r="N63" s="25"/>
      <c r="O63" s="24"/>
      <c r="P63" s="25"/>
      <c r="Q63" s="24"/>
      <c r="R63" s="25"/>
      <c r="S63" s="6"/>
      <c r="T63" s="6"/>
      <c r="U63" s="6"/>
      <c r="V63" s="6"/>
      <c r="W63" s="6"/>
      <c r="X63" s="6"/>
      <c r="Y63" s="26" t="str">
        <f aca="false">IF(COUNTA(S63:X63)=0,"",COUNTIF(S63:X63,"Y")/6)</f>
        <v/>
      </c>
      <c r="Z63" s="27"/>
      <c r="AA63" s="25"/>
      <c r="AB63" s="27"/>
      <c r="AC63" s="26" t="str">
        <f aca="false">IF(OR(Z63="",Z63=0),"",AB63/Z63)</f>
        <v/>
      </c>
      <c r="AD63" s="6" t="str">
        <f aca="true">IF(AC63="","",IF(AND(TODAY()&gt;=Parameters!$C$19,AC63&lt;Parameters!$C$18),"BELOW FLOOR",""))</f>
        <v/>
      </c>
      <c r="AE63" s="6"/>
      <c r="AF63" s="13" t="str">
        <f aca="false">IF(G63="","",IF(OR(K63="YES",N(M63)&gt;=Parameters!$C$15,AD63="BELOW FLOOR",AE63="At Risk"),"RED",IF(OR(N(M63)&gt;=Parameters!$C$14,AND(J63&lt;&gt;"",I63&lt;&gt;"",J63&gt;=I63*Parameters!$C$16),AND(Y63&lt;&gt;"",Y63&lt;Parameters!$C$20),AE63="Gap"),"AMBER","GREEN")))</f>
        <v/>
      </c>
      <c r="AG63" s="6" t="n">
        <f aca="false">COUNTIFS('Risk &amp; Issues Register'!$B$3:$B$200,A63,'Risk &amp; Issues Register'!$N$3:$N$200,"&lt;&gt;Closed")</f>
        <v>0</v>
      </c>
    </row>
    <row r="64" customFormat="false" ht="15" hidden="false" customHeight="true" outlineLevel="0" collapsed="false">
      <c r="A64" s="6" t="s">
        <v>285</v>
      </c>
      <c r="B64" s="24"/>
      <c r="C64" s="6"/>
      <c r="D64" s="6"/>
      <c r="E64" s="6"/>
      <c r="F64" s="6"/>
      <c r="G64" s="6"/>
      <c r="H64" s="25"/>
      <c r="I64" s="6" t="str">
        <f aca="false">IFERROR(VLOOKUP(G64,'Stage-Gate Definitions'!$A$3:$E$8,5,0),"")</f>
        <v/>
      </c>
      <c r="J64" s="6" t="str">
        <f aca="true">IF(OR(H64="",G64="Complete",G64=""),"",TODAY()-H64)</f>
        <v/>
      </c>
      <c r="K64" s="6" t="str">
        <f aca="false">IF(OR(J64="",I64=""),"",IF(J64&gt;I64,"YES",""))</f>
        <v/>
      </c>
      <c r="L64" s="25"/>
      <c r="M64" s="6"/>
      <c r="N64" s="25"/>
      <c r="O64" s="24"/>
      <c r="P64" s="25"/>
      <c r="Q64" s="24"/>
      <c r="R64" s="25"/>
      <c r="S64" s="6"/>
      <c r="T64" s="6"/>
      <c r="U64" s="6"/>
      <c r="V64" s="6"/>
      <c r="W64" s="6"/>
      <c r="X64" s="6"/>
      <c r="Y64" s="26" t="str">
        <f aca="false">IF(COUNTA(S64:X64)=0,"",COUNTIF(S64:X64,"Y")/6)</f>
        <v/>
      </c>
      <c r="Z64" s="27"/>
      <c r="AA64" s="25"/>
      <c r="AB64" s="27"/>
      <c r="AC64" s="26" t="str">
        <f aca="false">IF(OR(Z64="",Z64=0),"",AB64/Z64)</f>
        <v/>
      </c>
      <c r="AD64" s="6" t="str">
        <f aca="true">IF(AC64="","",IF(AND(TODAY()&gt;=Parameters!$C$19,AC64&lt;Parameters!$C$18),"BELOW FLOOR",""))</f>
        <v/>
      </c>
      <c r="AE64" s="6"/>
      <c r="AF64" s="13" t="str">
        <f aca="false">IF(G64="","",IF(OR(K64="YES",N(M64)&gt;=Parameters!$C$15,AD64="BELOW FLOOR",AE64="At Risk"),"RED",IF(OR(N(M64)&gt;=Parameters!$C$14,AND(J64&lt;&gt;"",I64&lt;&gt;"",J64&gt;=I64*Parameters!$C$16),AND(Y64&lt;&gt;"",Y64&lt;Parameters!$C$20),AE64="Gap"),"AMBER","GREEN")))</f>
        <v/>
      </c>
      <c r="AG64" s="6" t="n">
        <f aca="false">COUNTIFS('Risk &amp; Issues Register'!$B$3:$B$200,A64,'Risk &amp; Issues Register'!$N$3:$N$200,"&lt;&gt;Closed")</f>
        <v>0</v>
      </c>
    </row>
    <row r="65" customFormat="false" ht="15" hidden="false" customHeight="true" outlineLevel="0" collapsed="false">
      <c r="A65" s="6" t="s">
        <v>286</v>
      </c>
      <c r="B65" s="24"/>
      <c r="C65" s="6"/>
      <c r="D65" s="6"/>
      <c r="E65" s="6"/>
      <c r="F65" s="6"/>
      <c r="G65" s="6"/>
      <c r="H65" s="25"/>
      <c r="I65" s="6" t="str">
        <f aca="false">IFERROR(VLOOKUP(G65,'Stage-Gate Definitions'!$A$3:$E$8,5,0),"")</f>
        <v/>
      </c>
      <c r="J65" s="6" t="str">
        <f aca="true">IF(OR(H65="",G65="Complete",G65=""),"",TODAY()-H65)</f>
        <v/>
      </c>
      <c r="K65" s="6" t="str">
        <f aca="false">IF(OR(J65="",I65=""),"",IF(J65&gt;I65,"YES",""))</f>
        <v/>
      </c>
      <c r="L65" s="25"/>
      <c r="M65" s="6"/>
      <c r="N65" s="25"/>
      <c r="O65" s="24"/>
      <c r="P65" s="25"/>
      <c r="Q65" s="24"/>
      <c r="R65" s="25"/>
      <c r="S65" s="6"/>
      <c r="T65" s="6"/>
      <c r="U65" s="6"/>
      <c r="V65" s="6"/>
      <c r="W65" s="6"/>
      <c r="X65" s="6"/>
      <c r="Y65" s="26" t="str">
        <f aca="false">IF(COUNTA(S65:X65)=0,"",COUNTIF(S65:X65,"Y")/6)</f>
        <v/>
      </c>
      <c r="Z65" s="27"/>
      <c r="AA65" s="25"/>
      <c r="AB65" s="27"/>
      <c r="AC65" s="26" t="str">
        <f aca="false">IF(OR(Z65="",Z65=0),"",AB65/Z65)</f>
        <v/>
      </c>
      <c r="AD65" s="6" t="str">
        <f aca="true">IF(AC65="","",IF(AND(TODAY()&gt;=Parameters!$C$19,AC65&lt;Parameters!$C$18),"BELOW FLOOR",""))</f>
        <v/>
      </c>
      <c r="AE65" s="6"/>
      <c r="AF65" s="13" t="str">
        <f aca="false">IF(G65="","",IF(OR(K65="YES",N(M65)&gt;=Parameters!$C$15,AD65="BELOW FLOOR",AE65="At Risk"),"RED",IF(OR(N(M65)&gt;=Parameters!$C$14,AND(J65&lt;&gt;"",I65&lt;&gt;"",J65&gt;=I65*Parameters!$C$16),AND(Y65&lt;&gt;"",Y65&lt;Parameters!$C$20),AE65="Gap"),"AMBER","GREEN")))</f>
        <v/>
      </c>
      <c r="AG65" s="6" t="n">
        <f aca="false">COUNTIFS('Risk &amp; Issues Register'!$B$3:$B$200,A65,'Risk &amp; Issues Register'!$N$3:$N$200,"&lt;&gt;Closed")</f>
        <v>0</v>
      </c>
    </row>
    <row r="66" customFormat="false" ht="15" hidden="false" customHeight="true" outlineLevel="0" collapsed="false">
      <c r="A66" s="6" t="s">
        <v>287</v>
      </c>
      <c r="B66" s="24"/>
      <c r="C66" s="6"/>
      <c r="D66" s="6"/>
      <c r="E66" s="6"/>
      <c r="F66" s="6"/>
      <c r="G66" s="6"/>
      <c r="H66" s="25"/>
      <c r="I66" s="6" t="str">
        <f aca="false">IFERROR(VLOOKUP(G66,'Stage-Gate Definitions'!$A$3:$E$8,5,0),"")</f>
        <v/>
      </c>
      <c r="J66" s="6" t="str">
        <f aca="true">IF(OR(H66="",G66="Complete",G66=""),"",TODAY()-H66)</f>
        <v/>
      </c>
      <c r="K66" s="6" t="str">
        <f aca="false">IF(OR(J66="",I66=""),"",IF(J66&gt;I66,"YES",""))</f>
        <v/>
      </c>
      <c r="L66" s="25"/>
      <c r="M66" s="6"/>
      <c r="N66" s="25"/>
      <c r="O66" s="24"/>
      <c r="P66" s="25"/>
      <c r="Q66" s="24"/>
      <c r="R66" s="25"/>
      <c r="S66" s="6"/>
      <c r="T66" s="6"/>
      <c r="U66" s="6"/>
      <c r="V66" s="6"/>
      <c r="W66" s="6"/>
      <c r="X66" s="6"/>
      <c r="Y66" s="26" t="str">
        <f aca="false">IF(COUNTA(S66:X66)=0,"",COUNTIF(S66:X66,"Y")/6)</f>
        <v/>
      </c>
      <c r="Z66" s="27"/>
      <c r="AA66" s="25"/>
      <c r="AB66" s="27"/>
      <c r="AC66" s="26" t="str">
        <f aca="false">IF(OR(Z66="",Z66=0),"",AB66/Z66)</f>
        <v/>
      </c>
      <c r="AD66" s="6" t="str">
        <f aca="true">IF(AC66="","",IF(AND(TODAY()&gt;=Parameters!$C$19,AC66&lt;Parameters!$C$18),"BELOW FLOOR",""))</f>
        <v/>
      </c>
      <c r="AE66" s="6"/>
      <c r="AF66" s="13" t="str">
        <f aca="false">IF(G66="","",IF(OR(K66="YES",N(M66)&gt;=Parameters!$C$15,AD66="BELOW FLOOR",AE66="At Risk"),"RED",IF(OR(N(M66)&gt;=Parameters!$C$14,AND(J66&lt;&gt;"",I66&lt;&gt;"",J66&gt;=I66*Parameters!$C$16),AND(Y66&lt;&gt;"",Y66&lt;Parameters!$C$20),AE66="Gap"),"AMBER","GREEN")))</f>
        <v/>
      </c>
      <c r="AG66" s="6" t="n">
        <f aca="false">COUNTIFS('Risk &amp; Issues Register'!$B$3:$B$200,A66,'Risk &amp; Issues Register'!$N$3:$N$200,"&lt;&gt;Closed")</f>
        <v>0</v>
      </c>
    </row>
    <row r="67" customFormat="false" ht="15" hidden="false" customHeight="true" outlineLevel="0" collapsed="false">
      <c r="A67" s="6" t="s">
        <v>288</v>
      </c>
      <c r="B67" s="24"/>
      <c r="C67" s="6"/>
      <c r="D67" s="6"/>
      <c r="E67" s="6"/>
      <c r="F67" s="6"/>
      <c r="G67" s="6"/>
      <c r="H67" s="25"/>
      <c r="I67" s="6" t="str">
        <f aca="false">IFERROR(VLOOKUP(G67,'Stage-Gate Definitions'!$A$3:$E$8,5,0),"")</f>
        <v/>
      </c>
      <c r="J67" s="6" t="str">
        <f aca="true">IF(OR(H67="",G67="Complete",G67=""),"",TODAY()-H67)</f>
        <v/>
      </c>
      <c r="K67" s="6" t="str">
        <f aca="false">IF(OR(J67="",I67=""),"",IF(J67&gt;I67,"YES",""))</f>
        <v/>
      </c>
      <c r="L67" s="25"/>
      <c r="M67" s="6"/>
      <c r="N67" s="25"/>
      <c r="O67" s="24"/>
      <c r="P67" s="25"/>
      <c r="Q67" s="24"/>
      <c r="R67" s="25"/>
      <c r="S67" s="6"/>
      <c r="T67" s="6"/>
      <c r="U67" s="6"/>
      <c r="V67" s="6"/>
      <c r="W67" s="6"/>
      <c r="X67" s="6"/>
      <c r="Y67" s="26" t="str">
        <f aca="false">IF(COUNTA(S67:X67)=0,"",COUNTIF(S67:X67,"Y")/6)</f>
        <v/>
      </c>
      <c r="Z67" s="27"/>
      <c r="AA67" s="25"/>
      <c r="AB67" s="27"/>
      <c r="AC67" s="26" t="str">
        <f aca="false">IF(OR(Z67="",Z67=0),"",AB67/Z67)</f>
        <v/>
      </c>
      <c r="AD67" s="6" t="str">
        <f aca="true">IF(AC67="","",IF(AND(TODAY()&gt;=Parameters!$C$19,AC67&lt;Parameters!$C$18),"BELOW FLOOR",""))</f>
        <v/>
      </c>
      <c r="AE67" s="6"/>
      <c r="AF67" s="13" t="str">
        <f aca="false">IF(G67="","",IF(OR(K67="YES",N(M67)&gt;=Parameters!$C$15,AD67="BELOW FLOOR",AE67="At Risk"),"RED",IF(OR(N(M67)&gt;=Parameters!$C$14,AND(J67&lt;&gt;"",I67&lt;&gt;"",J67&gt;=I67*Parameters!$C$16),AND(Y67&lt;&gt;"",Y67&lt;Parameters!$C$20),AE67="Gap"),"AMBER","GREEN")))</f>
        <v/>
      </c>
      <c r="AG67" s="6" t="n">
        <f aca="false">COUNTIFS('Risk &amp; Issues Register'!$B$3:$B$200,A67,'Risk &amp; Issues Register'!$N$3:$N$200,"&lt;&gt;Closed")</f>
        <v>0</v>
      </c>
    </row>
    <row r="68" customFormat="false" ht="15" hidden="false" customHeight="true" outlineLevel="0" collapsed="false">
      <c r="A68" s="6" t="s">
        <v>289</v>
      </c>
      <c r="B68" s="24"/>
      <c r="C68" s="6"/>
      <c r="D68" s="6"/>
      <c r="E68" s="6"/>
      <c r="F68" s="6"/>
      <c r="G68" s="6"/>
      <c r="H68" s="25"/>
      <c r="I68" s="6" t="str">
        <f aca="false">IFERROR(VLOOKUP(G68,'Stage-Gate Definitions'!$A$3:$E$8,5,0),"")</f>
        <v/>
      </c>
      <c r="J68" s="6" t="str">
        <f aca="true">IF(OR(H68="",G68="Complete",G68=""),"",TODAY()-H68)</f>
        <v/>
      </c>
      <c r="K68" s="6" t="str">
        <f aca="false">IF(OR(J68="",I68=""),"",IF(J68&gt;I68,"YES",""))</f>
        <v/>
      </c>
      <c r="L68" s="25"/>
      <c r="M68" s="6"/>
      <c r="N68" s="25"/>
      <c r="O68" s="24"/>
      <c r="P68" s="25"/>
      <c r="Q68" s="24"/>
      <c r="R68" s="25"/>
      <c r="S68" s="6"/>
      <c r="T68" s="6"/>
      <c r="U68" s="6"/>
      <c r="V68" s="6"/>
      <c r="W68" s="6"/>
      <c r="X68" s="6"/>
      <c r="Y68" s="26" t="str">
        <f aca="false">IF(COUNTA(S68:X68)=0,"",COUNTIF(S68:X68,"Y")/6)</f>
        <v/>
      </c>
      <c r="Z68" s="27"/>
      <c r="AA68" s="25"/>
      <c r="AB68" s="27"/>
      <c r="AC68" s="26" t="str">
        <f aca="false">IF(OR(Z68="",Z68=0),"",AB68/Z68)</f>
        <v/>
      </c>
      <c r="AD68" s="6" t="str">
        <f aca="true">IF(AC68="","",IF(AND(TODAY()&gt;=Parameters!$C$19,AC68&lt;Parameters!$C$18),"BELOW FLOOR",""))</f>
        <v/>
      </c>
      <c r="AE68" s="6"/>
      <c r="AF68" s="13" t="str">
        <f aca="false">IF(G68="","",IF(OR(K68="YES",N(M68)&gt;=Parameters!$C$15,AD68="BELOW FLOOR",AE68="At Risk"),"RED",IF(OR(N(M68)&gt;=Parameters!$C$14,AND(J68&lt;&gt;"",I68&lt;&gt;"",J68&gt;=I68*Parameters!$C$16),AND(Y68&lt;&gt;"",Y68&lt;Parameters!$C$20),AE68="Gap"),"AMBER","GREEN")))</f>
        <v/>
      </c>
      <c r="AG68" s="6" t="n">
        <f aca="false">COUNTIFS('Risk &amp; Issues Register'!$B$3:$B$200,A68,'Risk &amp; Issues Register'!$N$3:$N$200,"&lt;&gt;Closed")</f>
        <v>0</v>
      </c>
    </row>
    <row r="69" customFormat="false" ht="15" hidden="false" customHeight="true" outlineLevel="0" collapsed="false">
      <c r="A69" s="6" t="s">
        <v>290</v>
      </c>
      <c r="B69" s="24"/>
      <c r="C69" s="6"/>
      <c r="D69" s="6"/>
      <c r="E69" s="6"/>
      <c r="F69" s="6"/>
      <c r="G69" s="6"/>
      <c r="H69" s="25"/>
      <c r="I69" s="6" t="str">
        <f aca="false">IFERROR(VLOOKUP(G69,'Stage-Gate Definitions'!$A$3:$E$8,5,0),"")</f>
        <v/>
      </c>
      <c r="J69" s="6" t="str">
        <f aca="true">IF(OR(H69="",G69="Complete",G69=""),"",TODAY()-H69)</f>
        <v/>
      </c>
      <c r="K69" s="6" t="str">
        <f aca="false">IF(OR(J69="",I69=""),"",IF(J69&gt;I69,"YES",""))</f>
        <v/>
      </c>
      <c r="L69" s="25"/>
      <c r="M69" s="6"/>
      <c r="N69" s="25"/>
      <c r="O69" s="24"/>
      <c r="P69" s="25"/>
      <c r="Q69" s="24"/>
      <c r="R69" s="25"/>
      <c r="S69" s="6"/>
      <c r="T69" s="6"/>
      <c r="U69" s="6"/>
      <c r="V69" s="6"/>
      <c r="W69" s="6"/>
      <c r="X69" s="6"/>
      <c r="Y69" s="26" t="str">
        <f aca="false">IF(COUNTA(S69:X69)=0,"",COUNTIF(S69:X69,"Y")/6)</f>
        <v/>
      </c>
      <c r="Z69" s="27"/>
      <c r="AA69" s="25"/>
      <c r="AB69" s="27"/>
      <c r="AC69" s="26" t="str">
        <f aca="false">IF(OR(Z69="",Z69=0),"",AB69/Z69)</f>
        <v/>
      </c>
      <c r="AD69" s="6" t="str">
        <f aca="true">IF(AC69="","",IF(AND(TODAY()&gt;=Parameters!$C$19,AC69&lt;Parameters!$C$18),"BELOW FLOOR",""))</f>
        <v/>
      </c>
      <c r="AE69" s="6"/>
      <c r="AF69" s="13" t="str">
        <f aca="false">IF(G69="","",IF(OR(K69="YES",N(M69)&gt;=Parameters!$C$15,AD69="BELOW FLOOR",AE69="At Risk"),"RED",IF(OR(N(M69)&gt;=Parameters!$C$14,AND(J69&lt;&gt;"",I69&lt;&gt;"",J69&gt;=I69*Parameters!$C$16),AND(Y69&lt;&gt;"",Y69&lt;Parameters!$C$20),AE69="Gap"),"AMBER","GREEN")))</f>
        <v/>
      </c>
      <c r="AG69" s="6" t="n">
        <f aca="false">COUNTIFS('Risk &amp; Issues Register'!$B$3:$B$200,A69,'Risk &amp; Issues Register'!$N$3:$N$200,"&lt;&gt;Closed")</f>
        <v>0</v>
      </c>
    </row>
    <row r="70" customFormat="false" ht="15" hidden="false" customHeight="true" outlineLevel="0" collapsed="false">
      <c r="A70" s="6" t="s">
        <v>291</v>
      </c>
      <c r="B70" s="24"/>
      <c r="C70" s="6"/>
      <c r="D70" s="6"/>
      <c r="E70" s="6"/>
      <c r="F70" s="6"/>
      <c r="G70" s="6"/>
      <c r="H70" s="25"/>
      <c r="I70" s="6" t="str">
        <f aca="false">IFERROR(VLOOKUP(G70,'Stage-Gate Definitions'!$A$3:$E$8,5,0),"")</f>
        <v/>
      </c>
      <c r="J70" s="6" t="str">
        <f aca="true">IF(OR(H70="",G70="Complete",G70=""),"",TODAY()-H70)</f>
        <v/>
      </c>
      <c r="K70" s="6" t="str">
        <f aca="false">IF(OR(J70="",I70=""),"",IF(J70&gt;I70,"YES",""))</f>
        <v/>
      </c>
      <c r="L70" s="25"/>
      <c r="M70" s="6"/>
      <c r="N70" s="25"/>
      <c r="O70" s="24"/>
      <c r="P70" s="25"/>
      <c r="Q70" s="24"/>
      <c r="R70" s="25"/>
      <c r="S70" s="6"/>
      <c r="T70" s="6"/>
      <c r="U70" s="6"/>
      <c r="V70" s="6"/>
      <c r="W70" s="6"/>
      <c r="X70" s="6"/>
      <c r="Y70" s="26" t="str">
        <f aca="false">IF(COUNTA(S70:X70)=0,"",COUNTIF(S70:X70,"Y")/6)</f>
        <v/>
      </c>
      <c r="Z70" s="27"/>
      <c r="AA70" s="25"/>
      <c r="AB70" s="27"/>
      <c r="AC70" s="26" t="str">
        <f aca="false">IF(OR(Z70="",Z70=0),"",AB70/Z70)</f>
        <v/>
      </c>
      <c r="AD70" s="6" t="str">
        <f aca="true">IF(AC70="","",IF(AND(TODAY()&gt;=Parameters!$C$19,AC70&lt;Parameters!$C$18),"BELOW FLOOR",""))</f>
        <v/>
      </c>
      <c r="AE70" s="6"/>
      <c r="AF70" s="13" t="str">
        <f aca="false">IF(G70="","",IF(OR(K70="YES",N(M70)&gt;=Parameters!$C$15,AD70="BELOW FLOOR",AE70="At Risk"),"RED",IF(OR(N(M70)&gt;=Parameters!$C$14,AND(J70&lt;&gt;"",I70&lt;&gt;"",J70&gt;=I70*Parameters!$C$16),AND(Y70&lt;&gt;"",Y70&lt;Parameters!$C$20),AE70="Gap"),"AMBER","GREEN")))</f>
        <v/>
      </c>
      <c r="AG70" s="6" t="n">
        <f aca="false">COUNTIFS('Risk &amp; Issues Register'!$B$3:$B$200,A70,'Risk &amp; Issues Register'!$N$3:$N$200,"&lt;&gt;Closed")</f>
        <v>0</v>
      </c>
    </row>
    <row r="71" customFormat="false" ht="15" hidden="false" customHeight="true" outlineLevel="0" collapsed="false">
      <c r="A71" s="6" t="s">
        <v>292</v>
      </c>
      <c r="B71" s="24"/>
      <c r="C71" s="6"/>
      <c r="D71" s="6"/>
      <c r="E71" s="6"/>
      <c r="F71" s="6"/>
      <c r="G71" s="6"/>
      <c r="H71" s="25"/>
      <c r="I71" s="6" t="str">
        <f aca="false">IFERROR(VLOOKUP(G71,'Stage-Gate Definitions'!$A$3:$E$8,5,0),"")</f>
        <v/>
      </c>
      <c r="J71" s="6" t="str">
        <f aca="true">IF(OR(H71="",G71="Complete",G71=""),"",TODAY()-H71)</f>
        <v/>
      </c>
      <c r="K71" s="6" t="str">
        <f aca="false">IF(OR(J71="",I71=""),"",IF(J71&gt;I71,"YES",""))</f>
        <v/>
      </c>
      <c r="L71" s="25"/>
      <c r="M71" s="6"/>
      <c r="N71" s="25"/>
      <c r="O71" s="24"/>
      <c r="P71" s="25"/>
      <c r="Q71" s="24"/>
      <c r="R71" s="25"/>
      <c r="S71" s="6"/>
      <c r="T71" s="6"/>
      <c r="U71" s="6"/>
      <c r="V71" s="6"/>
      <c r="W71" s="6"/>
      <c r="X71" s="6"/>
      <c r="Y71" s="26" t="str">
        <f aca="false">IF(COUNTA(S71:X71)=0,"",COUNTIF(S71:X71,"Y")/6)</f>
        <v/>
      </c>
      <c r="Z71" s="27"/>
      <c r="AA71" s="25"/>
      <c r="AB71" s="27"/>
      <c r="AC71" s="26" t="str">
        <f aca="false">IF(OR(Z71="",Z71=0),"",AB71/Z71)</f>
        <v/>
      </c>
      <c r="AD71" s="6" t="str">
        <f aca="true">IF(AC71="","",IF(AND(TODAY()&gt;=Parameters!$C$19,AC71&lt;Parameters!$C$18),"BELOW FLOOR",""))</f>
        <v/>
      </c>
      <c r="AE71" s="6"/>
      <c r="AF71" s="13" t="str">
        <f aca="false">IF(G71="","",IF(OR(K71="YES",N(M71)&gt;=Parameters!$C$15,AD71="BELOW FLOOR",AE71="At Risk"),"RED",IF(OR(N(M71)&gt;=Parameters!$C$14,AND(J71&lt;&gt;"",I71&lt;&gt;"",J71&gt;=I71*Parameters!$C$16),AND(Y71&lt;&gt;"",Y71&lt;Parameters!$C$20),AE71="Gap"),"AMBER","GREEN")))</f>
        <v/>
      </c>
      <c r="AG71" s="6" t="n">
        <f aca="false">COUNTIFS('Risk &amp; Issues Register'!$B$3:$B$200,A71,'Risk &amp; Issues Register'!$N$3:$N$200,"&lt;&gt;Closed")</f>
        <v>0</v>
      </c>
    </row>
    <row r="72" customFormat="false" ht="15" hidden="false" customHeight="true" outlineLevel="0" collapsed="false">
      <c r="A72" s="6" t="s">
        <v>293</v>
      </c>
      <c r="B72" s="24"/>
      <c r="C72" s="6"/>
      <c r="D72" s="6"/>
      <c r="E72" s="6"/>
      <c r="F72" s="6"/>
      <c r="G72" s="6"/>
      <c r="H72" s="25"/>
      <c r="I72" s="6" t="str">
        <f aca="false">IFERROR(VLOOKUP(G72,'Stage-Gate Definitions'!$A$3:$E$8,5,0),"")</f>
        <v/>
      </c>
      <c r="J72" s="6" t="str">
        <f aca="true">IF(OR(H72="",G72="Complete",G72=""),"",TODAY()-H72)</f>
        <v/>
      </c>
      <c r="K72" s="6" t="str">
        <f aca="false">IF(OR(J72="",I72=""),"",IF(J72&gt;I72,"YES",""))</f>
        <v/>
      </c>
      <c r="L72" s="25"/>
      <c r="M72" s="6"/>
      <c r="N72" s="25"/>
      <c r="O72" s="24"/>
      <c r="P72" s="25"/>
      <c r="Q72" s="24"/>
      <c r="R72" s="25"/>
      <c r="S72" s="6"/>
      <c r="T72" s="6"/>
      <c r="U72" s="6"/>
      <c r="V72" s="6"/>
      <c r="W72" s="6"/>
      <c r="X72" s="6"/>
      <c r="Y72" s="26" t="str">
        <f aca="false">IF(COUNTA(S72:X72)=0,"",COUNTIF(S72:X72,"Y")/6)</f>
        <v/>
      </c>
      <c r="Z72" s="27"/>
      <c r="AA72" s="25"/>
      <c r="AB72" s="27"/>
      <c r="AC72" s="26" t="str">
        <f aca="false">IF(OR(Z72="",Z72=0),"",AB72/Z72)</f>
        <v/>
      </c>
      <c r="AD72" s="6" t="str">
        <f aca="true">IF(AC72="","",IF(AND(TODAY()&gt;=Parameters!$C$19,AC72&lt;Parameters!$C$18),"BELOW FLOOR",""))</f>
        <v/>
      </c>
      <c r="AE72" s="6"/>
      <c r="AF72" s="13" t="str">
        <f aca="false">IF(G72="","",IF(OR(K72="YES",N(M72)&gt;=Parameters!$C$15,AD72="BELOW FLOOR",AE72="At Risk"),"RED",IF(OR(N(M72)&gt;=Parameters!$C$14,AND(J72&lt;&gt;"",I72&lt;&gt;"",J72&gt;=I72*Parameters!$C$16),AND(Y72&lt;&gt;"",Y72&lt;Parameters!$C$20),AE72="Gap"),"AMBER","GREEN")))</f>
        <v/>
      </c>
      <c r="AG72" s="6" t="n">
        <f aca="false">COUNTIFS('Risk &amp; Issues Register'!$B$3:$B$200,A72,'Risk &amp; Issues Register'!$N$3:$N$200,"&lt;&gt;Closed")</f>
        <v>0</v>
      </c>
    </row>
    <row r="73" customFormat="false" ht="15" hidden="false" customHeight="true" outlineLevel="0" collapsed="false">
      <c r="A73" s="6" t="s">
        <v>294</v>
      </c>
      <c r="B73" s="24"/>
      <c r="C73" s="6"/>
      <c r="D73" s="6"/>
      <c r="E73" s="6"/>
      <c r="F73" s="6"/>
      <c r="G73" s="6"/>
      <c r="H73" s="25"/>
      <c r="I73" s="6" t="str">
        <f aca="false">IFERROR(VLOOKUP(G73,'Stage-Gate Definitions'!$A$3:$E$8,5,0),"")</f>
        <v/>
      </c>
      <c r="J73" s="6" t="str">
        <f aca="true">IF(OR(H73="",G73="Complete",G73=""),"",TODAY()-H73)</f>
        <v/>
      </c>
      <c r="K73" s="6" t="str">
        <f aca="false">IF(OR(J73="",I73=""),"",IF(J73&gt;I73,"YES",""))</f>
        <v/>
      </c>
      <c r="L73" s="25"/>
      <c r="M73" s="6"/>
      <c r="N73" s="25"/>
      <c r="O73" s="24"/>
      <c r="P73" s="25"/>
      <c r="Q73" s="24"/>
      <c r="R73" s="25"/>
      <c r="S73" s="6"/>
      <c r="T73" s="6"/>
      <c r="U73" s="6"/>
      <c r="V73" s="6"/>
      <c r="W73" s="6"/>
      <c r="X73" s="6"/>
      <c r="Y73" s="26" t="str">
        <f aca="false">IF(COUNTA(S73:X73)=0,"",COUNTIF(S73:X73,"Y")/6)</f>
        <v/>
      </c>
      <c r="Z73" s="27"/>
      <c r="AA73" s="25"/>
      <c r="AB73" s="27"/>
      <c r="AC73" s="26" t="str">
        <f aca="false">IF(OR(Z73="",Z73=0),"",AB73/Z73)</f>
        <v/>
      </c>
      <c r="AD73" s="6" t="str">
        <f aca="true">IF(AC73="","",IF(AND(TODAY()&gt;=Parameters!$C$19,AC73&lt;Parameters!$C$18),"BELOW FLOOR",""))</f>
        <v/>
      </c>
      <c r="AE73" s="6"/>
      <c r="AF73" s="13" t="str">
        <f aca="false">IF(G73="","",IF(OR(K73="YES",N(M73)&gt;=Parameters!$C$15,AD73="BELOW FLOOR",AE73="At Risk"),"RED",IF(OR(N(M73)&gt;=Parameters!$C$14,AND(J73&lt;&gt;"",I73&lt;&gt;"",J73&gt;=I73*Parameters!$C$16),AND(Y73&lt;&gt;"",Y73&lt;Parameters!$C$20),AE73="Gap"),"AMBER","GREEN")))</f>
        <v/>
      </c>
      <c r="AG73" s="6" t="n">
        <f aca="false">COUNTIFS('Risk &amp; Issues Register'!$B$3:$B$200,A73,'Risk &amp; Issues Register'!$N$3:$N$200,"&lt;&gt;Closed")</f>
        <v>0</v>
      </c>
    </row>
    <row r="74" customFormat="false" ht="15" hidden="false" customHeight="true" outlineLevel="0" collapsed="false">
      <c r="A74" s="6" t="s">
        <v>295</v>
      </c>
      <c r="B74" s="24"/>
      <c r="C74" s="6"/>
      <c r="D74" s="6"/>
      <c r="E74" s="6"/>
      <c r="F74" s="6"/>
      <c r="G74" s="6"/>
      <c r="H74" s="25"/>
      <c r="I74" s="6" t="str">
        <f aca="false">IFERROR(VLOOKUP(G74,'Stage-Gate Definitions'!$A$3:$E$8,5,0),"")</f>
        <v/>
      </c>
      <c r="J74" s="6" t="str">
        <f aca="true">IF(OR(H74="",G74="Complete",G74=""),"",TODAY()-H74)</f>
        <v/>
      </c>
      <c r="K74" s="6" t="str">
        <f aca="false">IF(OR(J74="",I74=""),"",IF(J74&gt;I74,"YES",""))</f>
        <v/>
      </c>
      <c r="L74" s="25"/>
      <c r="M74" s="6"/>
      <c r="N74" s="25"/>
      <c r="O74" s="24"/>
      <c r="P74" s="25"/>
      <c r="Q74" s="24"/>
      <c r="R74" s="25"/>
      <c r="S74" s="6"/>
      <c r="T74" s="6"/>
      <c r="U74" s="6"/>
      <c r="V74" s="6"/>
      <c r="W74" s="6"/>
      <c r="X74" s="6"/>
      <c r="Y74" s="26" t="str">
        <f aca="false">IF(COUNTA(S74:X74)=0,"",COUNTIF(S74:X74,"Y")/6)</f>
        <v/>
      </c>
      <c r="Z74" s="27"/>
      <c r="AA74" s="25"/>
      <c r="AB74" s="27"/>
      <c r="AC74" s="26" t="str">
        <f aca="false">IF(OR(Z74="",Z74=0),"",AB74/Z74)</f>
        <v/>
      </c>
      <c r="AD74" s="6" t="str">
        <f aca="true">IF(AC74="","",IF(AND(TODAY()&gt;=Parameters!$C$19,AC74&lt;Parameters!$C$18),"BELOW FLOOR",""))</f>
        <v/>
      </c>
      <c r="AE74" s="6"/>
      <c r="AF74" s="13" t="str">
        <f aca="false">IF(G74="","",IF(OR(K74="YES",N(M74)&gt;=Parameters!$C$15,AD74="BELOW FLOOR",AE74="At Risk"),"RED",IF(OR(N(M74)&gt;=Parameters!$C$14,AND(J74&lt;&gt;"",I74&lt;&gt;"",J74&gt;=I74*Parameters!$C$16),AND(Y74&lt;&gt;"",Y74&lt;Parameters!$C$20),AE74="Gap"),"AMBER","GREEN")))</f>
        <v/>
      </c>
      <c r="AG74" s="6" t="n">
        <f aca="false">COUNTIFS('Risk &amp; Issues Register'!$B$3:$B$200,A74,'Risk &amp; Issues Register'!$N$3:$N$200,"&lt;&gt;Closed")</f>
        <v>0</v>
      </c>
    </row>
    <row r="75" customFormat="false" ht="15" hidden="false" customHeight="true" outlineLevel="0" collapsed="false">
      <c r="A75" s="6" t="s">
        <v>296</v>
      </c>
      <c r="B75" s="24"/>
      <c r="C75" s="6"/>
      <c r="D75" s="6"/>
      <c r="E75" s="6"/>
      <c r="F75" s="6"/>
      <c r="G75" s="6"/>
      <c r="H75" s="25"/>
      <c r="I75" s="6" t="str">
        <f aca="false">IFERROR(VLOOKUP(G75,'Stage-Gate Definitions'!$A$3:$E$8,5,0),"")</f>
        <v/>
      </c>
      <c r="J75" s="6" t="str">
        <f aca="true">IF(OR(H75="",G75="Complete",G75=""),"",TODAY()-H75)</f>
        <v/>
      </c>
      <c r="K75" s="6" t="str">
        <f aca="false">IF(OR(J75="",I75=""),"",IF(J75&gt;I75,"YES",""))</f>
        <v/>
      </c>
      <c r="L75" s="25"/>
      <c r="M75" s="6"/>
      <c r="N75" s="25"/>
      <c r="O75" s="24"/>
      <c r="P75" s="25"/>
      <c r="Q75" s="24"/>
      <c r="R75" s="25"/>
      <c r="S75" s="6"/>
      <c r="T75" s="6"/>
      <c r="U75" s="6"/>
      <c r="V75" s="6"/>
      <c r="W75" s="6"/>
      <c r="X75" s="6"/>
      <c r="Y75" s="26" t="str">
        <f aca="false">IF(COUNTA(S75:X75)=0,"",COUNTIF(S75:X75,"Y")/6)</f>
        <v/>
      </c>
      <c r="Z75" s="27"/>
      <c r="AA75" s="25"/>
      <c r="AB75" s="27"/>
      <c r="AC75" s="26" t="str">
        <f aca="false">IF(OR(Z75="",Z75=0),"",AB75/Z75)</f>
        <v/>
      </c>
      <c r="AD75" s="6" t="str">
        <f aca="true">IF(AC75="","",IF(AND(TODAY()&gt;=Parameters!$C$19,AC75&lt;Parameters!$C$18),"BELOW FLOOR",""))</f>
        <v/>
      </c>
      <c r="AE75" s="6"/>
      <c r="AF75" s="13" t="str">
        <f aca="false">IF(G75="","",IF(OR(K75="YES",N(M75)&gt;=Parameters!$C$15,AD75="BELOW FLOOR",AE75="At Risk"),"RED",IF(OR(N(M75)&gt;=Parameters!$C$14,AND(J75&lt;&gt;"",I75&lt;&gt;"",J75&gt;=I75*Parameters!$C$16),AND(Y75&lt;&gt;"",Y75&lt;Parameters!$C$20),AE75="Gap"),"AMBER","GREEN")))</f>
        <v/>
      </c>
      <c r="AG75" s="6" t="n">
        <f aca="false">COUNTIFS('Risk &amp; Issues Register'!$B$3:$B$200,A75,'Risk &amp; Issues Register'!$N$3:$N$200,"&lt;&gt;Closed")</f>
        <v>0</v>
      </c>
    </row>
    <row r="76" customFormat="false" ht="15" hidden="false" customHeight="true" outlineLevel="0" collapsed="false">
      <c r="A76" s="6" t="s">
        <v>297</v>
      </c>
      <c r="B76" s="24"/>
      <c r="C76" s="6"/>
      <c r="D76" s="6"/>
      <c r="E76" s="6"/>
      <c r="F76" s="6"/>
      <c r="G76" s="6"/>
      <c r="H76" s="25"/>
      <c r="I76" s="6" t="str">
        <f aca="false">IFERROR(VLOOKUP(G76,'Stage-Gate Definitions'!$A$3:$E$8,5,0),"")</f>
        <v/>
      </c>
      <c r="J76" s="6" t="str">
        <f aca="true">IF(OR(H76="",G76="Complete",G76=""),"",TODAY()-H76)</f>
        <v/>
      </c>
      <c r="K76" s="6" t="str">
        <f aca="false">IF(OR(J76="",I76=""),"",IF(J76&gt;I76,"YES",""))</f>
        <v/>
      </c>
      <c r="L76" s="25"/>
      <c r="M76" s="6"/>
      <c r="N76" s="25"/>
      <c r="O76" s="24"/>
      <c r="P76" s="25"/>
      <c r="Q76" s="24"/>
      <c r="R76" s="25"/>
      <c r="S76" s="6"/>
      <c r="T76" s="6"/>
      <c r="U76" s="6"/>
      <c r="V76" s="6"/>
      <c r="W76" s="6"/>
      <c r="X76" s="6"/>
      <c r="Y76" s="26" t="str">
        <f aca="false">IF(COUNTA(S76:X76)=0,"",COUNTIF(S76:X76,"Y")/6)</f>
        <v/>
      </c>
      <c r="Z76" s="27"/>
      <c r="AA76" s="25"/>
      <c r="AB76" s="27"/>
      <c r="AC76" s="26" t="str">
        <f aca="false">IF(OR(Z76="",Z76=0),"",AB76/Z76)</f>
        <v/>
      </c>
      <c r="AD76" s="6" t="str">
        <f aca="true">IF(AC76="","",IF(AND(TODAY()&gt;=Parameters!$C$19,AC76&lt;Parameters!$C$18),"BELOW FLOOR",""))</f>
        <v/>
      </c>
      <c r="AE76" s="6"/>
      <c r="AF76" s="13" t="str">
        <f aca="false">IF(G76="","",IF(OR(K76="YES",N(M76)&gt;=Parameters!$C$15,AD76="BELOW FLOOR",AE76="At Risk"),"RED",IF(OR(N(M76)&gt;=Parameters!$C$14,AND(J76&lt;&gt;"",I76&lt;&gt;"",J76&gt;=I76*Parameters!$C$16),AND(Y76&lt;&gt;"",Y76&lt;Parameters!$C$20),AE76="Gap"),"AMBER","GREEN")))</f>
        <v/>
      </c>
      <c r="AG76" s="6" t="n">
        <f aca="false">COUNTIFS('Risk &amp; Issues Register'!$B$3:$B$200,A76,'Risk &amp; Issues Register'!$N$3:$N$200,"&lt;&gt;Closed")</f>
        <v>0</v>
      </c>
    </row>
    <row r="77" customFormat="false" ht="15" hidden="false" customHeight="true" outlineLevel="0" collapsed="false">
      <c r="A77" s="6" t="s">
        <v>298</v>
      </c>
      <c r="B77" s="24"/>
      <c r="C77" s="6"/>
      <c r="D77" s="6"/>
      <c r="E77" s="6"/>
      <c r="F77" s="6"/>
      <c r="G77" s="6"/>
      <c r="H77" s="25"/>
      <c r="I77" s="6" t="str">
        <f aca="false">IFERROR(VLOOKUP(G77,'Stage-Gate Definitions'!$A$3:$E$8,5,0),"")</f>
        <v/>
      </c>
      <c r="J77" s="6" t="str">
        <f aca="true">IF(OR(H77="",G77="Complete",G77=""),"",TODAY()-H77)</f>
        <v/>
      </c>
      <c r="K77" s="6" t="str">
        <f aca="false">IF(OR(J77="",I77=""),"",IF(J77&gt;I77,"YES",""))</f>
        <v/>
      </c>
      <c r="L77" s="25"/>
      <c r="M77" s="6"/>
      <c r="N77" s="25"/>
      <c r="O77" s="24"/>
      <c r="P77" s="25"/>
      <c r="Q77" s="24"/>
      <c r="R77" s="25"/>
      <c r="S77" s="6"/>
      <c r="T77" s="6"/>
      <c r="U77" s="6"/>
      <c r="V77" s="6"/>
      <c r="W77" s="6"/>
      <c r="X77" s="6"/>
      <c r="Y77" s="26" t="str">
        <f aca="false">IF(COUNTA(S77:X77)=0,"",COUNTIF(S77:X77,"Y")/6)</f>
        <v/>
      </c>
      <c r="Z77" s="27"/>
      <c r="AA77" s="25"/>
      <c r="AB77" s="27"/>
      <c r="AC77" s="26" t="str">
        <f aca="false">IF(OR(Z77="",Z77=0),"",AB77/Z77)</f>
        <v/>
      </c>
      <c r="AD77" s="6" t="str">
        <f aca="true">IF(AC77="","",IF(AND(TODAY()&gt;=Parameters!$C$19,AC77&lt;Parameters!$C$18),"BELOW FLOOR",""))</f>
        <v/>
      </c>
      <c r="AE77" s="6"/>
      <c r="AF77" s="13" t="str">
        <f aca="false">IF(G77="","",IF(OR(K77="YES",N(M77)&gt;=Parameters!$C$15,AD77="BELOW FLOOR",AE77="At Risk"),"RED",IF(OR(N(M77)&gt;=Parameters!$C$14,AND(J77&lt;&gt;"",I77&lt;&gt;"",J77&gt;=I77*Parameters!$C$16),AND(Y77&lt;&gt;"",Y77&lt;Parameters!$C$20),AE77="Gap"),"AMBER","GREEN")))</f>
        <v/>
      </c>
      <c r="AG77" s="6" t="n">
        <f aca="false">COUNTIFS('Risk &amp; Issues Register'!$B$3:$B$200,A77,'Risk &amp; Issues Register'!$N$3:$N$200,"&lt;&gt;Closed")</f>
        <v>0</v>
      </c>
    </row>
    <row r="78" customFormat="false" ht="15" hidden="false" customHeight="true" outlineLevel="0" collapsed="false">
      <c r="A78" s="6" t="s">
        <v>299</v>
      </c>
      <c r="B78" s="24"/>
      <c r="C78" s="6"/>
      <c r="D78" s="6"/>
      <c r="E78" s="6"/>
      <c r="F78" s="6"/>
      <c r="G78" s="6"/>
      <c r="H78" s="25"/>
      <c r="I78" s="6" t="str">
        <f aca="false">IFERROR(VLOOKUP(G78,'Stage-Gate Definitions'!$A$3:$E$8,5,0),"")</f>
        <v/>
      </c>
      <c r="J78" s="6" t="str">
        <f aca="true">IF(OR(H78="",G78="Complete",G78=""),"",TODAY()-H78)</f>
        <v/>
      </c>
      <c r="K78" s="6" t="str">
        <f aca="false">IF(OR(J78="",I78=""),"",IF(J78&gt;I78,"YES",""))</f>
        <v/>
      </c>
      <c r="L78" s="25"/>
      <c r="M78" s="6"/>
      <c r="N78" s="25"/>
      <c r="O78" s="24"/>
      <c r="P78" s="25"/>
      <c r="Q78" s="24"/>
      <c r="R78" s="25"/>
      <c r="S78" s="6"/>
      <c r="T78" s="6"/>
      <c r="U78" s="6"/>
      <c r="V78" s="6"/>
      <c r="W78" s="6"/>
      <c r="X78" s="6"/>
      <c r="Y78" s="26" t="str">
        <f aca="false">IF(COUNTA(S78:X78)=0,"",COUNTIF(S78:X78,"Y")/6)</f>
        <v/>
      </c>
      <c r="Z78" s="27"/>
      <c r="AA78" s="25"/>
      <c r="AB78" s="27"/>
      <c r="AC78" s="26" t="str">
        <f aca="false">IF(OR(Z78="",Z78=0),"",AB78/Z78)</f>
        <v/>
      </c>
      <c r="AD78" s="6" t="str">
        <f aca="true">IF(AC78="","",IF(AND(TODAY()&gt;=Parameters!$C$19,AC78&lt;Parameters!$C$18),"BELOW FLOOR",""))</f>
        <v/>
      </c>
      <c r="AE78" s="6"/>
      <c r="AF78" s="13" t="str">
        <f aca="false">IF(G78="","",IF(OR(K78="YES",N(M78)&gt;=Parameters!$C$15,AD78="BELOW FLOOR",AE78="At Risk"),"RED",IF(OR(N(M78)&gt;=Parameters!$C$14,AND(J78&lt;&gt;"",I78&lt;&gt;"",J78&gt;=I78*Parameters!$C$16),AND(Y78&lt;&gt;"",Y78&lt;Parameters!$C$20),AE78="Gap"),"AMBER","GREEN")))</f>
        <v/>
      </c>
      <c r="AG78" s="6" t="n">
        <f aca="false">COUNTIFS('Risk &amp; Issues Register'!$B$3:$B$200,A78,'Risk &amp; Issues Register'!$N$3:$N$200,"&lt;&gt;Closed")</f>
        <v>0</v>
      </c>
    </row>
    <row r="79" customFormat="false" ht="15" hidden="false" customHeight="true" outlineLevel="0" collapsed="false">
      <c r="A79" s="6" t="s">
        <v>300</v>
      </c>
      <c r="B79" s="24"/>
      <c r="C79" s="6"/>
      <c r="D79" s="6"/>
      <c r="E79" s="6"/>
      <c r="F79" s="6"/>
      <c r="G79" s="6"/>
      <c r="H79" s="25"/>
      <c r="I79" s="6" t="str">
        <f aca="false">IFERROR(VLOOKUP(G79,'Stage-Gate Definitions'!$A$3:$E$8,5,0),"")</f>
        <v/>
      </c>
      <c r="J79" s="6" t="str">
        <f aca="true">IF(OR(H79="",G79="Complete",G79=""),"",TODAY()-H79)</f>
        <v/>
      </c>
      <c r="K79" s="6" t="str">
        <f aca="false">IF(OR(J79="",I79=""),"",IF(J79&gt;I79,"YES",""))</f>
        <v/>
      </c>
      <c r="L79" s="25"/>
      <c r="M79" s="6"/>
      <c r="N79" s="25"/>
      <c r="O79" s="24"/>
      <c r="P79" s="25"/>
      <c r="Q79" s="24"/>
      <c r="R79" s="25"/>
      <c r="S79" s="6"/>
      <c r="T79" s="6"/>
      <c r="U79" s="6"/>
      <c r="V79" s="6"/>
      <c r="W79" s="6"/>
      <c r="X79" s="6"/>
      <c r="Y79" s="26" t="str">
        <f aca="false">IF(COUNTA(S79:X79)=0,"",COUNTIF(S79:X79,"Y")/6)</f>
        <v/>
      </c>
      <c r="Z79" s="27"/>
      <c r="AA79" s="25"/>
      <c r="AB79" s="27"/>
      <c r="AC79" s="26" t="str">
        <f aca="false">IF(OR(Z79="",Z79=0),"",AB79/Z79)</f>
        <v/>
      </c>
      <c r="AD79" s="6" t="str">
        <f aca="true">IF(AC79="","",IF(AND(TODAY()&gt;=Parameters!$C$19,AC79&lt;Parameters!$C$18),"BELOW FLOOR",""))</f>
        <v/>
      </c>
      <c r="AE79" s="6"/>
      <c r="AF79" s="13" t="str">
        <f aca="false">IF(G79="","",IF(OR(K79="YES",N(M79)&gt;=Parameters!$C$15,AD79="BELOW FLOOR",AE79="At Risk"),"RED",IF(OR(N(M79)&gt;=Parameters!$C$14,AND(J79&lt;&gt;"",I79&lt;&gt;"",J79&gt;=I79*Parameters!$C$16),AND(Y79&lt;&gt;"",Y79&lt;Parameters!$C$20),AE79="Gap"),"AMBER","GREEN")))</f>
        <v/>
      </c>
      <c r="AG79" s="6" t="n">
        <f aca="false">COUNTIFS('Risk &amp; Issues Register'!$B$3:$B$200,A79,'Risk &amp; Issues Register'!$N$3:$N$200,"&lt;&gt;Closed")</f>
        <v>0</v>
      </c>
    </row>
    <row r="80" customFormat="false" ht="15" hidden="false" customHeight="true" outlineLevel="0" collapsed="false">
      <c r="A80" s="6" t="s">
        <v>301</v>
      </c>
      <c r="B80" s="24"/>
      <c r="C80" s="6"/>
      <c r="D80" s="6"/>
      <c r="E80" s="6"/>
      <c r="F80" s="6"/>
      <c r="G80" s="6"/>
      <c r="H80" s="25"/>
      <c r="I80" s="6" t="str">
        <f aca="false">IFERROR(VLOOKUP(G80,'Stage-Gate Definitions'!$A$3:$E$8,5,0),"")</f>
        <v/>
      </c>
      <c r="J80" s="6" t="str">
        <f aca="true">IF(OR(H80="",G80="Complete",G80=""),"",TODAY()-H80)</f>
        <v/>
      </c>
      <c r="K80" s="6" t="str">
        <f aca="false">IF(OR(J80="",I80=""),"",IF(J80&gt;I80,"YES",""))</f>
        <v/>
      </c>
      <c r="L80" s="25"/>
      <c r="M80" s="6"/>
      <c r="N80" s="25"/>
      <c r="O80" s="24"/>
      <c r="P80" s="25"/>
      <c r="Q80" s="24"/>
      <c r="R80" s="25"/>
      <c r="S80" s="6"/>
      <c r="T80" s="6"/>
      <c r="U80" s="6"/>
      <c r="V80" s="6"/>
      <c r="W80" s="6"/>
      <c r="X80" s="6"/>
      <c r="Y80" s="26" t="str">
        <f aca="false">IF(COUNTA(S80:X80)=0,"",COUNTIF(S80:X80,"Y")/6)</f>
        <v/>
      </c>
      <c r="Z80" s="27"/>
      <c r="AA80" s="25"/>
      <c r="AB80" s="27"/>
      <c r="AC80" s="26" t="str">
        <f aca="false">IF(OR(Z80="",Z80=0),"",AB80/Z80)</f>
        <v/>
      </c>
      <c r="AD80" s="6" t="str">
        <f aca="true">IF(AC80="","",IF(AND(TODAY()&gt;=Parameters!$C$19,AC80&lt;Parameters!$C$18),"BELOW FLOOR",""))</f>
        <v/>
      </c>
      <c r="AE80" s="6"/>
      <c r="AF80" s="13" t="str">
        <f aca="false">IF(G80="","",IF(OR(K80="YES",N(M80)&gt;=Parameters!$C$15,AD80="BELOW FLOOR",AE80="At Risk"),"RED",IF(OR(N(M80)&gt;=Parameters!$C$14,AND(J80&lt;&gt;"",I80&lt;&gt;"",J80&gt;=I80*Parameters!$C$16),AND(Y80&lt;&gt;"",Y80&lt;Parameters!$C$20),AE80="Gap"),"AMBER","GREEN")))</f>
        <v/>
      </c>
      <c r="AG80" s="6" t="n">
        <f aca="false">COUNTIFS('Risk &amp; Issues Register'!$B$3:$B$200,A80,'Risk &amp; Issues Register'!$N$3:$N$200,"&lt;&gt;Closed")</f>
        <v>0</v>
      </c>
    </row>
    <row r="81" customFormat="false" ht="15" hidden="false" customHeight="true" outlineLevel="0" collapsed="false">
      <c r="A81" s="6" t="s">
        <v>302</v>
      </c>
      <c r="B81" s="24"/>
      <c r="C81" s="6"/>
      <c r="D81" s="6"/>
      <c r="E81" s="6"/>
      <c r="F81" s="6"/>
      <c r="G81" s="6"/>
      <c r="H81" s="25"/>
      <c r="I81" s="6" t="str">
        <f aca="false">IFERROR(VLOOKUP(G81,'Stage-Gate Definitions'!$A$3:$E$8,5,0),"")</f>
        <v/>
      </c>
      <c r="J81" s="6" t="str">
        <f aca="true">IF(OR(H81="",G81="Complete",G81=""),"",TODAY()-H81)</f>
        <v/>
      </c>
      <c r="K81" s="6" t="str">
        <f aca="false">IF(OR(J81="",I81=""),"",IF(J81&gt;I81,"YES",""))</f>
        <v/>
      </c>
      <c r="L81" s="25"/>
      <c r="M81" s="6"/>
      <c r="N81" s="25"/>
      <c r="O81" s="24"/>
      <c r="P81" s="25"/>
      <c r="Q81" s="24"/>
      <c r="R81" s="25"/>
      <c r="S81" s="6"/>
      <c r="T81" s="6"/>
      <c r="U81" s="6"/>
      <c r="V81" s="6"/>
      <c r="W81" s="6"/>
      <c r="X81" s="6"/>
      <c r="Y81" s="26" t="str">
        <f aca="false">IF(COUNTA(S81:X81)=0,"",COUNTIF(S81:X81,"Y")/6)</f>
        <v/>
      </c>
      <c r="Z81" s="27"/>
      <c r="AA81" s="25"/>
      <c r="AB81" s="27"/>
      <c r="AC81" s="26" t="str">
        <f aca="false">IF(OR(Z81="",Z81=0),"",AB81/Z81)</f>
        <v/>
      </c>
      <c r="AD81" s="6" t="str">
        <f aca="true">IF(AC81="","",IF(AND(TODAY()&gt;=Parameters!$C$19,AC81&lt;Parameters!$C$18),"BELOW FLOOR",""))</f>
        <v/>
      </c>
      <c r="AE81" s="6"/>
      <c r="AF81" s="13" t="str">
        <f aca="false">IF(G81="","",IF(OR(K81="YES",N(M81)&gt;=Parameters!$C$15,AD81="BELOW FLOOR",AE81="At Risk"),"RED",IF(OR(N(M81)&gt;=Parameters!$C$14,AND(J81&lt;&gt;"",I81&lt;&gt;"",J81&gt;=I81*Parameters!$C$16),AND(Y81&lt;&gt;"",Y81&lt;Parameters!$C$20),AE81="Gap"),"AMBER","GREEN")))</f>
        <v/>
      </c>
      <c r="AG81" s="6" t="n">
        <f aca="false">COUNTIFS('Risk &amp; Issues Register'!$B$3:$B$200,A81,'Risk &amp; Issues Register'!$N$3:$N$200,"&lt;&gt;Closed")</f>
        <v>0</v>
      </c>
    </row>
    <row r="82" customFormat="false" ht="15" hidden="false" customHeight="true" outlineLevel="0" collapsed="false">
      <c r="A82" s="6" t="s">
        <v>303</v>
      </c>
      <c r="B82" s="24"/>
      <c r="C82" s="6"/>
      <c r="D82" s="6"/>
      <c r="E82" s="6"/>
      <c r="F82" s="6"/>
      <c r="G82" s="6"/>
      <c r="H82" s="25"/>
      <c r="I82" s="6" t="str">
        <f aca="false">IFERROR(VLOOKUP(G82,'Stage-Gate Definitions'!$A$3:$E$8,5,0),"")</f>
        <v/>
      </c>
      <c r="J82" s="6" t="str">
        <f aca="true">IF(OR(H82="",G82="Complete",G82=""),"",TODAY()-H82)</f>
        <v/>
      </c>
      <c r="K82" s="6" t="str">
        <f aca="false">IF(OR(J82="",I82=""),"",IF(J82&gt;I82,"YES",""))</f>
        <v/>
      </c>
      <c r="L82" s="25"/>
      <c r="M82" s="6"/>
      <c r="N82" s="25"/>
      <c r="O82" s="24"/>
      <c r="P82" s="25"/>
      <c r="Q82" s="24"/>
      <c r="R82" s="25"/>
      <c r="S82" s="6"/>
      <c r="T82" s="6"/>
      <c r="U82" s="6"/>
      <c r="V82" s="6"/>
      <c r="W82" s="6"/>
      <c r="X82" s="6"/>
      <c r="Y82" s="26" t="str">
        <f aca="false">IF(COUNTA(S82:X82)=0,"",COUNTIF(S82:X82,"Y")/6)</f>
        <v/>
      </c>
      <c r="Z82" s="27"/>
      <c r="AA82" s="25"/>
      <c r="AB82" s="27"/>
      <c r="AC82" s="26" t="str">
        <f aca="false">IF(OR(Z82="",Z82=0),"",AB82/Z82)</f>
        <v/>
      </c>
      <c r="AD82" s="6" t="str">
        <f aca="true">IF(AC82="","",IF(AND(TODAY()&gt;=Parameters!$C$19,AC82&lt;Parameters!$C$18),"BELOW FLOOR",""))</f>
        <v/>
      </c>
      <c r="AE82" s="6"/>
      <c r="AF82" s="13" t="str">
        <f aca="false">IF(G82="","",IF(OR(K82="YES",N(M82)&gt;=Parameters!$C$15,AD82="BELOW FLOOR",AE82="At Risk"),"RED",IF(OR(N(M82)&gt;=Parameters!$C$14,AND(J82&lt;&gt;"",I82&lt;&gt;"",J82&gt;=I82*Parameters!$C$16),AND(Y82&lt;&gt;"",Y82&lt;Parameters!$C$20),AE82="Gap"),"AMBER","GREEN")))</f>
        <v/>
      </c>
      <c r="AG82" s="6" t="n">
        <f aca="false">COUNTIFS('Risk &amp; Issues Register'!$B$3:$B$200,A82,'Risk &amp; Issues Register'!$N$3:$N$200,"&lt;&gt;Closed")</f>
        <v>0</v>
      </c>
    </row>
  </sheetData>
  <mergeCells count="5">
    <mergeCell ref="A1:F1"/>
    <mergeCell ref="G1:R1"/>
    <mergeCell ref="S1:Y1"/>
    <mergeCell ref="Z1:AE1"/>
    <mergeCell ref="AF1:AG1"/>
  </mergeCells>
  <dataValidations count="10">
    <dataValidation allowBlank="true" errorStyle="stop" operator="between" showDropDown="false" showErrorMessage="false" showInputMessage="false" sqref="C3:C82" type="list">
      <formula1>"Kassala,River Nile,Northern"</formula1>
      <formula2>0</formula2>
    </dataValidation>
    <dataValidation allowBlank="true" errorStyle="stop" operator="between" showDropDown="false" showErrorMessage="false" showInputMessage="false" sqref="D3:D82" type="list">
      <formula1>"Processing,Storage,Transportation,Packaging"</formula1>
      <formula2>0</formula2>
    </dataValidation>
    <dataValidation allowBlank="true" errorStyle="stop" operator="between" showDropDown="false" showErrorMessage="false" showInputMessage="false" sqref="G3:G82" type="list">
      <formula1>"Not Started,Diagnostic,Business Development Plan,Coaching,Field Follow-up,Complete"</formula1>
      <formula2>0</formula2>
    </dataValidation>
    <dataValidation allowBlank="true" errorStyle="stop" operator="between" showDropDown="false" showErrorMessage="false" showInputMessage="false" sqref="S3:S82" type="list">
      <formula1>"Y,N"</formula1>
      <formula2>0</formula2>
    </dataValidation>
    <dataValidation allowBlank="true" errorStyle="stop" operator="between" showDropDown="false" showErrorMessage="false" showInputMessage="false" sqref="T3:T82" type="list">
      <formula1>"Y,N"</formula1>
      <formula2>0</formula2>
    </dataValidation>
    <dataValidation allowBlank="true" errorStyle="stop" operator="between" showDropDown="false" showErrorMessage="false" showInputMessage="false" sqref="U3:U82" type="list">
      <formula1>"Y,N"</formula1>
      <formula2>0</formula2>
    </dataValidation>
    <dataValidation allowBlank="true" errorStyle="stop" operator="between" showDropDown="false" showErrorMessage="false" showInputMessage="false" sqref="V3:V82" type="list">
      <formula1>"Y,N"</formula1>
      <formula2>0</formula2>
    </dataValidation>
    <dataValidation allowBlank="true" errorStyle="stop" operator="between" showDropDown="false" showErrorMessage="false" showInputMessage="false" sqref="W3:W82" type="list">
      <formula1>"Y,N"</formula1>
      <formula2>0</formula2>
    </dataValidation>
    <dataValidation allowBlank="true" errorStyle="stop" operator="between" showDropDown="false" showErrorMessage="false" showInputMessage="false" sqref="X3:X82" type="list">
      <formula1>"Y,N"</formula1>
      <formula2>0</formula2>
    </dataValidation>
    <dataValidation allowBlank="true" errorStyle="stop" operator="between" showDropDown="false" showErrorMessage="false" showInputMessage="false" sqref="AE3:AE82" type="list">
      <formula1>"OK,Gap,At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30"/>
    <col collapsed="false" customWidth="true" hidden="false" outlineLevel="0" max="12" min="12" style="1" width="12"/>
  </cols>
  <sheetData>
    <row r="1" customFormat="false" ht="24" hidden="false" customHeight="true" outlineLevel="0" collapsed="false">
      <c r="A1" s="2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12" t="s">
        <v>305</v>
      </c>
      <c r="B2" s="12" t="s">
        <v>153</v>
      </c>
      <c r="C2" s="12" t="s">
        <v>154</v>
      </c>
      <c r="D2" s="12" t="s">
        <v>155</v>
      </c>
      <c r="E2" s="12" t="s">
        <v>306</v>
      </c>
      <c r="F2" s="12" t="s">
        <v>307</v>
      </c>
      <c r="G2" s="12" t="s">
        <v>308</v>
      </c>
      <c r="H2" s="12" t="s">
        <v>309</v>
      </c>
      <c r="I2" s="12" t="s">
        <v>310</v>
      </c>
      <c r="J2" s="12" t="s">
        <v>311</v>
      </c>
      <c r="K2" s="12" t="s">
        <v>312</v>
      </c>
      <c r="L2" s="12" t="s">
        <v>170</v>
      </c>
    </row>
    <row r="3" customFormat="false" ht="23.25" hidden="false" customHeight="true" outlineLevel="0" collapsed="false">
      <c r="A3" s="6" t="s">
        <v>313</v>
      </c>
      <c r="B3" s="6" t="s">
        <v>186</v>
      </c>
      <c r="C3" s="6" t="str">
        <f aca="false">IFERROR(VLOOKUP(B3,'Master SME Registry'!$A$3:$F$82,2,0),"")</f>
        <v>Kassala Grain Processing Co-op</v>
      </c>
      <c r="D3" s="6" t="str">
        <f aca="false">IFERROR(VLOOKUP(B3,'Master SME Registry'!$A$3:$F$82,3,0),"")</f>
        <v>Kassala</v>
      </c>
      <c r="E3" s="6" t="s">
        <v>73</v>
      </c>
      <c r="F3" s="6" t="s">
        <v>190</v>
      </c>
      <c r="G3" s="25" t="n">
        <v>46238</v>
      </c>
      <c r="H3" s="25"/>
      <c r="I3" s="6" t="s">
        <v>314</v>
      </c>
      <c r="J3" s="6" t="str">
        <f aca="false">IF(OR(G3="",H3=""),"",H3-G3)</f>
        <v/>
      </c>
      <c r="K3" s="24"/>
      <c r="L3" s="25" t="n">
        <v>46239</v>
      </c>
    </row>
    <row r="4" customFormat="false" ht="15" hidden="false" customHeight="true" outlineLevel="0" collapsed="false">
      <c r="A4" s="6" t="s">
        <v>315</v>
      </c>
      <c r="B4" s="6" t="s">
        <v>197</v>
      </c>
      <c r="C4" s="6" t="str">
        <f aca="false">IFERROR(VLOOKUP(B4,'Master SME Registry'!$A$3:$F$82,2,0),"")</f>
        <v>River Nile Cold Storage Ltd</v>
      </c>
      <c r="D4" s="6" t="str">
        <f aca="false">IFERROR(VLOOKUP(B4,'Master SME Registry'!$A$3:$F$82,3,0),"")</f>
        <v>River Nile</v>
      </c>
      <c r="E4" s="6" t="s">
        <v>62</v>
      </c>
      <c r="F4" s="6" t="s">
        <v>201</v>
      </c>
      <c r="G4" s="25" t="n">
        <v>46203</v>
      </c>
      <c r="H4" s="25" t="n">
        <v>46203</v>
      </c>
      <c r="I4" s="6" t="s">
        <v>316</v>
      </c>
      <c r="J4" s="6" t="n">
        <f aca="false">IF(OR(G4="",H4=""),"",H4-G4)</f>
        <v>0</v>
      </c>
      <c r="K4" s="24"/>
      <c r="L4" s="25" t="n">
        <v>46239</v>
      </c>
    </row>
    <row r="5" customFormat="false" ht="15" hidden="false" customHeight="true" outlineLevel="0" collapsed="false">
      <c r="A5" s="6" t="s">
        <v>317</v>
      </c>
      <c r="B5" s="6" t="s">
        <v>210</v>
      </c>
      <c r="C5" s="6" t="str">
        <f aca="false">IFERROR(VLOOKUP(B5,'Master SME Registry'!$A$3:$F$82,2,0),"")</f>
        <v>Dongola Date Packaging</v>
      </c>
      <c r="D5" s="6" t="str">
        <f aca="false">IFERROR(VLOOKUP(B5,'Master SME Registry'!$A$3:$F$82,3,0),"")</f>
        <v>Northern</v>
      </c>
      <c r="E5" s="6" t="s">
        <v>73</v>
      </c>
      <c r="F5" s="6" t="s">
        <v>214</v>
      </c>
      <c r="G5" s="25" t="n">
        <v>46210</v>
      </c>
      <c r="H5" s="25"/>
      <c r="I5" s="6" t="s">
        <v>318</v>
      </c>
      <c r="J5" s="6" t="str">
        <f aca="false">IF(OR(G5="",H5=""),"",H5-G5)</f>
        <v/>
      </c>
      <c r="K5" s="24"/>
      <c r="L5" s="25" t="n">
        <v>46239</v>
      </c>
    </row>
    <row r="6" customFormat="false" ht="15" hidden="false" customHeight="true" outlineLevel="0" collapsed="false">
      <c r="A6" s="6" t="s">
        <v>319</v>
      </c>
      <c r="B6" s="6" t="s">
        <v>219</v>
      </c>
      <c r="C6" s="6" t="str">
        <f aca="false">IFERROR(VLOOKUP(B6,'Master SME Registry'!$A$3:$F$82,2,0),"")</f>
        <v>Halfa Agri-Processing</v>
      </c>
      <c r="D6" s="6" t="str">
        <f aca="false">IFERROR(VLOOKUP(B6,'Master SME Registry'!$A$3:$F$82,3,0),"")</f>
        <v>Northern</v>
      </c>
      <c r="E6" s="6" t="s">
        <v>320</v>
      </c>
      <c r="F6" s="6" t="s">
        <v>215</v>
      </c>
      <c r="G6" s="25" t="n">
        <v>46236</v>
      </c>
      <c r="H6" s="25" t="n">
        <v>46236</v>
      </c>
      <c r="I6" s="6" t="s">
        <v>316</v>
      </c>
      <c r="J6" s="6" t="n">
        <f aca="false">IF(OR(G6="",H6=""),"",H6-G6)</f>
        <v>0</v>
      </c>
      <c r="K6" s="24"/>
      <c r="L6" s="25" t="n">
        <v>46239</v>
      </c>
    </row>
    <row r="7" customFormat="false" ht="15" hidden="false" customHeight="true" outlineLevel="0" collapsed="false">
      <c r="A7" s="6" t="s">
        <v>321</v>
      </c>
      <c r="B7" s="6" t="s">
        <v>225</v>
      </c>
      <c r="C7" s="6" t="str">
        <f aca="false">IFERROR(VLOOKUP(B7,'Master SME Registry'!$A$3:$F$82,2,0),"")</f>
        <v>Kassala Sesame Cleaners</v>
      </c>
      <c r="D7" s="6" t="str">
        <f aca="false">IFERROR(VLOOKUP(B7,'Master SME Registry'!$A$3:$F$82,3,0),"")</f>
        <v>Kassala</v>
      </c>
      <c r="E7" s="6" t="s">
        <v>73</v>
      </c>
      <c r="F7" s="6" t="s">
        <v>190</v>
      </c>
      <c r="G7" s="25" t="n">
        <v>46231</v>
      </c>
      <c r="H7" s="25"/>
      <c r="I7" s="6" t="s">
        <v>318</v>
      </c>
      <c r="J7" s="6" t="str">
        <f aca="false">IF(OR(G7="",H7=""),"",H7-G7)</f>
        <v/>
      </c>
      <c r="K7" s="24"/>
      <c r="L7" s="25" t="n">
        <v>46239</v>
      </c>
    </row>
    <row r="8" customFormat="false" ht="15" hidden="false" customHeight="true" outlineLevel="0" collapsed="false">
      <c r="A8" s="6" t="s">
        <v>322</v>
      </c>
      <c r="B8" s="6" t="s">
        <v>206</v>
      </c>
      <c r="C8" s="6" t="str">
        <f aca="false">IFERROR(VLOOKUP(B8,'Master SME Registry'!$A$3:$F$82,2,0),"")</f>
        <v>Atbara Transport Collective</v>
      </c>
      <c r="D8" s="6" t="str">
        <f aca="false">IFERROR(VLOOKUP(B8,'Master SME Registry'!$A$3:$F$82,3,0),"")</f>
        <v>River Nile</v>
      </c>
      <c r="E8" s="6" t="s">
        <v>62</v>
      </c>
      <c r="F8" s="6" t="s">
        <v>190</v>
      </c>
      <c r="G8" s="25" t="n">
        <v>46240</v>
      </c>
      <c r="H8" s="25"/>
      <c r="I8" s="6" t="s">
        <v>314</v>
      </c>
      <c r="J8" s="6" t="str">
        <f aca="false">IF(OR(G8="",H8=""),"",H8-G8)</f>
        <v/>
      </c>
      <c r="K8" s="24"/>
      <c r="L8" s="25" t="n">
        <v>46239</v>
      </c>
    </row>
    <row r="9" customFormat="false" ht="15" hidden="false" customHeight="true" outlineLevel="0" collapsed="false">
      <c r="A9" s="6"/>
      <c r="B9" s="6"/>
      <c r="C9" s="6" t="str">
        <f aca="false">IFERROR(VLOOKUP(B9,'Master SME Registry'!$A$3:$F$82,2,0),"")</f>
        <v/>
      </c>
      <c r="D9" s="6" t="str">
        <f aca="false">IFERROR(VLOOKUP(B9,'Master SME Registry'!$A$3:$F$82,3,0),"")</f>
        <v/>
      </c>
      <c r="E9" s="6"/>
      <c r="F9" s="6"/>
      <c r="G9" s="25"/>
      <c r="H9" s="25"/>
      <c r="I9" s="6"/>
      <c r="J9" s="6" t="str">
        <f aca="false">IF(OR(G9="",H9=""),"",H9-G9)</f>
        <v/>
      </c>
      <c r="K9" s="24"/>
      <c r="L9" s="25"/>
    </row>
    <row r="10" customFormat="false" ht="15" hidden="false" customHeight="true" outlineLevel="0" collapsed="false">
      <c r="A10" s="6"/>
      <c r="B10" s="6"/>
      <c r="C10" s="6" t="str">
        <f aca="false">IFERROR(VLOOKUP(B10,'Master SME Registry'!$A$3:$F$82,2,0),"")</f>
        <v/>
      </c>
      <c r="D10" s="6" t="str">
        <f aca="false">IFERROR(VLOOKUP(B10,'Master SME Registry'!$A$3:$F$82,3,0),"")</f>
        <v/>
      </c>
      <c r="E10" s="6"/>
      <c r="F10" s="6"/>
      <c r="G10" s="25"/>
      <c r="H10" s="25"/>
      <c r="I10" s="6"/>
      <c r="J10" s="6" t="str">
        <f aca="false">IF(OR(G10="",H10=""),"",H10-G10)</f>
        <v/>
      </c>
      <c r="K10" s="24"/>
      <c r="L10" s="25"/>
    </row>
    <row r="11" customFormat="false" ht="15" hidden="false" customHeight="true" outlineLevel="0" collapsed="false">
      <c r="A11" s="6"/>
      <c r="B11" s="6"/>
      <c r="C11" s="6" t="str">
        <f aca="false">IFERROR(VLOOKUP(B11,'Master SME Registry'!$A$3:$F$82,2,0),"")</f>
        <v/>
      </c>
      <c r="D11" s="6" t="str">
        <f aca="false">IFERROR(VLOOKUP(B11,'Master SME Registry'!$A$3:$F$82,3,0),"")</f>
        <v/>
      </c>
      <c r="E11" s="6"/>
      <c r="F11" s="6"/>
      <c r="G11" s="25"/>
      <c r="H11" s="25"/>
      <c r="I11" s="6"/>
      <c r="J11" s="6" t="str">
        <f aca="false">IF(OR(G11="",H11=""),"",H11-G11)</f>
        <v/>
      </c>
      <c r="K11" s="24"/>
      <c r="L11" s="25"/>
    </row>
    <row r="12" customFormat="false" ht="15" hidden="false" customHeight="true" outlineLevel="0" collapsed="false">
      <c r="A12" s="6"/>
      <c r="B12" s="6"/>
      <c r="C12" s="6" t="str">
        <f aca="false">IFERROR(VLOOKUP(B12,'Master SME Registry'!$A$3:$F$82,2,0),"")</f>
        <v/>
      </c>
      <c r="D12" s="6" t="str">
        <f aca="false">IFERROR(VLOOKUP(B12,'Master SME Registry'!$A$3:$F$82,3,0),"")</f>
        <v/>
      </c>
      <c r="E12" s="6"/>
      <c r="F12" s="6"/>
      <c r="G12" s="25"/>
      <c r="H12" s="25"/>
      <c r="I12" s="6"/>
      <c r="J12" s="6" t="str">
        <f aca="false">IF(OR(G12="",H12=""),"",H12-G12)</f>
        <v/>
      </c>
      <c r="K12" s="24"/>
      <c r="L12" s="25"/>
    </row>
    <row r="13" customFormat="false" ht="15" hidden="false" customHeight="true" outlineLevel="0" collapsed="false">
      <c r="A13" s="6"/>
      <c r="B13" s="6"/>
      <c r="C13" s="6" t="str">
        <f aca="false">IFERROR(VLOOKUP(B13,'Master SME Registry'!$A$3:$F$82,2,0),"")</f>
        <v/>
      </c>
      <c r="D13" s="6" t="str">
        <f aca="false">IFERROR(VLOOKUP(B13,'Master SME Registry'!$A$3:$F$82,3,0),"")</f>
        <v/>
      </c>
      <c r="E13" s="6"/>
      <c r="F13" s="6"/>
      <c r="G13" s="25"/>
      <c r="H13" s="25"/>
      <c r="I13" s="6"/>
      <c r="J13" s="6" t="str">
        <f aca="false">IF(OR(G13="",H13=""),"",H13-G13)</f>
        <v/>
      </c>
      <c r="K13" s="24"/>
      <c r="L13" s="25"/>
    </row>
    <row r="14" customFormat="false" ht="15" hidden="false" customHeight="true" outlineLevel="0" collapsed="false">
      <c r="A14" s="6"/>
      <c r="B14" s="6"/>
      <c r="C14" s="6" t="str">
        <f aca="false">IFERROR(VLOOKUP(B14,'Master SME Registry'!$A$3:$F$82,2,0),"")</f>
        <v/>
      </c>
      <c r="D14" s="6" t="str">
        <f aca="false">IFERROR(VLOOKUP(B14,'Master SME Registry'!$A$3:$F$82,3,0),"")</f>
        <v/>
      </c>
      <c r="E14" s="6"/>
      <c r="F14" s="6"/>
      <c r="G14" s="25"/>
      <c r="H14" s="25"/>
      <c r="I14" s="6"/>
      <c r="J14" s="6" t="str">
        <f aca="false">IF(OR(G14="",H14=""),"",H14-G14)</f>
        <v/>
      </c>
      <c r="K14" s="24"/>
      <c r="L14" s="25"/>
    </row>
    <row r="15" customFormat="false" ht="15" hidden="false" customHeight="true" outlineLevel="0" collapsed="false">
      <c r="A15" s="6"/>
      <c r="B15" s="6"/>
      <c r="C15" s="6" t="str">
        <f aca="false">IFERROR(VLOOKUP(B15,'Master SME Registry'!$A$3:$F$82,2,0),"")</f>
        <v/>
      </c>
      <c r="D15" s="6" t="str">
        <f aca="false">IFERROR(VLOOKUP(B15,'Master SME Registry'!$A$3:$F$82,3,0),"")</f>
        <v/>
      </c>
      <c r="E15" s="6"/>
      <c r="F15" s="6"/>
      <c r="G15" s="25"/>
      <c r="H15" s="25"/>
      <c r="I15" s="6"/>
      <c r="J15" s="6" t="str">
        <f aca="false">IF(OR(G15="",H15=""),"",H15-G15)</f>
        <v/>
      </c>
      <c r="K15" s="24"/>
      <c r="L15" s="25"/>
    </row>
    <row r="16" customFormat="false" ht="15" hidden="false" customHeight="true" outlineLevel="0" collapsed="false">
      <c r="A16" s="6"/>
      <c r="B16" s="6"/>
      <c r="C16" s="6" t="str">
        <f aca="false">IFERROR(VLOOKUP(B16,'Master SME Registry'!$A$3:$F$82,2,0),"")</f>
        <v/>
      </c>
      <c r="D16" s="6" t="str">
        <f aca="false">IFERROR(VLOOKUP(B16,'Master SME Registry'!$A$3:$F$82,3,0),"")</f>
        <v/>
      </c>
      <c r="E16" s="6"/>
      <c r="F16" s="6"/>
      <c r="G16" s="25"/>
      <c r="H16" s="25"/>
      <c r="I16" s="6"/>
      <c r="J16" s="6" t="str">
        <f aca="false">IF(OR(G16="",H16=""),"",H16-G16)</f>
        <v/>
      </c>
      <c r="K16" s="24"/>
      <c r="L16" s="25"/>
    </row>
    <row r="17" customFormat="false" ht="15" hidden="false" customHeight="true" outlineLevel="0" collapsed="false">
      <c r="A17" s="6"/>
      <c r="B17" s="6"/>
      <c r="C17" s="6" t="str">
        <f aca="false">IFERROR(VLOOKUP(B17,'Master SME Registry'!$A$3:$F$82,2,0),"")</f>
        <v/>
      </c>
      <c r="D17" s="6" t="str">
        <f aca="false">IFERROR(VLOOKUP(B17,'Master SME Registry'!$A$3:$F$82,3,0),"")</f>
        <v/>
      </c>
      <c r="E17" s="6"/>
      <c r="F17" s="6"/>
      <c r="G17" s="25"/>
      <c r="H17" s="25"/>
      <c r="I17" s="6"/>
      <c r="J17" s="6" t="str">
        <f aca="false">IF(OR(G17="",H17=""),"",H17-G17)</f>
        <v/>
      </c>
      <c r="K17" s="24"/>
      <c r="L17" s="25"/>
    </row>
    <row r="18" customFormat="false" ht="15" hidden="false" customHeight="true" outlineLevel="0" collapsed="false">
      <c r="A18" s="6"/>
      <c r="B18" s="6"/>
      <c r="C18" s="6" t="str">
        <f aca="false">IFERROR(VLOOKUP(B18,'Master SME Registry'!$A$3:$F$82,2,0),"")</f>
        <v/>
      </c>
      <c r="D18" s="6" t="str">
        <f aca="false">IFERROR(VLOOKUP(B18,'Master SME Registry'!$A$3:$F$82,3,0),"")</f>
        <v/>
      </c>
      <c r="E18" s="6"/>
      <c r="F18" s="6"/>
      <c r="G18" s="25"/>
      <c r="H18" s="25"/>
      <c r="I18" s="6"/>
      <c r="J18" s="6" t="str">
        <f aca="false">IF(OR(G18="",H18=""),"",H18-G18)</f>
        <v/>
      </c>
      <c r="K18" s="24"/>
      <c r="L18" s="25"/>
    </row>
    <row r="19" customFormat="false" ht="15" hidden="false" customHeight="true" outlineLevel="0" collapsed="false">
      <c r="A19" s="6"/>
      <c r="B19" s="6"/>
      <c r="C19" s="6" t="str">
        <f aca="false">IFERROR(VLOOKUP(B19,'Master SME Registry'!$A$3:$F$82,2,0),"")</f>
        <v/>
      </c>
      <c r="D19" s="6" t="str">
        <f aca="false">IFERROR(VLOOKUP(B19,'Master SME Registry'!$A$3:$F$82,3,0),"")</f>
        <v/>
      </c>
      <c r="E19" s="6"/>
      <c r="F19" s="6"/>
      <c r="G19" s="25"/>
      <c r="H19" s="25"/>
      <c r="I19" s="6"/>
      <c r="J19" s="6" t="str">
        <f aca="false">IF(OR(G19="",H19=""),"",H19-G19)</f>
        <v/>
      </c>
      <c r="K19" s="24"/>
      <c r="L19" s="25"/>
    </row>
    <row r="20" customFormat="false" ht="15" hidden="false" customHeight="true" outlineLevel="0" collapsed="false">
      <c r="A20" s="6"/>
      <c r="B20" s="6"/>
      <c r="C20" s="6" t="str">
        <f aca="false">IFERROR(VLOOKUP(B20,'Master SME Registry'!$A$3:$F$82,2,0),"")</f>
        <v/>
      </c>
      <c r="D20" s="6" t="str">
        <f aca="false">IFERROR(VLOOKUP(B20,'Master SME Registry'!$A$3:$F$82,3,0),"")</f>
        <v/>
      </c>
      <c r="E20" s="6"/>
      <c r="F20" s="6"/>
      <c r="G20" s="25"/>
      <c r="H20" s="25"/>
      <c r="I20" s="6"/>
      <c r="J20" s="6" t="str">
        <f aca="false">IF(OR(G20="",H20=""),"",H20-G20)</f>
        <v/>
      </c>
      <c r="K20" s="24"/>
      <c r="L20" s="25"/>
    </row>
    <row r="21" customFormat="false" ht="15" hidden="false" customHeight="true" outlineLevel="0" collapsed="false">
      <c r="A21" s="6"/>
      <c r="B21" s="6"/>
      <c r="C21" s="6" t="str">
        <f aca="false">IFERROR(VLOOKUP(B21,'Master SME Registry'!$A$3:$F$82,2,0),"")</f>
        <v/>
      </c>
      <c r="D21" s="6" t="str">
        <f aca="false">IFERROR(VLOOKUP(B21,'Master SME Registry'!$A$3:$F$82,3,0),"")</f>
        <v/>
      </c>
      <c r="E21" s="6"/>
      <c r="F21" s="6"/>
      <c r="G21" s="25"/>
      <c r="H21" s="25"/>
      <c r="I21" s="6"/>
      <c r="J21" s="6" t="str">
        <f aca="false">IF(OR(G21="",H21=""),"",H21-G21)</f>
        <v/>
      </c>
      <c r="K21" s="24"/>
      <c r="L21" s="25"/>
    </row>
    <row r="22" customFormat="false" ht="15" hidden="false" customHeight="true" outlineLevel="0" collapsed="false">
      <c r="A22" s="6"/>
      <c r="B22" s="6"/>
      <c r="C22" s="6" t="str">
        <f aca="false">IFERROR(VLOOKUP(B22,'Master SME Registry'!$A$3:$F$82,2,0),"")</f>
        <v/>
      </c>
      <c r="D22" s="6" t="str">
        <f aca="false">IFERROR(VLOOKUP(B22,'Master SME Registry'!$A$3:$F$82,3,0),"")</f>
        <v/>
      </c>
      <c r="E22" s="6"/>
      <c r="F22" s="6"/>
      <c r="G22" s="25"/>
      <c r="H22" s="25"/>
      <c r="I22" s="6"/>
      <c r="J22" s="6" t="str">
        <f aca="false">IF(OR(G22="",H22=""),"",H22-G22)</f>
        <v/>
      </c>
      <c r="K22" s="24"/>
      <c r="L22" s="25"/>
    </row>
    <row r="23" customFormat="false" ht="15" hidden="false" customHeight="true" outlineLevel="0" collapsed="false">
      <c r="A23" s="6"/>
      <c r="B23" s="6"/>
      <c r="C23" s="6" t="str">
        <f aca="false">IFERROR(VLOOKUP(B23,'Master SME Registry'!$A$3:$F$82,2,0),"")</f>
        <v/>
      </c>
      <c r="D23" s="6" t="str">
        <f aca="false">IFERROR(VLOOKUP(B23,'Master SME Registry'!$A$3:$F$82,3,0),"")</f>
        <v/>
      </c>
      <c r="E23" s="6"/>
      <c r="F23" s="6"/>
      <c r="G23" s="25"/>
      <c r="H23" s="25"/>
      <c r="I23" s="6"/>
      <c r="J23" s="6" t="str">
        <f aca="false">IF(OR(G23="",H23=""),"",H23-G23)</f>
        <v/>
      </c>
      <c r="K23" s="24"/>
      <c r="L23" s="25"/>
    </row>
    <row r="24" customFormat="false" ht="15" hidden="false" customHeight="true" outlineLevel="0" collapsed="false">
      <c r="A24" s="6"/>
      <c r="B24" s="6"/>
      <c r="C24" s="6" t="str">
        <f aca="false">IFERROR(VLOOKUP(B24,'Master SME Registry'!$A$3:$F$82,2,0),"")</f>
        <v/>
      </c>
      <c r="D24" s="6" t="str">
        <f aca="false">IFERROR(VLOOKUP(B24,'Master SME Registry'!$A$3:$F$82,3,0),"")</f>
        <v/>
      </c>
      <c r="E24" s="6"/>
      <c r="F24" s="6"/>
      <c r="G24" s="25"/>
      <c r="H24" s="25"/>
      <c r="I24" s="6"/>
      <c r="J24" s="6" t="str">
        <f aca="false">IF(OR(G24="",H24=""),"",H24-G24)</f>
        <v/>
      </c>
      <c r="K24" s="24"/>
      <c r="L24" s="25"/>
    </row>
    <row r="25" customFormat="false" ht="15" hidden="false" customHeight="true" outlineLevel="0" collapsed="false">
      <c r="A25" s="6"/>
      <c r="B25" s="6"/>
      <c r="C25" s="6" t="str">
        <f aca="false">IFERROR(VLOOKUP(B25,'Master SME Registry'!$A$3:$F$82,2,0),"")</f>
        <v/>
      </c>
      <c r="D25" s="6" t="str">
        <f aca="false">IFERROR(VLOOKUP(B25,'Master SME Registry'!$A$3:$F$82,3,0),"")</f>
        <v/>
      </c>
      <c r="E25" s="6"/>
      <c r="F25" s="6"/>
      <c r="G25" s="25"/>
      <c r="H25" s="25"/>
      <c r="I25" s="6"/>
      <c r="J25" s="6" t="str">
        <f aca="false">IF(OR(G25="",H25=""),"",H25-G25)</f>
        <v/>
      </c>
      <c r="K25" s="24"/>
      <c r="L25" s="25"/>
    </row>
    <row r="26" customFormat="false" ht="15" hidden="false" customHeight="true" outlineLevel="0" collapsed="false">
      <c r="A26" s="6"/>
      <c r="B26" s="6"/>
      <c r="C26" s="6" t="str">
        <f aca="false">IFERROR(VLOOKUP(B26,'Master SME Registry'!$A$3:$F$82,2,0),"")</f>
        <v/>
      </c>
      <c r="D26" s="6" t="str">
        <f aca="false">IFERROR(VLOOKUP(B26,'Master SME Registry'!$A$3:$F$82,3,0),"")</f>
        <v/>
      </c>
      <c r="E26" s="6"/>
      <c r="F26" s="6"/>
      <c r="G26" s="25"/>
      <c r="H26" s="25"/>
      <c r="I26" s="6"/>
      <c r="J26" s="6" t="str">
        <f aca="false">IF(OR(G26="",H26=""),"",H26-G26)</f>
        <v/>
      </c>
      <c r="K26" s="24"/>
      <c r="L26" s="25"/>
    </row>
    <row r="27" customFormat="false" ht="15" hidden="false" customHeight="true" outlineLevel="0" collapsed="false">
      <c r="A27" s="6"/>
      <c r="B27" s="6"/>
      <c r="C27" s="6" t="str">
        <f aca="false">IFERROR(VLOOKUP(B27,'Master SME Registry'!$A$3:$F$82,2,0),"")</f>
        <v/>
      </c>
      <c r="D27" s="6" t="str">
        <f aca="false">IFERROR(VLOOKUP(B27,'Master SME Registry'!$A$3:$F$82,3,0),"")</f>
        <v/>
      </c>
      <c r="E27" s="6"/>
      <c r="F27" s="6"/>
      <c r="G27" s="25"/>
      <c r="H27" s="25"/>
      <c r="I27" s="6"/>
      <c r="J27" s="6" t="str">
        <f aca="false">IF(OR(G27="",H27=""),"",H27-G27)</f>
        <v/>
      </c>
      <c r="K27" s="24"/>
      <c r="L27" s="25"/>
    </row>
    <row r="28" customFormat="false" ht="15" hidden="false" customHeight="true" outlineLevel="0" collapsed="false">
      <c r="A28" s="6"/>
      <c r="B28" s="6"/>
      <c r="C28" s="6" t="str">
        <f aca="false">IFERROR(VLOOKUP(B28,'Master SME Registry'!$A$3:$F$82,2,0),"")</f>
        <v/>
      </c>
      <c r="D28" s="6" t="str">
        <f aca="false">IFERROR(VLOOKUP(B28,'Master SME Registry'!$A$3:$F$82,3,0),"")</f>
        <v/>
      </c>
      <c r="E28" s="6"/>
      <c r="F28" s="6"/>
      <c r="G28" s="25"/>
      <c r="H28" s="25"/>
      <c r="I28" s="6"/>
      <c r="J28" s="6" t="str">
        <f aca="false">IF(OR(G28="",H28=""),"",H28-G28)</f>
        <v/>
      </c>
      <c r="K28" s="24"/>
      <c r="L28" s="25"/>
    </row>
    <row r="29" customFormat="false" ht="15" hidden="false" customHeight="true" outlineLevel="0" collapsed="false">
      <c r="A29" s="6"/>
      <c r="B29" s="6"/>
      <c r="C29" s="6" t="str">
        <f aca="false">IFERROR(VLOOKUP(B29,'Master SME Registry'!$A$3:$F$82,2,0),"")</f>
        <v/>
      </c>
      <c r="D29" s="6" t="str">
        <f aca="false">IFERROR(VLOOKUP(B29,'Master SME Registry'!$A$3:$F$82,3,0),"")</f>
        <v/>
      </c>
      <c r="E29" s="6"/>
      <c r="F29" s="6"/>
      <c r="G29" s="25"/>
      <c r="H29" s="25"/>
      <c r="I29" s="6"/>
      <c r="J29" s="6" t="str">
        <f aca="false">IF(OR(G29="",H29=""),"",H29-G29)</f>
        <v/>
      </c>
      <c r="K29" s="24"/>
      <c r="L29" s="25"/>
    </row>
    <row r="30" customFormat="false" ht="15" hidden="false" customHeight="true" outlineLevel="0" collapsed="false">
      <c r="A30" s="6"/>
      <c r="B30" s="6"/>
      <c r="C30" s="6" t="str">
        <f aca="false">IFERROR(VLOOKUP(B30,'Master SME Registry'!$A$3:$F$82,2,0),"")</f>
        <v/>
      </c>
      <c r="D30" s="6" t="str">
        <f aca="false">IFERROR(VLOOKUP(B30,'Master SME Registry'!$A$3:$F$82,3,0),"")</f>
        <v/>
      </c>
      <c r="E30" s="6"/>
      <c r="F30" s="6"/>
      <c r="G30" s="25"/>
      <c r="H30" s="25"/>
      <c r="I30" s="6"/>
      <c r="J30" s="6" t="str">
        <f aca="false">IF(OR(G30="",H30=""),"",H30-G30)</f>
        <v/>
      </c>
      <c r="K30" s="24"/>
      <c r="L30" s="25"/>
    </row>
    <row r="31" customFormat="false" ht="15" hidden="false" customHeight="true" outlineLevel="0" collapsed="false">
      <c r="A31" s="6"/>
      <c r="B31" s="6"/>
      <c r="C31" s="6" t="str">
        <f aca="false">IFERROR(VLOOKUP(B31,'Master SME Registry'!$A$3:$F$82,2,0),"")</f>
        <v/>
      </c>
      <c r="D31" s="6" t="str">
        <f aca="false">IFERROR(VLOOKUP(B31,'Master SME Registry'!$A$3:$F$82,3,0),"")</f>
        <v/>
      </c>
      <c r="E31" s="6"/>
      <c r="F31" s="6"/>
      <c r="G31" s="25"/>
      <c r="H31" s="25"/>
      <c r="I31" s="6"/>
      <c r="J31" s="6" t="str">
        <f aca="false">IF(OR(G31="",H31=""),"",H31-G31)</f>
        <v/>
      </c>
      <c r="K31" s="24"/>
      <c r="L31" s="25"/>
    </row>
    <row r="32" customFormat="false" ht="15" hidden="false" customHeight="true" outlineLevel="0" collapsed="false">
      <c r="A32" s="6"/>
      <c r="B32" s="6"/>
      <c r="C32" s="6" t="str">
        <f aca="false">IFERROR(VLOOKUP(B32,'Master SME Registry'!$A$3:$F$82,2,0),"")</f>
        <v/>
      </c>
      <c r="D32" s="6" t="str">
        <f aca="false">IFERROR(VLOOKUP(B32,'Master SME Registry'!$A$3:$F$82,3,0),"")</f>
        <v/>
      </c>
      <c r="E32" s="6"/>
      <c r="F32" s="6"/>
      <c r="G32" s="25"/>
      <c r="H32" s="25"/>
      <c r="I32" s="6"/>
      <c r="J32" s="6" t="str">
        <f aca="false">IF(OR(G32="",H32=""),"",H32-G32)</f>
        <v/>
      </c>
      <c r="K32" s="24"/>
      <c r="L32" s="25"/>
    </row>
    <row r="33" customFormat="false" ht="15" hidden="false" customHeight="true" outlineLevel="0" collapsed="false">
      <c r="A33" s="6"/>
      <c r="B33" s="6"/>
      <c r="C33" s="6" t="str">
        <f aca="false">IFERROR(VLOOKUP(B33,'Master SME Registry'!$A$3:$F$82,2,0),"")</f>
        <v/>
      </c>
      <c r="D33" s="6" t="str">
        <f aca="false">IFERROR(VLOOKUP(B33,'Master SME Registry'!$A$3:$F$82,3,0),"")</f>
        <v/>
      </c>
      <c r="E33" s="6"/>
      <c r="F33" s="6"/>
      <c r="G33" s="25"/>
      <c r="H33" s="25"/>
      <c r="I33" s="6"/>
      <c r="J33" s="6" t="str">
        <f aca="false">IF(OR(G33="",H33=""),"",H33-G33)</f>
        <v/>
      </c>
      <c r="K33" s="24"/>
      <c r="L33" s="25"/>
    </row>
    <row r="34" customFormat="false" ht="15" hidden="false" customHeight="true" outlineLevel="0" collapsed="false">
      <c r="A34" s="6"/>
      <c r="B34" s="6"/>
      <c r="C34" s="6" t="str">
        <f aca="false">IFERROR(VLOOKUP(B34,'Master SME Registry'!$A$3:$F$82,2,0),"")</f>
        <v/>
      </c>
      <c r="D34" s="6" t="str">
        <f aca="false">IFERROR(VLOOKUP(B34,'Master SME Registry'!$A$3:$F$82,3,0),"")</f>
        <v/>
      </c>
      <c r="E34" s="6"/>
      <c r="F34" s="6"/>
      <c r="G34" s="25"/>
      <c r="H34" s="25"/>
      <c r="I34" s="6"/>
      <c r="J34" s="6" t="str">
        <f aca="false">IF(OR(G34="",H34=""),"",H34-G34)</f>
        <v/>
      </c>
      <c r="K34" s="24"/>
      <c r="L34" s="25"/>
    </row>
    <row r="35" customFormat="false" ht="15" hidden="false" customHeight="true" outlineLevel="0" collapsed="false">
      <c r="A35" s="6"/>
      <c r="B35" s="6"/>
      <c r="C35" s="6" t="str">
        <f aca="false">IFERROR(VLOOKUP(B35,'Master SME Registry'!$A$3:$F$82,2,0),"")</f>
        <v/>
      </c>
      <c r="D35" s="6" t="str">
        <f aca="false">IFERROR(VLOOKUP(B35,'Master SME Registry'!$A$3:$F$82,3,0),"")</f>
        <v/>
      </c>
      <c r="E35" s="6"/>
      <c r="F35" s="6"/>
      <c r="G35" s="25"/>
      <c r="H35" s="25"/>
      <c r="I35" s="6"/>
      <c r="J35" s="6" t="str">
        <f aca="false">IF(OR(G35="",H35=""),"",H35-G35)</f>
        <v/>
      </c>
      <c r="K35" s="24"/>
      <c r="L35" s="25"/>
    </row>
    <row r="36" customFormat="false" ht="15" hidden="false" customHeight="true" outlineLevel="0" collapsed="false">
      <c r="A36" s="6"/>
      <c r="B36" s="6"/>
      <c r="C36" s="6" t="str">
        <f aca="false">IFERROR(VLOOKUP(B36,'Master SME Registry'!$A$3:$F$82,2,0),"")</f>
        <v/>
      </c>
      <c r="D36" s="6" t="str">
        <f aca="false">IFERROR(VLOOKUP(B36,'Master SME Registry'!$A$3:$F$82,3,0),"")</f>
        <v/>
      </c>
      <c r="E36" s="6"/>
      <c r="F36" s="6"/>
      <c r="G36" s="25"/>
      <c r="H36" s="25"/>
      <c r="I36" s="6"/>
      <c r="J36" s="6" t="str">
        <f aca="false">IF(OR(G36="",H36=""),"",H36-G36)</f>
        <v/>
      </c>
      <c r="K36" s="24"/>
      <c r="L36" s="25"/>
    </row>
    <row r="37" customFormat="false" ht="15" hidden="false" customHeight="true" outlineLevel="0" collapsed="false">
      <c r="A37" s="6"/>
      <c r="B37" s="6"/>
      <c r="C37" s="6" t="str">
        <f aca="false">IFERROR(VLOOKUP(B37,'Master SME Registry'!$A$3:$F$82,2,0),"")</f>
        <v/>
      </c>
      <c r="D37" s="6" t="str">
        <f aca="false">IFERROR(VLOOKUP(B37,'Master SME Registry'!$A$3:$F$82,3,0),"")</f>
        <v/>
      </c>
      <c r="E37" s="6"/>
      <c r="F37" s="6"/>
      <c r="G37" s="25"/>
      <c r="H37" s="25"/>
      <c r="I37" s="6"/>
      <c r="J37" s="6" t="str">
        <f aca="false">IF(OR(G37="",H37=""),"",H37-G37)</f>
        <v/>
      </c>
      <c r="K37" s="24"/>
      <c r="L37" s="25"/>
    </row>
    <row r="38" customFormat="false" ht="15" hidden="false" customHeight="true" outlineLevel="0" collapsed="false">
      <c r="A38" s="6"/>
      <c r="B38" s="6"/>
      <c r="C38" s="6" t="str">
        <f aca="false">IFERROR(VLOOKUP(B38,'Master SME Registry'!$A$3:$F$82,2,0),"")</f>
        <v/>
      </c>
      <c r="D38" s="6" t="str">
        <f aca="false">IFERROR(VLOOKUP(B38,'Master SME Registry'!$A$3:$F$82,3,0),"")</f>
        <v/>
      </c>
      <c r="E38" s="6"/>
      <c r="F38" s="6"/>
      <c r="G38" s="25"/>
      <c r="H38" s="25"/>
      <c r="I38" s="6"/>
      <c r="J38" s="6" t="str">
        <f aca="false">IF(OR(G38="",H38=""),"",H38-G38)</f>
        <v/>
      </c>
      <c r="K38" s="24"/>
      <c r="L38" s="25"/>
    </row>
    <row r="39" customFormat="false" ht="15" hidden="false" customHeight="true" outlineLevel="0" collapsed="false">
      <c r="A39" s="6"/>
      <c r="B39" s="6"/>
      <c r="C39" s="6" t="str">
        <f aca="false">IFERROR(VLOOKUP(B39,'Master SME Registry'!$A$3:$F$82,2,0),"")</f>
        <v/>
      </c>
      <c r="D39" s="6" t="str">
        <f aca="false">IFERROR(VLOOKUP(B39,'Master SME Registry'!$A$3:$F$82,3,0),"")</f>
        <v/>
      </c>
      <c r="E39" s="6"/>
      <c r="F39" s="6"/>
      <c r="G39" s="25"/>
      <c r="H39" s="25"/>
      <c r="I39" s="6"/>
      <c r="J39" s="6" t="str">
        <f aca="false">IF(OR(G39="",H39=""),"",H39-G39)</f>
        <v/>
      </c>
      <c r="K39" s="24"/>
      <c r="L39" s="25"/>
    </row>
    <row r="40" customFormat="false" ht="15" hidden="false" customHeight="true" outlineLevel="0" collapsed="false">
      <c r="A40" s="6"/>
      <c r="B40" s="6"/>
      <c r="C40" s="6" t="str">
        <f aca="false">IFERROR(VLOOKUP(B40,'Master SME Registry'!$A$3:$F$82,2,0),"")</f>
        <v/>
      </c>
      <c r="D40" s="6" t="str">
        <f aca="false">IFERROR(VLOOKUP(B40,'Master SME Registry'!$A$3:$F$82,3,0),"")</f>
        <v/>
      </c>
      <c r="E40" s="6"/>
      <c r="F40" s="6"/>
      <c r="G40" s="25"/>
      <c r="H40" s="25"/>
      <c r="I40" s="6"/>
      <c r="J40" s="6" t="str">
        <f aca="false">IF(OR(G40="",H40=""),"",H40-G40)</f>
        <v/>
      </c>
      <c r="K40" s="24"/>
      <c r="L40" s="25"/>
    </row>
    <row r="41" customFormat="false" ht="15" hidden="false" customHeight="true" outlineLevel="0" collapsed="false">
      <c r="A41" s="6"/>
      <c r="B41" s="6"/>
      <c r="C41" s="6" t="str">
        <f aca="false">IFERROR(VLOOKUP(B41,'Master SME Registry'!$A$3:$F$82,2,0),"")</f>
        <v/>
      </c>
      <c r="D41" s="6" t="str">
        <f aca="false">IFERROR(VLOOKUP(B41,'Master SME Registry'!$A$3:$F$82,3,0),"")</f>
        <v/>
      </c>
      <c r="E41" s="6"/>
      <c r="F41" s="6"/>
      <c r="G41" s="25"/>
      <c r="H41" s="25"/>
      <c r="I41" s="6"/>
      <c r="J41" s="6" t="str">
        <f aca="false">IF(OR(G41="",H41=""),"",H41-G41)</f>
        <v/>
      </c>
      <c r="K41" s="24"/>
      <c r="L41" s="25"/>
    </row>
    <row r="42" customFormat="false" ht="15" hidden="false" customHeight="true" outlineLevel="0" collapsed="false">
      <c r="A42" s="6"/>
      <c r="B42" s="6"/>
      <c r="C42" s="6" t="str">
        <f aca="false">IFERROR(VLOOKUP(B42,'Master SME Registry'!$A$3:$F$82,2,0),"")</f>
        <v/>
      </c>
      <c r="D42" s="6" t="str">
        <f aca="false">IFERROR(VLOOKUP(B42,'Master SME Registry'!$A$3:$F$82,3,0),"")</f>
        <v/>
      </c>
      <c r="E42" s="6"/>
      <c r="F42" s="6"/>
      <c r="G42" s="25"/>
      <c r="H42" s="25"/>
      <c r="I42" s="6"/>
      <c r="J42" s="6" t="str">
        <f aca="false">IF(OR(G42="",H42=""),"",H42-G42)</f>
        <v/>
      </c>
      <c r="K42" s="24"/>
      <c r="L42" s="25"/>
    </row>
    <row r="43" customFormat="false" ht="15" hidden="false" customHeight="true" outlineLevel="0" collapsed="false">
      <c r="A43" s="6"/>
      <c r="B43" s="6"/>
      <c r="C43" s="6" t="str">
        <f aca="false">IFERROR(VLOOKUP(B43,'Master SME Registry'!$A$3:$F$82,2,0),"")</f>
        <v/>
      </c>
      <c r="D43" s="6" t="str">
        <f aca="false">IFERROR(VLOOKUP(B43,'Master SME Registry'!$A$3:$F$82,3,0),"")</f>
        <v/>
      </c>
      <c r="E43" s="6"/>
      <c r="F43" s="6"/>
      <c r="G43" s="25"/>
      <c r="H43" s="25"/>
      <c r="I43" s="6"/>
      <c r="J43" s="6" t="str">
        <f aca="false">IF(OR(G43="",H43=""),"",H43-G43)</f>
        <v/>
      </c>
      <c r="K43" s="24"/>
      <c r="L43" s="25"/>
    </row>
    <row r="44" customFormat="false" ht="15" hidden="false" customHeight="true" outlineLevel="0" collapsed="false">
      <c r="A44" s="6"/>
      <c r="B44" s="6"/>
      <c r="C44" s="6" t="str">
        <f aca="false">IFERROR(VLOOKUP(B44,'Master SME Registry'!$A$3:$F$82,2,0),"")</f>
        <v/>
      </c>
      <c r="D44" s="6" t="str">
        <f aca="false">IFERROR(VLOOKUP(B44,'Master SME Registry'!$A$3:$F$82,3,0),"")</f>
        <v/>
      </c>
      <c r="E44" s="6"/>
      <c r="F44" s="6"/>
      <c r="G44" s="25"/>
      <c r="H44" s="25"/>
      <c r="I44" s="6"/>
      <c r="J44" s="6" t="str">
        <f aca="false">IF(OR(G44="",H44=""),"",H44-G44)</f>
        <v/>
      </c>
      <c r="K44" s="24"/>
      <c r="L44" s="25"/>
    </row>
    <row r="45" customFormat="false" ht="15" hidden="false" customHeight="true" outlineLevel="0" collapsed="false">
      <c r="A45" s="6"/>
      <c r="B45" s="6"/>
      <c r="C45" s="6" t="str">
        <f aca="false">IFERROR(VLOOKUP(B45,'Master SME Registry'!$A$3:$F$82,2,0),"")</f>
        <v/>
      </c>
      <c r="D45" s="6" t="str">
        <f aca="false">IFERROR(VLOOKUP(B45,'Master SME Registry'!$A$3:$F$82,3,0),"")</f>
        <v/>
      </c>
      <c r="E45" s="6"/>
      <c r="F45" s="6"/>
      <c r="G45" s="25"/>
      <c r="H45" s="25"/>
      <c r="I45" s="6"/>
      <c r="J45" s="6" t="str">
        <f aca="false">IF(OR(G45="",H45=""),"",H45-G45)</f>
        <v/>
      </c>
      <c r="K45" s="24"/>
      <c r="L45" s="25"/>
    </row>
    <row r="46" customFormat="false" ht="15" hidden="false" customHeight="true" outlineLevel="0" collapsed="false">
      <c r="A46" s="6"/>
      <c r="B46" s="6"/>
      <c r="C46" s="6" t="str">
        <f aca="false">IFERROR(VLOOKUP(B46,'Master SME Registry'!$A$3:$F$82,2,0),"")</f>
        <v/>
      </c>
      <c r="D46" s="6" t="str">
        <f aca="false">IFERROR(VLOOKUP(B46,'Master SME Registry'!$A$3:$F$82,3,0),"")</f>
        <v/>
      </c>
      <c r="E46" s="6"/>
      <c r="F46" s="6"/>
      <c r="G46" s="25"/>
      <c r="H46" s="25"/>
      <c r="I46" s="6"/>
      <c r="J46" s="6" t="str">
        <f aca="false">IF(OR(G46="",H46=""),"",H46-G46)</f>
        <v/>
      </c>
      <c r="K46" s="24"/>
      <c r="L46" s="25"/>
    </row>
    <row r="47" customFormat="false" ht="15" hidden="false" customHeight="true" outlineLevel="0" collapsed="false">
      <c r="A47" s="6"/>
      <c r="B47" s="6"/>
      <c r="C47" s="6" t="str">
        <f aca="false">IFERROR(VLOOKUP(B47,'Master SME Registry'!$A$3:$F$82,2,0),"")</f>
        <v/>
      </c>
      <c r="D47" s="6" t="str">
        <f aca="false">IFERROR(VLOOKUP(B47,'Master SME Registry'!$A$3:$F$82,3,0),"")</f>
        <v/>
      </c>
      <c r="E47" s="6"/>
      <c r="F47" s="6"/>
      <c r="G47" s="25"/>
      <c r="H47" s="25"/>
      <c r="I47" s="6"/>
      <c r="J47" s="6" t="str">
        <f aca="false">IF(OR(G47="",H47=""),"",H47-G47)</f>
        <v/>
      </c>
      <c r="K47" s="24"/>
      <c r="L47" s="25"/>
    </row>
    <row r="48" customFormat="false" ht="15" hidden="false" customHeight="true" outlineLevel="0" collapsed="false">
      <c r="A48" s="6"/>
      <c r="B48" s="6"/>
      <c r="C48" s="6" t="str">
        <f aca="false">IFERROR(VLOOKUP(B48,'Master SME Registry'!$A$3:$F$82,2,0),"")</f>
        <v/>
      </c>
      <c r="D48" s="6" t="str">
        <f aca="false">IFERROR(VLOOKUP(B48,'Master SME Registry'!$A$3:$F$82,3,0),"")</f>
        <v/>
      </c>
      <c r="E48" s="6"/>
      <c r="F48" s="6"/>
      <c r="G48" s="25"/>
      <c r="H48" s="25"/>
      <c r="I48" s="6"/>
      <c r="J48" s="6" t="str">
        <f aca="false">IF(OR(G48="",H48=""),"",H48-G48)</f>
        <v/>
      </c>
      <c r="K48" s="24"/>
      <c r="L48" s="25"/>
    </row>
    <row r="49" customFormat="false" ht="15" hidden="false" customHeight="true" outlineLevel="0" collapsed="false">
      <c r="A49" s="6"/>
      <c r="B49" s="6"/>
      <c r="C49" s="6" t="str">
        <f aca="false">IFERROR(VLOOKUP(B49,'Master SME Registry'!$A$3:$F$82,2,0),"")</f>
        <v/>
      </c>
      <c r="D49" s="6" t="str">
        <f aca="false">IFERROR(VLOOKUP(B49,'Master SME Registry'!$A$3:$F$82,3,0),"")</f>
        <v/>
      </c>
      <c r="E49" s="6"/>
      <c r="F49" s="6"/>
      <c r="G49" s="25"/>
      <c r="H49" s="25"/>
      <c r="I49" s="6"/>
      <c r="J49" s="6" t="str">
        <f aca="false">IF(OR(G49="",H49=""),"",H49-G49)</f>
        <v/>
      </c>
      <c r="K49" s="24"/>
      <c r="L49" s="25"/>
    </row>
    <row r="50" customFormat="false" ht="15" hidden="false" customHeight="true" outlineLevel="0" collapsed="false">
      <c r="A50" s="6"/>
      <c r="B50" s="6"/>
      <c r="C50" s="6" t="str">
        <f aca="false">IFERROR(VLOOKUP(B50,'Master SME Registry'!$A$3:$F$82,2,0),"")</f>
        <v/>
      </c>
      <c r="D50" s="6" t="str">
        <f aca="false">IFERROR(VLOOKUP(B50,'Master SME Registry'!$A$3:$F$82,3,0),"")</f>
        <v/>
      </c>
      <c r="E50" s="6"/>
      <c r="F50" s="6"/>
      <c r="G50" s="25"/>
      <c r="H50" s="25"/>
      <c r="I50" s="6"/>
      <c r="J50" s="6" t="str">
        <f aca="false">IF(OR(G50="",H50=""),"",H50-G50)</f>
        <v/>
      </c>
      <c r="K50" s="24"/>
      <c r="L50" s="25"/>
    </row>
    <row r="51" customFormat="false" ht="15" hidden="false" customHeight="true" outlineLevel="0" collapsed="false">
      <c r="A51" s="6"/>
      <c r="B51" s="6"/>
      <c r="C51" s="6" t="str">
        <f aca="false">IFERROR(VLOOKUP(B51,'Master SME Registry'!$A$3:$F$82,2,0),"")</f>
        <v/>
      </c>
      <c r="D51" s="6" t="str">
        <f aca="false">IFERROR(VLOOKUP(B51,'Master SME Registry'!$A$3:$F$82,3,0),"")</f>
        <v/>
      </c>
      <c r="E51" s="6"/>
      <c r="F51" s="6"/>
      <c r="G51" s="25"/>
      <c r="H51" s="25"/>
      <c r="I51" s="6"/>
      <c r="J51" s="6" t="str">
        <f aca="false">IF(OR(G51="",H51=""),"",H51-G51)</f>
        <v/>
      </c>
      <c r="K51" s="24"/>
      <c r="L51" s="25"/>
    </row>
    <row r="52" customFormat="false" ht="15" hidden="false" customHeight="true" outlineLevel="0" collapsed="false">
      <c r="A52" s="6"/>
      <c r="B52" s="6"/>
      <c r="C52" s="6" t="str">
        <f aca="false">IFERROR(VLOOKUP(B52,'Master SME Registry'!$A$3:$F$82,2,0),"")</f>
        <v/>
      </c>
      <c r="D52" s="6" t="str">
        <f aca="false">IFERROR(VLOOKUP(B52,'Master SME Registry'!$A$3:$F$82,3,0),"")</f>
        <v/>
      </c>
      <c r="E52" s="6"/>
      <c r="F52" s="6"/>
      <c r="G52" s="25"/>
      <c r="H52" s="25"/>
      <c r="I52" s="6"/>
      <c r="J52" s="6" t="str">
        <f aca="false">IF(OR(G52="",H52=""),"",H52-G52)</f>
        <v/>
      </c>
      <c r="K52" s="24"/>
      <c r="L52" s="25"/>
    </row>
    <row r="53" customFormat="false" ht="15" hidden="false" customHeight="true" outlineLevel="0" collapsed="false">
      <c r="A53" s="6"/>
      <c r="B53" s="6"/>
      <c r="C53" s="6" t="str">
        <f aca="false">IFERROR(VLOOKUP(B53,'Master SME Registry'!$A$3:$F$82,2,0),"")</f>
        <v/>
      </c>
      <c r="D53" s="6" t="str">
        <f aca="false">IFERROR(VLOOKUP(B53,'Master SME Registry'!$A$3:$F$82,3,0),"")</f>
        <v/>
      </c>
      <c r="E53" s="6"/>
      <c r="F53" s="6"/>
      <c r="G53" s="25"/>
      <c r="H53" s="25"/>
      <c r="I53" s="6"/>
      <c r="J53" s="6" t="str">
        <f aca="false">IF(OR(G53="",H53=""),"",H53-G53)</f>
        <v/>
      </c>
      <c r="K53" s="24"/>
      <c r="L53" s="25"/>
    </row>
    <row r="54" customFormat="false" ht="15" hidden="false" customHeight="true" outlineLevel="0" collapsed="false">
      <c r="A54" s="6"/>
      <c r="B54" s="6"/>
      <c r="C54" s="6" t="str">
        <f aca="false">IFERROR(VLOOKUP(B54,'Master SME Registry'!$A$3:$F$82,2,0),"")</f>
        <v/>
      </c>
      <c r="D54" s="6" t="str">
        <f aca="false">IFERROR(VLOOKUP(B54,'Master SME Registry'!$A$3:$F$82,3,0),"")</f>
        <v/>
      </c>
      <c r="E54" s="6"/>
      <c r="F54" s="6"/>
      <c r="G54" s="25"/>
      <c r="H54" s="25"/>
      <c r="I54" s="6"/>
      <c r="J54" s="6" t="str">
        <f aca="false">IF(OR(G54="",H54=""),"",H54-G54)</f>
        <v/>
      </c>
      <c r="K54" s="24"/>
      <c r="L54" s="25"/>
    </row>
    <row r="55" customFormat="false" ht="15" hidden="false" customHeight="true" outlineLevel="0" collapsed="false">
      <c r="A55" s="6"/>
      <c r="B55" s="6"/>
      <c r="C55" s="6" t="str">
        <f aca="false">IFERROR(VLOOKUP(B55,'Master SME Registry'!$A$3:$F$82,2,0),"")</f>
        <v/>
      </c>
      <c r="D55" s="6" t="str">
        <f aca="false">IFERROR(VLOOKUP(B55,'Master SME Registry'!$A$3:$F$82,3,0),"")</f>
        <v/>
      </c>
      <c r="E55" s="6"/>
      <c r="F55" s="6"/>
      <c r="G55" s="25"/>
      <c r="H55" s="25"/>
      <c r="I55" s="6"/>
      <c r="J55" s="6" t="str">
        <f aca="false">IF(OR(G55="",H55=""),"",H55-G55)</f>
        <v/>
      </c>
      <c r="K55" s="24"/>
      <c r="L55" s="25"/>
    </row>
    <row r="56" customFormat="false" ht="15" hidden="false" customHeight="true" outlineLevel="0" collapsed="false">
      <c r="A56" s="6"/>
      <c r="B56" s="6"/>
      <c r="C56" s="6" t="str">
        <f aca="false">IFERROR(VLOOKUP(B56,'Master SME Registry'!$A$3:$F$82,2,0),"")</f>
        <v/>
      </c>
      <c r="D56" s="6" t="str">
        <f aca="false">IFERROR(VLOOKUP(B56,'Master SME Registry'!$A$3:$F$82,3,0),"")</f>
        <v/>
      </c>
      <c r="E56" s="6"/>
      <c r="F56" s="6"/>
      <c r="G56" s="25"/>
      <c r="H56" s="25"/>
      <c r="I56" s="6"/>
      <c r="J56" s="6" t="str">
        <f aca="false">IF(OR(G56="",H56=""),"",H56-G56)</f>
        <v/>
      </c>
      <c r="K56" s="24"/>
      <c r="L56" s="25"/>
    </row>
    <row r="57" customFormat="false" ht="15" hidden="false" customHeight="true" outlineLevel="0" collapsed="false">
      <c r="A57" s="6"/>
      <c r="B57" s="6"/>
      <c r="C57" s="6" t="str">
        <f aca="false">IFERROR(VLOOKUP(B57,'Master SME Registry'!$A$3:$F$82,2,0),"")</f>
        <v/>
      </c>
      <c r="D57" s="6" t="str">
        <f aca="false">IFERROR(VLOOKUP(B57,'Master SME Registry'!$A$3:$F$82,3,0),"")</f>
        <v/>
      </c>
      <c r="E57" s="6"/>
      <c r="F57" s="6"/>
      <c r="G57" s="25"/>
      <c r="H57" s="25"/>
      <c r="I57" s="6"/>
      <c r="J57" s="6" t="str">
        <f aca="false">IF(OR(G57="",H57=""),"",H57-G57)</f>
        <v/>
      </c>
      <c r="K57" s="24"/>
      <c r="L57" s="25"/>
    </row>
    <row r="58" customFormat="false" ht="15" hidden="false" customHeight="true" outlineLevel="0" collapsed="false">
      <c r="A58" s="6"/>
      <c r="B58" s="6"/>
      <c r="C58" s="6" t="str">
        <f aca="false">IFERROR(VLOOKUP(B58,'Master SME Registry'!$A$3:$F$82,2,0),"")</f>
        <v/>
      </c>
      <c r="D58" s="6" t="str">
        <f aca="false">IFERROR(VLOOKUP(B58,'Master SME Registry'!$A$3:$F$82,3,0),"")</f>
        <v/>
      </c>
      <c r="E58" s="6"/>
      <c r="F58" s="6"/>
      <c r="G58" s="25"/>
      <c r="H58" s="25"/>
      <c r="I58" s="6"/>
      <c r="J58" s="6" t="str">
        <f aca="false">IF(OR(G58="",H58=""),"",H58-G58)</f>
        <v/>
      </c>
      <c r="K58" s="24"/>
      <c r="L58" s="25"/>
    </row>
    <row r="59" customFormat="false" ht="15" hidden="false" customHeight="true" outlineLevel="0" collapsed="false">
      <c r="A59" s="6"/>
      <c r="B59" s="6"/>
      <c r="C59" s="6" t="str">
        <f aca="false">IFERROR(VLOOKUP(B59,'Master SME Registry'!$A$3:$F$82,2,0),"")</f>
        <v/>
      </c>
      <c r="D59" s="6" t="str">
        <f aca="false">IFERROR(VLOOKUP(B59,'Master SME Registry'!$A$3:$F$82,3,0),"")</f>
        <v/>
      </c>
      <c r="E59" s="6"/>
      <c r="F59" s="6"/>
      <c r="G59" s="25"/>
      <c r="H59" s="25"/>
      <c r="I59" s="6"/>
      <c r="J59" s="6" t="str">
        <f aca="false">IF(OR(G59="",H59=""),"",H59-G59)</f>
        <v/>
      </c>
      <c r="K59" s="24"/>
      <c r="L59" s="25"/>
    </row>
    <row r="60" customFormat="false" ht="15" hidden="false" customHeight="true" outlineLevel="0" collapsed="false">
      <c r="A60" s="6"/>
      <c r="B60" s="6"/>
      <c r="C60" s="6" t="str">
        <f aca="false">IFERROR(VLOOKUP(B60,'Master SME Registry'!$A$3:$F$82,2,0),"")</f>
        <v/>
      </c>
      <c r="D60" s="6" t="str">
        <f aca="false">IFERROR(VLOOKUP(B60,'Master SME Registry'!$A$3:$F$82,3,0),"")</f>
        <v/>
      </c>
      <c r="E60" s="6"/>
      <c r="F60" s="6"/>
      <c r="G60" s="25"/>
      <c r="H60" s="25"/>
      <c r="I60" s="6"/>
      <c r="J60" s="6" t="str">
        <f aca="false">IF(OR(G60="",H60=""),"",H60-G60)</f>
        <v/>
      </c>
      <c r="K60" s="24"/>
      <c r="L60" s="25"/>
    </row>
    <row r="61" customFormat="false" ht="15" hidden="false" customHeight="true" outlineLevel="0" collapsed="false">
      <c r="A61" s="6"/>
      <c r="B61" s="6"/>
      <c r="C61" s="6" t="str">
        <f aca="false">IFERROR(VLOOKUP(B61,'Master SME Registry'!$A$3:$F$82,2,0),"")</f>
        <v/>
      </c>
      <c r="D61" s="6" t="str">
        <f aca="false">IFERROR(VLOOKUP(B61,'Master SME Registry'!$A$3:$F$82,3,0),"")</f>
        <v/>
      </c>
      <c r="E61" s="6"/>
      <c r="F61" s="6"/>
      <c r="G61" s="25"/>
      <c r="H61" s="25"/>
      <c r="I61" s="6"/>
      <c r="J61" s="6" t="str">
        <f aca="false">IF(OR(G61="",H61=""),"",H61-G61)</f>
        <v/>
      </c>
      <c r="K61" s="24"/>
      <c r="L61" s="25"/>
    </row>
    <row r="62" customFormat="false" ht="15" hidden="false" customHeight="true" outlineLevel="0" collapsed="false">
      <c r="A62" s="6"/>
      <c r="B62" s="6"/>
      <c r="C62" s="6" t="str">
        <f aca="false">IFERROR(VLOOKUP(B62,'Master SME Registry'!$A$3:$F$82,2,0),"")</f>
        <v/>
      </c>
      <c r="D62" s="6" t="str">
        <f aca="false">IFERROR(VLOOKUP(B62,'Master SME Registry'!$A$3:$F$82,3,0),"")</f>
        <v/>
      </c>
      <c r="E62" s="6"/>
      <c r="F62" s="6"/>
      <c r="G62" s="25"/>
      <c r="H62" s="25"/>
      <c r="I62" s="6"/>
      <c r="J62" s="6" t="str">
        <f aca="false">IF(OR(G62="",H62=""),"",H62-G62)</f>
        <v/>
      </c>
      <c r="K62" s="24"/>
      <c r="L62" s="25"/>
    </row>
    <row r="63" customFormat="false" ht="15" hidden="false" customHeight="true" outlineLevel="0" collapsed="false">
      <c r="A63" s="6"/>
      <c r="B63" s="6"/>
      <c r="C63" s="6" t="str">
        <f aca="false">IFERROR(VLOOKUP(B63,'Master SME Registry'!$A$3:$F$82,2,0),"")</f>
        <v/>
      </c>
      <c r="D63" s="6" t="str">
        <f aca="false">IFERROR(VLOOKUP(B63,'Master SME Registry'!$A$3:$F$82,3,0),"")</f>
        <v/>
      </c>
      <c r="E63" s="6"/>
      <c r="F63" s="6"/>
      <c r="G63" s="25"/>
      <c r="H63" s="25"/>
      <c r="I63" s="6"/>
      <c r="J63" s="6" t="str">
        <f aca="false">IF(OR(G63="",H63=""),"",H63-G63)</f>
        <v/>
      </c>
      <c r="K63" s="24"/>
      <c r="L63" s="25"/>
    </row>
    <row r="64" customFormat="false" ht="15" hidden="false" customHeight="true" outlineLevel="0" collapsed="false">
      <c r="A64" s="6"/>
      <c r="B64" s="6"/>
      <c r="C64" s="6" t="str">
        <f aca="false">IFERROR(VLOOKUP(B64,'Master SME Registry'!$A$3:$F$82,2,0),"")</f>
        <v/>
      </c>
      <c r="D64" s="6" t="str">
        <f aca="false">IFERROR(VLOOKUP(B64,'Master SME Registry'!$A$3:$F$82,3,0),"")</f>
        <v/>
      </c>
      <c r="E64" s="6"/>
      <c r="F64" s="6"/>
      <c r="G64" s="25"/>
      <c r="H64" s="25"/>
      <c r="I64" s="6"/>
      <c r="J64" s="6" t="str">
        <f aca="false">IF(OR(G64="",H64=""),"",H64-G64)</f>
        <v/>
      </c>
      <c r="K64" s="24"/>
      <c r="L64" s="25"/>
    </row>
    <row r="65" customFormat="false" ht="15" hidden="false" customHeight="true" outlineLevel="0" collapsed="false">
      <c r="A65" s="6"/>
      <c r="B65" s="6"/>
      <c r="C65" s="6" t="str">
        <f aca="false">IFERROR(VLOOKUP(B65,'Master SME Registry'!$A$3:$F$82,2,0),"")</f>
        <v/>
      </c>
      <c r="D65" s="6" t="str">
        <f aca="false">IFERROR(VLOOKUP(B65,'Master SME Registry'!$A$3:$F$82,3,0),"")</f>
        <v/>
      </c>
      <c r="E65" s="6"/>
      <c r="F65" s="6"/>
      <c r="G65" s="25"/>
      <c r="H65" s="25"/>
      <c r="I65" s="6"/>
      <c r="J65" s="6" t="str">
        <f aca="false">IF(OR(G65="",H65=""),"",H65-G65)</f>
        <v/>
      </c>
      <c r="K65" s="24"/>
      <c r="L65" s="25"/>
    </row>
    <row r="66" customFormat="false" ht="15" hidden="false" customHeight="true" outlineLevel="0" collapsed="false">
      <c r="A66" s="6"/>
      <c r="B66" s="6"/>
      <c r="C66" s="6" t="str">
        <f aca="false">IFERROR(VLOOKUP(B66,'Master SME Registry'!$A$3:$F$82,2,0),"")</f>
        <v/>
      </c>
      <c r="D66" s="6" t="str">
        <f aca="false">IFERROR(VLOOKUP(B66,'Master SME Registry'!$A$3:$F$82,3,0),"")</f>
        <v/>
      </c>
      <c r="E66" s="6"/>
      <c r="F66" s="6"/>
      <c r="G66" s="25"/>
      <c r="H66" s="25"/>
      <c r="I66" s="6"/>
      <c r="J66" s="6" t="str">
        <f aca="false">IF(OR(G66="",H66=""),"",H66-G66)</f>
        <v/>
      </c>
      <c r="K66" s="24"/>
      <c r="L66" s="25"/>
    </row>
    <row r="67" customFormat="false" ht="15" hidden="false" customHeight="true" outlineLevel="0" collapsed="false">
      <c r="A67" s="6"/>
      <c r="B67" s="6"/>
      <c r="C67" s="6" t="str">
        <f aca="false">IFERROR(VLOOKUP(B67,'Master SME Registry'!$A$3:$F$82,2,0),"")</f>
        <v/>
      </c>
      <c r="D67" s="6" t="str">
        <f aca="false">IFERROR(VLOOKUP(B67,'Master SME Registry'!$A$3:$F$82,3,0),"")</f>
        <v/>
      </c>
      <c r="E67" s="6"/>
      <c r="F67" s="6"/>
      <c r="G67" s="25"/>
      <c r="H67" s="25"/>
      <c r="I67" s="6"/>
      <c r="J67" s="6" t="str">
        <f aca="false">IF(OR(G67="",H67=""),"",H67-G67)</f>
        <v/>
      </c>
      <c r="K67" s="24"/>
      <c r="L67" s="25"/>
    </row>
    <row r="68" customFormat="false" ht="15" hidden="false" customHeight="true" outlineLevel="0" collapsed="false">
      <c r="A68" s="6"/>
      <c r="B68" s="6"/>
      <c r="C68" s="6" t="str">
        <f aca="false">IFERROR(VLOOKUP(B68,'Master SME Registry'!$A$3:$F$82,2,0),"")</f>
        <v/>
      </c>
      <c r="D68" s="6" t="str">
        <f aca="false">IFERROR(VLOOKUP(B68,'Master SME Registry'!$A$3:$F$82,3,0),"")</f>
        <v/>
      </c>
      <c r="E68" s="6"/>
      <c r="F68" s="6"/>
      <c r="G68" s="25"/>
      <c r="H68" s="25"/>
      <c r="I68" s="6"/>
      <c r="J68" s="6" t="str">
        <f aca="false">IF(OR(G68="",H68=""),"",H68-G68)</f>
        <v/>
      </c>
      <c r="K68" s="24"/>
      <c r="L68" s="25"/>
    </row>
    <row r="69" customFormat="false" ht="15" hidden="false" customHeight="true" outlineLevel="0" collapsed="false">
      <c r="A69" s="6"/>
      <c r="B69" s="6"/>
      <c r="C69" s="6" t="str">
        <f aca="false">IFERROR(VLOOKUP(B69,'Master SME Registry'!$A$3:$F$82,2,0),"")</f>
        <v/>
      </c>
      <c r="D69" s="6" t="str">
        <f aca="false">IFERROR(VLOOKUP(B69,'Master SME Registry'!$A$3:$F$82,3,0),"")</f>
        <v/>
      </c>
      <c r="E69" s="6"/>
      <c r="F69" s="6"/>
      <c r="G69" s="25"/>
      <c r="H69" s="25"/>
      <c r="I69" s="6"/>
      <c r="J69" s="6" t="str">
        <f aca="false">IF(OR(G69="",H69=""),"",H69-G69)</f>
        <v/>
      </c>
      <c r="K69" s="24"/>
      <c r="L69" s="25"/>
    </row>
    <row r="70" customFormat="false" ht="15" hidden="false" customHeight="true" outlineLevel="0" collapsed="false">
      <c r="A70" s="6"/>
      <c r="B70" s="6"/>
      <c r="C70" s="6" t="str">
        <f aca="false">IFERROR(VLOOKUP(B70,'Master SME Registry'!$A$3:$F$82,2,0),"")</f>
        <v/>
      </c>
      <c r="D70" s="6" t="str">
        <f aca="false">IFERROR(VLOOKUP(B70,'Master SME Registry'!$A$3:$F$82,3,0),"")</f>
        <v/>
      </c>
      <c r="E70" s="6"/>
      <c r="F70" s="6"/>
      <c r="G70" s="25"/>
      <c r="H70" s="25"/>
      <c r="I70" s="6"/>
      <c r="J70" s="6" t="str">
        <f aca="false">IF(OR(G70="",H70=""),"",H70-G70)</f>
        <v/>
      </c>
      <c r="K70" s="24"/>
      <c r="L70" s="25"/>
    </row>
    <row r="71" customFormat="false" ht="15" hidden="false" customHeight="true" outlineLevel="0" collapsed="false">
      <c r="A71" s="6"/>
      <c r="B71" s="6"/>
      <c r="C71" s="6" t="str">
        <f aca="false">IFERROR(VLOOKUP(B71,'Master SME Registry'!$A$3:$F$82,2,0),"")</f>
        <v/>
      </c>
      <c r="D71" s="6" t="str">
        <f aca="false">IFERROR(VLOOKUP(B71,'Master SME Registry'!$A$3:$F$82,3,0),"")</f>
        <v/>
      </c>
      <c r="E71" s="6"/>
      <c r="F71" s="6"/>
      <c r="G71" s="25"/>
      <c r="H71" s="25"/>
      <c r="I71" s="6"/>
      <c r="J71" s="6" t="str">
        <f aca="false">IF(OR(G71="",H71=""),"",H71-G71)</f>
        <v/>
      </c>
      <c r="K71" s="24"/>
      <c r="L71" s="25"/>
    </row>
    <row r="72" customFormat="false" ht="15" hidden="false" customHeight="true" outlineLevel="0" collapsed="false">
      <c r="A72" s="6"/>
      <c r="B72" s="6"/>
      <c r="C72" s="6" t="str">
        <f aca="false">IFERROR(VLOOKUP(B72,'Master SME Registry'!$A$3:$F$82,2,0),"")</f>
        <v/>
      </c>
      <c r="D72" s="6" t="str">
        <f aca="false">IFERROR(VLOOKUP(B72,'Master SME Registry'!$A$3:$F$82,3,0),"")</f>
        <v/>
      </c>
      <c r="E72" s="6"/>
      <c r="F72" s="6"/>
      <c r="G72" s="25"/>
      <c r="H72" s="25"/>
      <c r="I72" s="6"/>
      <c r="J72" s="6" t="str">
        <f aca="false">IF(OR(G72="",H72=""),"",H72-G72)</f>
        <v/>
      </c>
      <c r="K72" s="24"/>
      <c r="L72" s="25"/>
    </row>
    <row r="73" customFormat="false" ht="15" hidden="false" customHeight="true" outlineLevel="0" collapsed="false">
      <c r="A73" s="6"/>
      <c r="B73" s="6"/>
      <c r="C73" s="6" t="str">
        <f aca="false">IFERROR(VLOOKUP(B73,'Master SME Registry'!$A$3:$F$82,2,0),"")</f>
        <v/>
      </c>
      <c r="D73" s="6" t="str">
        <f aca="false">IFERROR(VLOOKUP(B73,'Master SME Registry'!$A$3:$F$82,3,0),"")</f>
        <v/>
      </c>
      <c r="E73" s="6"/>
      <c r="F73" s="6"/>
      <c r="G73" s="25"/>
      <c r="H73" s="25"/>
      <c r="I73" s="6"/>
      <c r="J73" s="6" t="str">
        <f aca="false">IF(OR(G73="",H73=""),"",H73-G73)</f>
        <v/>
      </c>
      <c r="K73" s="24"/>
      <c r="L73" s="25"/>
    </row>
    <row r="74" customFormat="false" ht="15" hidden="false" customHeight="true" outlineLevel="0" collapsed="false">
      <c r="A74" s="6"/>
      <c r="B74" s="6"/>
      <c r="C74" s="6" t="str">
        <f aca="false">IFERROR(VLOOKUP(B74,'Master SME Registry'!$A$3:$F$82,2,0),"")</f>
        <v/>
      </c>
      <c r="D74" s="6" t="str">
        <f aca="false">IFERROR(VLOOKUP(B74,'Master SME Registry'!$A$3:$F$82,3,0),"")</f>
        <v/>
      </c>
      <c r="E74" s="6"/>
      <c r="F74" s="6"/>
      <c r="G74" s="25"/>
      <c r="H74" s="25"/>
      <c r="I74" s="6"/>
      <c r="J74" s="6" t="str">
        <f aca="false">IF(OR(G74="",H74=""),"",H74-G74)</f>
        <v/>
      </c>
      <c r="K74" s="24"/>
      <c r="L74" s="25"/>
    </row>
    <row r="75" customFormat="false" ht="15" hidden="false" customHeight="true" outlineLevel="0" collapsed="false">
      <c r="A75" s="6"/>
      <c r="B75" s="6"/>
      <c r="C75" s="6" t="str">
        <f aca="false">IFERROR(VLOOKUP(B75,'Master SME Registry'!$A$3:$F$82,2,0),"")</f>
        <v/>
      </c>
      <c r="D75" s="6" t="str">
        <f aca="false">IFERROR(VLOOKUP(B75,'Master SME Registry'!$A$3:$F$82,3,0),"")</f>
        <v/>
      </c>
      <c r="E75" s="6"/>
      <c r="F75" s="6"/>
      <c r="G75" s="25"/>
      <c r="H75" s="25"/>
      <c r="I75" s="6"/>
      <c r="J75" s="6" t="str">
        <f aca="false">IF(OR(G75="",H75=""),"",H75-G75)</f>
        <v/>
      </c>
      <c r="K75" s="24"/>
      <c r="L75" s="25"/>
    </row>
    <row r="76" customFormat="false" ht="15" hidden="false" customHeight="true" outlineLevel="0" collapsed="false">
      <c r="A76" s="6"/>
      <c r="B76" s="6"/>
      <c r="C76" s="6" t="str">
        <f aca="false">IFERROR(VLOOKUP(B76,'Master SME Registry'!$A$3:$F$82,2,0),"")</f>
        <v/>
      </c>
      <c r="D76" s="6" t="str">
        <f aca="false">IFERROR(VLOOKUP(B76,'Master SME Registry'!$A$3:$F$82,3,0),"")</f>
        <v/>
      </c>
      <c r="E76" s="6"/>
      <c r="F76" s="6"/>
      <c r="G76" s="25"/>
      <c r="H76" s="25"/>
      <c r="I76" s="6"/>
      <c r="J76" s="6" t="str">
        <f aca="false">IF(OR(G76="",H76=""),"",H76-G76)</f>
        <v/>
      </c>
      <c r="K76" s="24"/>
      <c r="L76" s="25"/>
    </row>
    <row r="77" customFormat="false" ht="15" hidden="false" customHeight="true" outlineLevel="0" collapsed="false">
      <c r="A77" s="6"/>
      <c r="B77" s="6"/>
      <c r="C77" s="6" t="str">
        <f aca="false">IFERROR(VLOOKUP(B77,'Master SME Registry'!$A$3:$F$82,2,0),"")</f>
        <v/>
      </c>
      <c r="D77" s="6" t="str">
        <f aca="false">IFERROR(VLOOKUP(B77,'Master SME Registry'!$A$3:$F$82,3,0),"")</f>
        <v/>
      </c>
      <c r="E77" s="6"/>
      <c r="F77" s="6"/>
      <c r="G77" s="25"/>
      <c r="H77" s="25"/>
      <c r="I77" s="6"/>
      <c r="J77" s="6" t="str">
        <f aca="false">IF(OR(G77="",H77=""),"",H77-G77)</f>
        <v/>
      </c>
      <c r="K77" s="24"/>
      <c r="L77" s="25"/>
    </row>
    <row r="78" customFormat="false" ht="15" hidden="false" customHeight="true" outlineLevel="0" collapsed="false">
      <c r="A78" s="6"/>
      <c r="B78" s="6"/>
      <c r="C78" s="6" t="str">
        <f aca="false">IFERROR(VLOOKUP(B78,'Master SME Registry'!$A$3:$F$82,2,0),"")</f>
        <v/>
      </c>
      <c r="D78" s="6" t="str">
        <f aca="false">IFERROR(VLOOKUP(B78,'Master SME Registry'!$A$3:$F$82,3,0),"")</f>
        <v/>
      </c>
      <c r="E78" s="6"/>
      <c r="F78" s="6"/>
      <c r="G78" s="25"/>
      <c r="H78" s="25"/>
      <c r="I78" s="6"/>
      <c r="J78" s="6" t="str">
        <f aca="false">IF(OR(G78="",H78=""),"",H78-G78)</f>
        <v/>
      </c>
      <c r="K78" s="24"/>
      <c r="L78" s="25"/>
    </row>
    <row r="79" customFormat="false" ht="15" hidden="false" customHeight="true" outlineLevel="0" collapsed="false">
      <c r="A79" s="6"/>
      <c r="B79" s="6"/>
      <c r="C79" s="6" t="str">
        <f aca="false">IFERROR(VLOOKUP(B79,'Master SME Registry'!$A$3:$F$82,2,0),"")</f>
        <v/>
      </c>
      <c r="D79" s="6" t="str">
        <f aca="false">IFERROR(VLOOKUP(B79,'Master SME Registry'!$A$3:$F$82,3,0),"")</f>
        <v/>
      </c>
      <c r="E79" s="6"/>
      <c r="F79" s="6"/>
      <c r="G79" s="25"/>
      <c r="H79" s="25"/>
      <c r="I79" s="6"/>
      <c r="J79" s="6" t="str">
        <f aca="false">IF(OR(G79="",H79=""),"",H79-G79)</f>
        <v/>
      </c>
      <c r="K79" s="24"/>
      <c r="L79" s="25"/>
    </row>
    <row r="80" customFormat="false" ht="15" hidden="false" customHeight="true" outlineLevel="0" collapsed="false">
      <c r="A80" s="6"/>
      <c r="B80" s="6"/>
      <c r="C80" s="6" t="str">
        <f aca="false">IFERROR(VLOOKUP(B80,'Master SME Registry'!$A$3:$F$82,2,0),"")</f>
        <v/>
      </c>
      <c r="D80" s="6" t="str">
        <f aca="false">IFERROR(VLOOKUP(B80,'Master SME Registry'!$A$3:$F$82,3,0),"")</f>
        <v/>
      </c>
      <c r="E80" s="6"/>
      <c r="F80" s="6"/>
      <c r="G80" s="25"/>
      <c r="H80" s="25"/>
      <c r="I80" s="6"/>
      <c r="J80" s="6" t="str">
        <f aca="false">IF(OR(G80="",H80=""),"",H80-G80)</f>
        <v/>
      </c>
      <c r="K80" s="24"/>
      <c r="L80" s="25"/>
    </row>
    <row r="81" customFormat="false" ht="15" hidden="false" customHeight="true" outlineLevel="0" collapsed="false">
      <c r="A81" s="6"/>
      <c r="B81" s="6"/>
      <c r="C81" s="6" t="str">
        <f aca="false">IFERROR(VLOOKUP(B81,'Master SME Registry'!$A$3:$F$82,2,0),"")</f>
        <v/>
      </c>
      <c r="D81" s="6" t="str">
        <f aca="false">IFERROR(VLOOKUP(B81,'Master SME Registry'!$A$3:$F$82,3,0),"")</f>
        <v/>
      </c>
      <c r="E81" s="6"/>
      <c r="F81" s="6"/>
      <c r="G81" s="25"/>
      <c r="H81" s="25"/>
      <c r="I81" s="6"/>
      <c r="J81" s="6" t="str">
        <f aca="false">IF(OR(G81="",H81=""),"",H81-G81)</f>
        <v/>
      </c>
      <c r="K81" s="24"/>
      <c r="L81" s="25"/>
    </row>
    <row r="82" customFormat="false" ht="15" hidden="false" customHeight="true" outlineLevel="0" collapsed="false">
      <c r="A82" s="6"/>
      <c r="B82" s="6"/>
      <c r="C82" s="6" t="str">
        <f aca="false">IFERROR(VLOOKUP(B82,'Master SME Registry'!$A$3:$F$82,2,0),"")</f>
        <v/>
      </c>
      <c r="D82" s="6" t="str">
        <f aca="false">IFERROR(VLOOKUP(B82,'Master SME Registry'!$A$3:$F$82,3,0),"")</f>
        <v/>
      </c>
      <c r="E82" s="6"/>
      <c r="F82" s="6"/>
      <c r="G82" s="25"/>
      <c r="H82" s="25"/>
      <c r="I82" s="6"/>
      <c r="J82" s="6" t="str">
        <f aca="false">IF(OR(G82="",H82=""),"",H82-G82)</f>
        <v/>
      </c>
      <c r="K82" s="24"/>
      <c r="L82" s="25"/>
    </row>
    <row r="83" customFormat="false" ht="15" hidden="false" customHeight="true" outlineLevel="0" collapsed="false">
      <c r="A83" s="6"/>
      <c r="B83" s="6"/>
      <c r="C83" s="6" t="str">
        <f aca="false">IFERROR(VLOOKUP(B83,'Master SME Registry'!$A$3:$F$82,2,0),"")</f>
        <v/>
      </c>
      <c r="D83" s="6" t="str">
        <f aca="false">IFERROR(VLOOKUP(B83,'Master SME Registry'!$A$3:$F$82,3,0),"")</f>
        <v/>
      </c>
      <c r="E83" s="6"/>
      <c r="F83" s="6"/>
      <c r="G83" s="25"/>
      <c r="H83" s="25"/>
      <c r="I83" s="6"/>
      <c r="J83" s="6" t="str">
        <f aca="false">IF(OR(G83="",H83=""),"",H83-G83)</f>
        <v/>
      </c>
      <c r="K83" s="24"/>
      <c r="L83" s="25"/>
    </row>
    <row r="84" customFormat="false" ht="15" hidden="false" customHeight="true" outlineLevel="0" collapsed="false">
      <c r="A84" s="6"/>
      <c r="B84" s="6"/>
      <c r="C84" s="6" t="str">
        <f aca="false">IFERROR(VLOOKUP(B84,'Master SME Registry'!$A$3:$F$82,2,0),"")</f>
        <v/>
      </c>
      <c r="D84" s="6" t="str">
        <f aca="false">IFERROR(VLOOKUP(B84,'Master SME Registry'!$A$3:$F$82,3,0),"")</f>
        <v/>
      </c>
      <c r="E84" s="6"/>
      <c r="F84" s="6"/>
      <c r="G84" s="25"/>
      <c r="H84" s="25"/>
      <c r="I84" s="6"/>
      <c r="J84" s="6" t="str">
        <f aca="false">IF(OR(G84="",H84=""),"",H84-G84)</f>
        <v/>
      </c>
      <c r="K84" s="24"/>
      <c r="L84" s="25"/>
    </row>
    <row r="85" customFormat="false" ht="15" hidden="false" customHeight="true" outlineLevel="0" collapsed="false">
      <c r="A85" s="6"/>
      <c r="B85" s="6"/>
      <c r="C85" s="6" t="str">
        <f aca="false">IFERROR(VLOOKUP(B85,'Master SME Registry'!$A$3:$F$82,2,0),"")</f>
        <v/>
      </c>
      <c r="D85" s="6" t="str">
        <f aca="false">IFERROR(VLOOKUP(B85,'Master SME Registry'!$A$3:$F$82,3,0),"")</f>
        <v/>
      </c>
      <c r="E85" s="6"/>
      <c r="F85" s="6"/>
      <c r="G85" s="25"/>
      <c r="H85" s="25"/>
      <c r="I85" s="6"/>
      <c r="J85" s="6" t="str">
        <f aca="false">IF(OR(G85="",H85=""),"",H85-G85)</f>
        <v/>
      </c>
      <c r="K85" s="24"/>
      <c r="L85" s="25"/>
    </row>
    <row r="86" customFormat="false" ht="15" hidden="false" customHeight="true" outlineLevel="0" collapsed="false">
      <c r="A86" s="6"/>
      <c r="B86" s="6"/>
      <c r="C86" s="6" t="str">
        <f aca="false">IFERROR(VLOOKUP(B86,'Master SME Registry'!$A$3:$F$82,2,0),"")</f>
        <v/>
      </c>
      <c r="D86" s="6" t="str">
        <f aca="false">IFERROR(VLOOKUP(B86,'Master SME Registry'!$A$3:$F$82,3,0),"")</f>
        <v/>
      </c>
      <c r="E86" s="6"/>
      <c r="F86" s="6"/>
      <c r="G86" s="25"/>
      <c r="H86" s="25"/>
      <c r="I86" s="6"/>
      <c r="J86" s="6" t="str">
        <f aca="false">IF(OR(G86="",H86=""),"",H86-G86)</f>
        <v/>
      </c>
      <c r="K86" s="24"/>
      <c r="L86" s="25"/>
    </row>
    <row r="87" customFormat="false" ht="15" hidden="false" customHeight="true" outlineLevel="0" collapsed="false">
      <c r="A87" s="6"/>
      <c r="B87" s="6"/>
      <c r="C87" s="6" t="str">
        <f aca="false">IFERROR(VLOOKUP(B87,'Master SME Registry'!$A$3:$F$82,2,0),"")</f>
        <v/>
      </c>
      <c r="D87" s="6" t="str">
        <f aca="false">IFERROR(VLOOKUP(B87,'Master SME Registry'!$A$3:$F$82,3,0),"")</f>
        <v/>
      </c>
      <c r="E87" s="6"/>
      <c r="F87" s="6"/>
      <c r="G87" s="25"/>
      <c r="H87" s="25"/>
      <c r="I87" s="6"/>
      <c r="J87" s="6" t="str">
        <f aca="false">IF(OR(G87="",H87=""),"",H87-G87)</f>
        <v/>
      </c>
      <c r="K87" s="24"/>
      <c r="L87" s="25"/>
    </row>
    <row r="88" customFormat="false" ht="15" hidden="false" customHeight="true" outlineLevel="0" collapsed="false">
      <c r="A88" s="6"/>
      <c r="B88" s="6"/>
      <c r="C88" s="6" t="str">
        <f aca="false">IFERROR(VLOOKUP(B88,'Master SME Registry'!$A$3:$F$82,2,0),"")</f>
        <v/>
      </c>
      <c r="D88" s="6" t="str">
        <f aca="false">IFERROR(VLOOKUP(B88,'Master SME Registry'!$A$3:$F$82,3,0),"")</f>
        <v/>
      </c>
      <c r="E88" s="6"/>
      <c r="F88" s="6"/>
      <c r="G88" s="25"/>
      <c r="H88" s="25"/>
      <c r="I88" s="6"/>
      <c r="J88" s="6" t="str">
        <f aca="false">IF(OR(G88="",H88=""),"",H88-G88)</f>
        <v/>
      </c>
      <c r="K88" s="24"/>
      <c r="L88" s="25"/>
    </row>
    <row r="89" customFormat="false" ht="15" hidden="false" customHeight="true" outlineLevel="0" collapsed="false">
      <c r="A89" s="6"/>
      <c r="B89" s="6"/>
      <c r="C89" s="6" t="str">
        <f aca="false">IFERROR(VLOOKUP(B89,'Master SME Registry'!$A$3:$F$82,2,0),"")</f>
        <v/>
      </c>
      <c r="D89" s="6" t="str">
        <f aca="false">IFERROR(VLOOKUP(B89,'Master SME Registry'!$A$3:$F$82,3,0),"")</f>
        <v/>
      </c>
      <c r="E89" s="6"/>
      <c r="F89" s="6"/>
      <c r="G89" s="25"/>
      <c r="H89" s="25"/>
      <c r="I89" s="6"/>
      <c r="J89" s="6" t="str">
        <f aca="false">IF(OR(G89="",H89=""),"",H89-G89)</f>
        <v/>
      </c>
      <c r="K89" s="24"/>
      <c r="L89" s="25"/>
    </row>
    <row r="90" customFormat="false" ht="15" hidden="false" customHeight="true" outlineLevel="0" collapsed="false">
      <c r="A90" s="6"/>
      <c r="B90" s="6"/>
      <c r="C90" s="6" t="str">
        <f aca="false">IFERROR(VLOOKUP(B90,'Master SME Registry'!$A$3:$F$82,2,0),"")</f>
        <v/>
      </c>
      <c r="D90" s="6" t="str">
        <f aca="false">IFERROR(VLOOKUP(B90,'Master SME Registry'!$A$3:$F$82,3,0),"")</f>
        <v/>
      </c>
      <c r="E90" s="6"/>
      <c r="F90" s="6"/>
      <c r="G90" s="25"/>
      <c r="H90" s="25"/>
      <c r="I90" s="6"/>
      <c r="J90" s="6" t="str">
        <f aca="false">IF(OR(G90="",H90=""),"",H90-G90)</f>
        <v/>
      </c>
      <c r="K90" s="24"/>
      <c r="L90" s="25"/>
    </row>
    <row r="91" customFormat="false" ht="15" hidden="false" customHeight="true" outlineLevel="0" collapsed="false">
      <c r="A91" s="6"/>
      <c r="B91" s="6"/>
      <c r="C91" s="6" t="str">
        <f aca="false">IFERROR(VLOOKUP(B91,'Master SME Registry'!$A$3:$F$82,2,0),"")</f>
        <v/>
      </c>
      <c r="D91" s="6" t="str">
        <f aca="false">IFERROR(VLOOKUP(B91,'Master SME Registry'!$A$3:$F$82,3,0),"")</f>
        <v/>
      </c>
      <c r="E91" s="6"/>
      <c r="F91" s="6"/>
      <c r="G91" s="25"/>
      <c r="H91" s="25"/>
      <c r="I91" s="6"/>
      <c r="J91" s="6" t="str">
        <f aca="false">IF(OR(G91="",H91=""),"",H91-G91)</f>
        <v/>
      </c>
      <c r="K91" s="24"/>
      <c r="L91" s="25"/>
    </row>
    <row r="92" customFormat="false" ht="15" hidden="false" customHeight="true" outlineLevel="0" collapsed="false">
      <c r="A92" s="6"/>
      <c r="B92" s="6"/>
      <c r="C92" s="6" t="str">
        <f aca="false">IFERROR(VLOOKUP(B92,'Master SME Registry'!$A$3:$F$82,2,0),"")</f>
        <v/>
      </c>
      <c r="D92" s="6" t="str">
        <f aca="false">IFERROR(VLOOKUP(B92,'Master SME Registry'!$A$3:$F$82,3,0),"")</f>
        <v/>
      </c>
      <c r="E92" s="6"/>
      <c r="F92" s="6"/>
      <c r="G92" s="25"/>
      <c r="H92" s="25"/>
      <c r="I92" s="6"/>
      <c r="J92" s="6" t="str">
        <f aca="false">IF(OR(G92="",H92=""),"",H92-G92)</f>
        <v/>
      </c>
      <c r="K92" s="24"/>
      <c r="L92" s="25"/>
    </row>
    <row r="93" customFormat="false" ht="15" hidden="false" customHeight="true" outlineLevel="0" collapsed="false">
      <c r="A93" s="6"/>
      <c r="B93" s="6"/>
      <c r="C93" s="6" t="str">
        <f aca="false">IFERROR(VLOOKUP(B93,'Master SME Registry'!$A$3:$F$82,2,0),"")</f>
        <v/>
      </c>
      <c r="D93" s="6" t="str">
        <f aca="false">IFERROR(VLOOKUP(B93,'Master SME Registry'!$A$3:$F$82,3,0),"")</f>
        <v/>
      </c>
      <c r="E93" s="6"/>
      <c r="F93" s="6"/>
      <c r="G93" s="25"/>
      <c r="H93" s="25"/>
      <c r="I93" s="6"/>
      <c r="J93" s="6" t="str">
        <f aca="false">IF(OR(G93="",H93=""),"",H93-G93)</f>
        <v/>
      </c>
      <c r="K93" s="24"/>
      <c r="L93" s="25"/>
    </row>
    <row r="94" customFormat="false" ht="15" hidden="false" customHeight="true" outlineLevel="0" collapsed="false">
      <c r="A94" s="6"/>
      <c r="B94" s="6"/>
      <c r="C94" s="6" t="str">
        <f aca="false">IFERROR(VLOOKUP(B94,'Master SME Registry'!$A$3:$F$82,2,0),"")</f>
        <v/>
      </c>
      <c r="D94" s="6" t="str">
        <f aca="false">IFERROR(VLOOKUP(B94,'Master SME Registry'!$A$3:$F$82,3,0),"")</f>
        <v/>
      </c>
      <c r="E94" s="6"/>
      <c r="F94" s="6"/>
      <c r="G94" s="25"/>
      <c r="H94" s="25"/>
      <c r="I94" s="6"/>
      <c r="J94" s="6" t="str">
        <f aca="false">IF(OR(G94="",H94=""),"",H94-G94)</f>
        <v/>
      </c>
      <c r="K94" s="24"/>
      <c r="L94" s="25"/>
    </row>
    <row r="95" customFormat="false" ht="15" hidden="false" customHeight="true" outlineLevel="0" collapsed="false">
      <c r="A95" s="6"/>
      <c r="B95" s="6"/>
      <c r="C95" s="6" t="str">
        <f aca="false">IFERROR(VLOOKUP(B95,'Master SME Registry'!$A$3:$F$82,2,0),"")</f>
        <v/>
      </c>
      <c r="D95" s="6" t="str">
        <f aca="false">IFERROR(VLOOKUP(B95,'Master SME Registry'!$A$3:$F$82,3,0),"")</f>
        <v/>
      </c>
      <c r="E95" s="6"/>
      <c r="F95" s="6"/>
      <c r="G95" s="25"/>
      <c r="H95" s="25"/>
      <c r="I95" s="6"/>
      <c r="J95" s="6" t="str">
        <f aca="false">IF(OR(G95="",H95=""),"",H95-G95)</f>
        <v/>
      </c>
      <c r="K95" s="24"/>
      <c r="L95" s="25"/>
    </row>
    <row r="96" customFormat="false" ht="15" hidden="false" customHeight="true" outlineLevel="0" collapsed="false">
      <c r="A96" s="6"/>
      <c r="B96" s="6"/>
      <c r="C96" s="6" t="str">
        <f aca="false">IFERROR(VLOOKUP(B96,'Master SME Registry'!$A$3:$F$82,2,0),"")</f>
        <v/>
      </c>
      <c r="D96" s="6" t="str">
        <f aca="false">IFERROR(VLOOKUP(B96,'Master SME Registry'!$A$3:$F$82,3,0),"")</f>
        <v/>
      </c>
      <c r="E96" s="6"/>
      <c r="F96" s="6"/>
      <c r="G96" s="25"/>
      <c r="H96" s="25"/>
      <c r="I96" s="6"/>
      <c r="J96" s="6" t="str">
        <f aca="false">IF(OR(G96="",H96=""),"",H96-G96)</f>
        <v/>
      </c>
      <c r="K96" s="24"/>
      <c r="L96" s="25"/>
    </row>
    <row r="97" customFormat="false" ht="15" hidden="false" customHeight="true" outlineLevel="0" collapsed="false">
      <c r="A97" s="6"/>
      <c r="B97" s="6"/>
      <c r="C97" s="6" t="str">
        <f aca="false">IFERROR(VLOOKUP(B97,'Master SME Registry'!$A$3:$F$82,2,0),"")</f>
        <v/>
      </c>
      <c r="D97" s="6" t="str">
        <f aca="false">IFERROR(VLOOKUP(B97,'Master SME Registry'!$A$3:$F$82,3,0),"")</f>
        <v/>
      </c>
      <c r="E97" s="6"/>
      <c r="F97" s="6"/>
      <c r="G97" s="25"/>
      <c r="H97" s="25"/>
      <c r="I97" s="6"/>
      <c r="J97" s="6" t="str">
        <f aca="false">IF(OR(G97="",H97=""),"",H97-G97)</f>
        <v/>
      </c>
      <c r="K97" s="24"/>
      <c r="L97" s="25"/>
    </row>
    <row r="98" customFormat="false" ht="15" hidden="false" customHeight="true" outlineLevel="0" collapsed="false">
      <c r="A98" s="6"/>
      <c r="B98" s="6"/>
      <c r="C98" s="6" t="str">
        <f aca="false">IFERROR(VLOOKUP(B98,'Master SME Registry'!$A$3:$F$82,2,0),"")</f>
        <v/>
      </c>
      <c r="D98" s="6" t="str">
        <f aca="false">IFERROR(VLOOKUP(B98,'Master SME Registry'!$A$3:$F$82,3,0),"")</f>
        <v/>
      </c>
      <c r="E98" s="6"/>
      <c r="F98" s="6"/>
      <c r="G98" s="25"/>
      <c r="H98" s="25"/>
      <c r="I98" s="6"/>
      <c r="J98" s="6" t="str">
        <f aca="false">IF(OR(G98="",H98=""),"",H98-G98)</f>
        <v/>
      </c>
      <c r="K98" s="24"/>
      <c r="L98" s="25"/>
    </row>
    <row r="99" customFormat="false" ht="15" hidden="false" customHeight="true" outlineLevel="0" collapsed="false">
      <c r="A99" s="6"/>
      <c r="B99" s="6"/>
      <c r="C99" s="6" t="str">
        <f aca="false">IFERROR(VLOOKUP(B99,'Master SME Registry'!$A$3:$F$82,2,0),"")</f>
        <v/>
      </c>
      <c r="D99" s="6" t="str">
        <f aca="false">IFERROR(VLOOKUP(B99,'Master SME Registry'!$A$3:$F$82,3,0),"")</f>
        <v/>
      </c>
      <c r="E99" s="6"/>
      <c r="F99" s="6"/>
      <c r="G99" s="25"/>
      <c r="H99" s="25"/>
      <c r="I99" s="6"/>
      <c r="J99" s="6" t="str">
        <f aca="false">IF(OR(G99="",H99=""),"",H99-G99)</f>
        <v/>
      </c>
      <c r="K99" s="24"/>
      <c r="L99" s="25"/>
    </row>
    <row r="100" customFormat="false" ht="15" hidden="false" customHeight="true" outlineLevel="0" collapsed="false">
      <c r="A100" s="6"/>
      <c r="B100" s="6"/>
      <c r="C100" s="6" t="str">
        <f aca="false">IFERROR(VLOOKUP(B100,'Master SME Registry'!$A$3:$F$82,2,0),"")</f>
        <v/>
      </c>
      <c r="D100" s="6" t="str">
        <f aca="false">IFERROR(VLOOKUP(B100,'Master SME Registry'!$A$3:$F$82,3,0),"")</f>
        <v/>
      </c>
      <c r="E100" s="6"/>
      <c r="F100" s="6"/>
      <c r="G100" s="25"/>
      <c r="H100" s="25"/>
      <c r="I100" s="6"/>
      <c r="J100" s="6" t="str">
        <f aca="false">IF(OR(G100="",H100=""),"",H100-G100)</f>
        <v/>
      </c>
      <c r="K100" s="24"/>
      <c r="L100" s="25"/>
    </row>
    <row r="101" customFormat="false" ht="15" hidden="false" customHeight="true" outlineLevel="0" collapsed="false">
      <c r="A101" s="6"/>
      <c r="B101" s="6"/>
      <c r="C101" s="6" t="str">
        <f aca="false">IFERROR(VLOOKUP(B101,'Master SME Registry'!$A$3:$F$82,2,0),"")</f>
        <v/>
      </c>
      <c r="D101" s="6" t="str">
        <f aca="false">IFERROR(VLOOKUP(B101,'Master SME Registry'!$A$3:$F$82,3,0),"")</f>
        <v/>
      </c>
      <c r="E101" s="6"/>
      <c r="F101" s="6"/>
      <c r="G101" s="25"/>
      <c r="H101" s="25"/>
      <c r="I101" s="6"/>
      <c r="J101" s="6" t="str">
        <f aca="false">IF(OR(G101="",H101=""),"",H101-G101)</f>
        <v/>
      </c>
      <c r="K101" s="24"/>
      <c r="L101" s="25"/>
    </row>
    <row r="102" customFormat="false" ht="15" hidden="false" customHeight="true" outlineLevel="0" collapsed="false">
      <c r="A102" s="6"/>
      <c r="B102" s="6"/>
      <c r="C102" s="6" t="str">
        <f aca="false">IFERROR(VLOOKUP(B102,'Master SME Registry'!$A$3:$F$82,2,0),"")</f>
        <v/>
      </c>
      <c r="D102" s="6" t="str">
        <f aca="false">IFERROR(VLOOKUP(B102,'Master SME Registry'!$A$3:$F$82,3,0),"")</f>
        <v/>
      </c>
      <c r="E102" s="6"/>
      <c r="F102" s="6"/>
      <c r="G102" s="25"/>
      <c r="H102" s="25"/>
      <c r="I102" s="6"/>
      <c r="J102" s="6" t="str">
        <f aca="false">IF(OR(G102="",H102=""),"",H102-G102)</f>
        <v/>
      </c>
      <c r="K102" s="24"/>
      <c r="L102" s="25"/>
    </row>
    <row r="103" customFormat="false" ht="15" hidden="false" customHeight="true" outlineLevel="0" collapsed="false">
      <c r="A103" s="6"/>
      <c r="B103" s="6"/>
      <c r="C103" s="6" t="str">
        <f aca="false">IFERROR(VLOOKUP(B103,'Master SME Registry'!$A$3:$F$82,2,0),"")</f>
        <v/>
      </c>
      <c r="D103" s="6" t="str">
        <f aca="false">IFERROR(VLOOKUP(B103,'Master SME Registry'!$A$3:$F$82,3,0),"")</f>
        <v/>
      </c>
      <c r="E103" s="6"/>
      <c r="F103" s="6"/>
      <c r="G103" s="25"/>
      <c r="H103" s="25"/>
      <c r="I103" s="6"/>
      <c r="J103" s="6" t="str">
        <f aca="false">IF(OR(G103="",H103=""),"",H103-G103)</f>
        <v/>
      </c>
      <c r="K103" s="24"/>
      <c r="L103" s="25"/>
    </row>
    <row r="104" customFormat="false" ht="15" hidden="false" customHeight="true" outlineLevel="0" collapsed="false">
      <c r="A104" s="6"/>
      <c r="B104" s="6"/>
      <c r="C104" s="6" t="str">
        <f aca="false">IFERROR(VLOOKUP(B104,'Master SME Registry'!$A$3:$F$82,2,0),"")</f>
        <v/>
      </c>
      <c r="D104" s="6" t="str">
        <f aca="false">IFERROR(VLOOKUP(B104,'Master SME Registry'!$A$3:$F$82,3,0),"")</f>
        <v/>
      </c>
      <c r="E104" s="6"/>
      <c r="F104" s="6"/>
      <c r="G104" s="25"/>
      <c r="H104" s="25"/>
      <c r="I104" s="6"/>
      <c r="J104" s="6" t="str">
        <f aca="false">IF(OR(G104="",H104=""),"",H104-G104)</f>
        <v/>
      </c>
      <c r="K104" s="24"/>
      <c r="L104" s="25"/>
    </row>
    <row r="105" customFormat="false" ht="15" hidden="false" customHeight="true" outlineLevel="0" collapsed="false">
      <c r="A105" s="6"/>
      <c r="B105" s="6"/>
      <c r="C105" s="6" t="str">
        <f aca="false">IFERROR(VLOOKUP(B105,'Master SME Registry'!$A$3:$F$82,2,0),"")</f>
        <v/>
      </c>
      <c r="D105" s="6" t="str">
        <f aca="false">IFERROR(VLOOKUP(B105,'Master SME Registry'!$A$3:$F$82,3,0),"")</f>
        <v/>
      </c>
      <c r="E105" s="6"/>
      <c r="F105" s="6"/>
      <c r="G105" s="25"/>
      <c r="H105" s="25"/>
      <c r="I105" s="6"/>
      <c r="J105" s="6" t="str">
        <f aca="false">IF(OR(G105="",H105=""),"",H105-G105)</f>
        <v/>
      </c>
      <c r="K105" s="24"/>
      <c r="L105" s="25"/>
    </row>
    <row r="106" customFormat="false" ht="15" hidden="false" customHeight="true" outlineLevel="0" collapsed="false">
      <c r="A106" s="6"/>
      <c r="B106" s="6"/>
      <c r="C106" s="6" t="str">
        <f aca="false">IFERROR(VLOOKUP(B106,'Master SME Registry'!$A$3:$F$82,2,0),"")</f>
        <v/>
      </c>
      <c r="D106" s="6" t="str">
        <f aca="false">IFERROR(VLOOKUP(B106,'Master SME Registry'!$A$3:$F$82,3,0),"")</f>
        <v/>
      </c>
      <c r="E106" s="6"/>
      <c r="F106" s="6"/>
      <c r="G106" s="25"/>
      <c r="H106" s="25"/>
      <c r="I106" s="6"/>
      <c r="J106" s="6" t="str">
        <f aca="false">IF(OR(G106="",H106=""),"",H106-G106)</f>
        <v/>
      </c>
      <c r="K106" s="24"/>
      <c r="L106" s="25"/>
    </row>
    <row r="107" customFormat="false" ht="15" hidden="false" customHeight="true" outlineLevel="0" collapsed="false">
      <c r="A107" s="6"/>
      <c r="B107" s="6"/>
      <c r="C107" s="6" t="str">
        <f aca="false">IFERROR(VLOOKUP(B107,'Master SME Registry'!$A$3:$F$82,2,0),"")</f>
        <v/>
      </c>
      <c r="D107" s="6" t="str">
        <f aca="false">IFERROR(VLOOKUP(B107,'Master SME Registry'!$A$3:$F$82,3,0),"")</f>
        <v/>
      </c>
      <c r="E107" s="6"/>
      <c r="F107" s="6"/>
      <c r="G107" s="25"/>
      <c r="H107" s="25"/>
      <c r="I107" s="6"/>
      <c r="J107" s="6" t="str">
        <f aca="false">IF(OR(G107="",H107=""),"",H107-G107)</f>
        <v/>
      </c>
      <c r="K107" s="24"/>
      <c r="L107" s="25"/>
    </row>
    <row r="108" customFormat="false" ht="15" hidden="false" customHeight="true" outlineLevel="0" collapsed="false">
      <c r="A108" s="6"/>
      <c r="B108" s="6"/>
      <c r="C108" s="6" t="str">
        <f aca="false">IFERROR(VLOOKUP(B108,'Master SME Registry'!$A$3:$F$82,2,0),"")</f>
        <v/>
      </c>
      <c r="D108" s="6" t="str">
        <f aca="false">IFERROR(VLOOKUP(B108,'Master SME Registry'!$A$3:$F$82,3,0),"")</f>
        <v/>
      </c>
      <c r="E108" s="6"/>
      <c r="F108" s="6"/>
      <c r="G108" s="25"/>
      <c r="H108" s="25"/>
      <c r="I108" s="6"/>
      <c r="J108" s="6" t="str">
        <f aca="false">IF(OR(G108="",H108=""),"",H108-G108)</f>
        <v/>
      </c>
      <c r="K108" s="24"/>
      <c r="L108" s="25"/>
    </row>
    <row r="109" customFormat="false" ht="15" hidden="false" customHeight="true" outlineLevel="0" collapsed="false">
      <c r="A109" s="6"/>
      <c r="B109" s="6"/>
      <c r="C109" s="6" t="str">
        <f aca="false">IFERROR(VLOOKUP(B109,'Master SME Registry'!$A$3:$F$82,2,0),"")</f>
        <v/>
      </c>
      <c r="D109" s="6" t="str">
        <f aca="false">IFERROR(VLOOKUP(B109,'Master SME Registry'!$A$3:$F$82,3,0),"")</f>
        <v/>
      </c>
      <c r="E109" s="6"/>
      <c r="F109" s="6"/>
      <c r="G109" s="25"/>
      <c r="H109" s="25"/>
      <c r="I109" s="6"/>
      <c r="J109" s="6" t="str">
        <f aca="false">IF(OR(G109="",H109=""),"",H109-G109)</f>
        <v/>
      </c>
      <c r="K109" s="24"/>
      <c r="L109" s="25"/>
    </row>
    <row r="110" customFormat="false" ht="15" hidden="false" customHeight="true" outlineLevel="0" collapsed="false">
      <c r="A110" s="6"/>
      <c r="B110" s="6"/>
      <c r="C110" s="6" t="str">
        <f aca="false">IFERROR(VLOOKUP(B110,'Master SME Registry'!$A$3:$F$82,2,0),"")</f>
        <v/>
      </c>
      <c r="D110" s="6" t="str">
        <f aca="false">IFERROR(VLOOKUP(B110,'Master SME Registry'!$A$3:$F$82,3,0),"")</f>
        <v/>
      </c>
      <c r="E110" s="6"/>
      <c r="F110" s="6"/>
      <c r="G110" s="25"/>
      <c r="H110" s="25"/>
      <c r="I110" s="6"/>
      <c r="J110" s="6" t="str">
        <f aca="false">IF(OR(G110="",H110=""),"",H110-G110)</f>
        <v/>
      </c>
      <c r="K110" s="24"/>
      <c r="L110" s="25"/>
    </row>
    <row r="111" customFormat="false" ht="15" hidden="false" customHeight="true" outlineLevel="0" collapsed="false">
      <c r="A111" s="6"/>
      <c r="B111" s="6"/>
      <c r="C111" s="6" t="str">
        <f aca="false">IFERROR(VLOOKUP(B111,'Master SME Registry'!$A$3:$F$82,2,0),"")</f>
        <v/>
      </c>
      <c r="D111" s="6" t="str">
        <f aca="false">IFERROR(VLOOKUP(B111,'Master SME Registry'!$A$3:$F$82,3,0),"")</f>
        <v/>
      </c>
      <c r="E111" s="6"/>
      <c r="F111" s="6"/>
      <c r="G111" s="25"/>
      <c r="H111" s="25"/>
      <c r="I111" s="6"/>
      <c r="J111" s="6" t="str">
        <f aca="false">IF(OR(G111="",H111=""),"",H111-G111)</f>
        <v/>
      </c>
      <c r="K111" s="24"/>
      <c r="L111" s="25"/>
    </row>
    <row r="112" customFormat="false" ht="15" hidden="false" customHeight="true" outlineLevel="0" collapsed="false">
      <c r="A112" s="6"/>
      <c r="B112" s="6"/>
      <c r="C112" s="6" t="str">
        <f aca="false">IFERROR(VLOOKUP(B112,'Master SME Registry'!$A$3:$F$82,2,0),"")</f>
        <v/>
      </c>
      <c r="D112" s="6" t="str">
        <f aca="false">IFERROR(VLOOKUP(B112,'Master SME Registry'!$A$3:$F$82,3,0),"")</f>
        <v/>
      </c>
      <c r="E112" s="6"/>
      <c r="F112" s="6"/>
      <c r="G112" s="25"/>
      <c r="H112" s="25"/>
      <c r="I112" s="6"/>
      <c r="J112" s="6" t="str">
        <f aca="false">IF(OR(G112="",H112=""),"",H112-G112)</f>
        <v/>
      </c>
      <c r="K112" s="24"/>
      <c r="L112" s="25"/>
    </row>
    <row r="113" customFormat="false" ht="15" hidden="false" customHeight="true" outlineLevel="0" collapsed="false">
      <c r="A113" s="6"/>
      <c r="B113" s="6"/>
      <c r="C113" s="6" t="str">
        <f aca="false">IFERROR(VLOOKUP(B113,'Master SME Registry'!$A$3:$F$82,2,0),"")</f>
        <v/>
      </c>
      <c r="D113" s="6" t="str">
        <f aca="false">IFERROR(VLOOKUP(B113,'Master SME Registry'!$A$3:$F$82,3,0),"")</f>
        <v/>
      </c>
      <c r="E113" s="6"/>
      <c r="F113" s="6"/>
      <c r="G113" s="25"/>
      <c r="H113" s="25"/>
      <c r="I113" s="6"/>
      <c r="J113" s="6" t="str">
        <f aca="false">IF(OR(G113="",H113=""),"",H113-G113)</f>
        <v/>
      </c>
      <c r="K113" s="24"/>
      <c r="L113" s="25"/>
    </row>
    <row r="114" customFormat="false" ht="15" hidden="false" customHeight="true" outlineLevel="0" collapsed="false">
      <c r="A114" s="6"/>
      <c r="B114" s="6"/>
      <c r="C114" s="6" t="str">
        <f aca="false">IFERROR(VLOOKUP(B114,'Master SME Registry'!$A$3:$F$82,2,0),"")</f>
        <v/>
      </c>
      <c r="D114" s="6" t="str">
        <f aca="false">IFERROR(VLOOKUP(B114,'Master SME Registry'!$A$3:$F$82,3,0),"")</f>
        <v/>
      </c>
      <c r="E114" s="6"/>
      <c r="F114" s="6"/>
      <c r="G114" s="25"/>
      <c r="H114" s="25"/>
      <c r="I114" s="6"/>
      <c r="J114" s="6" t="str">
        <f aca="false">IF(OR(G114="",H114=""),"",H114-G114)</f>
        <v/>
      </c>
      <c r="K114" s="24"/>
      <c r="L114" s="25"/>
    </row>
    <row r="115" customFormat="false" ht="15" hidden="false" customHeight="true" outlineLevel="0" collapsed="false">
      <c r="A115" s="6"/>
      <c r="B115" s="6"/>
      <c r="C115" s="6" t="str">
        <f aca="false">IFERROR(VLOOKUP(B115,'Master SME Registry'!$A$3:$F$82,2,0),"")</f>
        <v/>
      </c>
      <c r="D115" s="6" t="str">
        <f aca="false">IFERROR(VLOOKUP(B115,'Master SME Registry'!$A$3:$F$82,3,0),"")</f>
        <v/>
      </c>
      <c r="E115" s="6"/>
      <c r="F115" s="6"/>
      <c r="G115" s="25"/>
      <c r="H115" s="25"/>
      <c r="I115" s="6"/>
      <c r="J115" s="6" t="str">
        <f aca="false">IF(OR(G115="",H115=""),"",H115-G115)</f>
        <v/>
      </c>
      <c r="K115" s="24"/>
      <c r="L115" s="25"/>
    </row>
    <row r="116" customFormat="false" ht="15" hidden="false" customHeight="true" outlineLevel="0" collapsed="false">
      <c r="A116" s="6"/>
      <c r="B116" s="6"/>
      <c r="C116" s="6" t="str">
        <f aca="false">IFERROR(VLOOKUP(B116,'Master SME Registry'!$A$3:$F$82,2,0),"")</f>
        <v/>
      </c>
      <c r="D116" s="6" t="str">
        <f aca="false">IFERROR(VLOOKUP(B116,'Master SME Registry'!$A$3:$F$82,3,0),"")</f>
        <v/>
      </c>
      <c r="E116" s="6"/>
      <c r="F116" s="6"/>
      <c r="G116" s="25"/>
      <c r="H116" s="25"/>
      <c r="I116" s="6"/>
      <c r="J116" s="6" t="str">
        <f aca="false">IF(OR(G116="",H116=""),"",H116-G116)</f>
        <v/>
      </c>
      <c r="K116" s="24"/>
      <c r="L116" s="25"/>
    </row>
    <row r="117" customFormat="false" ht="15" hidden="false" customHeight="true" outlineLevel="0" collapsed="false">
      <c r="A117" s="6"/>
      <c r="B117" s="6"/>
      <c r="C117" s="6" t="str">
        <f aca="false">IFERROR(VLOOKUP(B117,'Master SME Registry'!$A$3:$F$82,2,0),"")</f>
        <v/>
      </c>
      <c r="D117" s="6" t="str">
        <f aca="false">IFERROR(VLOOKUP(B117,'Master SME Registry'!$A$3:$F$82,3,0),"")</f>
        <v/>
      </c>
      <c r="E117" s="6"/>
      <c r="F117" s="6"/>
      <c r="G117" s="25"/>
      <c r="H117" s="25"/>
      <c r="I117" s="6"/>
      <c r="J117" s="6" t="str">
        <f aca="false">IF(OR(G117="",H117=""),"",H117-G117)</f>
        <v/>
      </c>
      <c r="K117" s="24"/>
      <c r="L117" s="25"/>
    </row>
    <row r="118" customFormat="false" ht="15" hidden="false" customHeight="true" outlineLevel="0" collapsed="false">
      <c r="A118" s="6"/>
      <c r="B118" s="6"/>
      <c r="C118" s="6" t="str">
        <f aca="false">IFERROR(VLOOKUP(B118,'Master SME Registry'!$A$3:$F$82,2,0),"")</f>
        <v/>
      </c>
      <c r="D118" s="6" t="str">
        <f aca="false">IFERROR(VLOOKUP(B118,'Master SME Registry'!$A$3:$F$82,3,0),"")</f>
        <v/>
      </c>
      <c r="E118" s="6"/>
      <c r="F118" s="6"/>
      <c r="G118" s="25"/>
      <c r="H118" s="25"/>
      <c r="I118" s="6"/>
      <c r="J118" s="6" t="str">
        <f aca="false">IF(OR(G118="",H118=""),"",H118-G118)</f>
        <v/>
      </c>
      <c r="K118" s="24"/>
      <c r="L118" s="25"/>
    </row>
    <row r="119" customFormat="false" ht="15" hidden="false" customHeight="true" outlineLevel="0" collapsed="false">
      <c r="A119" s="6"/>
      <c r="B119" s="6"/>
      <c r="C119" s="6" t="str">
        <f aca="false">IFERROR(VLOOKUP(B119,'Master SME Registry'!$A$3:$F$82,2,0),"")</f>
        <v/>
      </c>
      <c r="D119" s="6" t="str">
        <f aca="false">IFERROR(VLOOKUP(B119,'Master SME Registry'!$A$3:$F$82,3,0),"")</f>
        <v/>
      </c>
      <c r="E119" s="6"/>
      <c r="F119" s="6"/>
      <c r="G119" s="25"/>
      <c r="H119" s="25"/>
      <c r="I119" s="6"/>
      <c r="J119" s="6" t="str">
        <f aca="false">IF(OR(G119="",H119=""),"",H119-G119)</f>
        <v/>
      </c>
      <c r="K119" s="24"/>
      <c r="L119" s="25"/>
    </row>
    <row r="120" customFormat="false" ht="15" hidden="false" customHeight="true" outlineLevel="0" collapsed="false">
      <c r="A120" s="6"/>
      <c r="B120" s="6"/>
      <c r="C120" s="6" t="str">
        <f aca="false">IFERROR(VLOOKUP(B120,'Master SME Registry'!$A$3:$F$82,2,0),"")</f>
        <v/>
      </c>
      <c r="D120" s="6" t="str">
        <f aca="false">IFERROR(VLOOKUP(B120,'Master SME Registry'!$A$3:$F$82,3,0),"")</f>
        <v/>
      </c>
      <c r="E120" s="6"/>
      <c r="F120" s="6"/>
      <c r="G120" s="25"/>
      <c r="H120" s="25"/>
      <c r="I120" s="6"/>
      <c r="J120" s="6" t="str">
        <f aca="false">IF(OR(G120="",H120=""),"",H120-G120)</f>
        <v/>
      </c>
      <c r="K120" s="24"/>
      <c r="L120" s="25"/>
    </row>
    <row r="121" customFormat="false" ht="15" hidden="false" customHeight="true" outlineLevel="0" collapsed="false">
      <c r="A121" s="6"/>
      <c r="B121" s="6"/>
      <c r="C121" s="6" t="str">
        <f aca="false">IFERROR(VLOOKUP(B121,'Master SME Registry'!$A$3:$F$82,2,0),"")</f>
        <v/>
      </c>
      <c r="D121" s="6" t="str">
        <f aca="false">IFERROR(VLOOKUP(B121,'Master SME Registry'!$A$3:$F$82,3,0),"")</f>
        <v/>
      </c>
      <c r="E121" s="6"/>
      <c r="F121" s="6"/>
      <c r="G121" s="25"/>
      <c r="H121" s="25"/>
      <c r="I121" s="6"/>
      <c r="J121" s="6" t="str">
        <f aca="false">IF(OR(G121="",H121=""),"",H121-G121)</f>
        <v/>
      </c>
      <c r="K121" s="24"/>
      <c r="L121" s="25"/>
    </row>
    <row r="122" customFormat="false" ht="15" hidden="false" customHeight="true" outlineLevel="0" collapsed="false">
      <c r="A122" s="6"/>
      <c r="B122" s="6"/>
      <c r="C122" s="6" t="str">
        <f aca="false">IFERROR(VLOOKUP(B122,'Master SME Registry'!$A$3:$F$82,2,0),"")</f>
        <v/>
      </c>
      <c r="D122" s="6" t="str">
        <f aca="false">IFERROR(VLOOKUP(B122,'Master SME Registry'!$A$3:$F$82,3,0),"")</f>
        <v/>
      </c>
      <c r="E122" s="6"/>
      <c r="F122" s="6"/>
      <c r="G122" s="25"/>
      <c r="H122" s="25"/>
      <c r="I122" s="6"/>
      <c r="J122" s="6" t="str">
        <f aca="false">IF(OR(G122="",H122=""),"",H122-G122)</f>
        <v/>
      </c>
      <c r="K122" s="24"/>
      <c r="L122" s="25"/>
    </row>
    <row r="123" customFormat="false" ht="15" hidden="false" customHeight="true" outlineLevel="0" collapsed="false">
      <c r="A123" s="6"/>
      <c r="B123" s="6"/>
      <c r="C123" s="6" t="str">
        <f aca="false">IFERROR(VLOOKUP(B123,'Master SME Registry'!$A$3:$F$82,2,0),"")</f>
        <v/>
      </c>
      <c r="D123" s="6" t="str">
        <f aca="false">IFERROR(VLOOKUP(B123,'Master SME Registry'!$A$3:$F$82,3,0),"")</f>
        <v/>
      </c>
      <c r="E123" s="6"/>
      <c r="F123" s="6"/>
      <c r="G123" s="25"/>
      <c r="H123" s="25"/>
      <c r="I123" s="6"/>
      <c r="J123" s="6" t="str">
        <f aca="false">IF(OR(G123="",H123=""),"",H123-G123)</f>
        <v/>
      </c>
      <c r="K123" s="24"/>
      <c r="L123" s="25"/>
    </row>
    <row r="124" customFormat="false" ht="15" hidden="false" customHeight="true" outlineLevel="0" collapsed="false">
      <c r="A124" s="6"/>
      <c r="B124" s="6"/>
      <c r="C124" s="6" t="str">
        <f aca="false">IFERROR(VLOOKUP(B124,'Master SME Registry'!$A$3:$F$82,2,0),"")</f>
        <v/>
      </c>
      <c r="D124" s="6" t="str">
        <f aca="false">IFERROR(VLOOKUP(B124,'Master SME Registry'!$A$3:$F$82,3,0),"")</f>
        <v/>
      </c>
      <c r="E124" s="6"/>
      <c r="F124" s="6"/>
      <c r="G124" s="25"/>
      <c r="H124" s="25"/>
      <c r="I124" s="6"/>
      <c r="J124" s="6" t="str">
        <f aca="false">IF(OR(G124="",H124=""),"",H124-G124)</f>
        <v/>
      </c>
      <c r="K124" s="24"/>
      <c r="L124" s="25"/>
    </row>
    <row r="125" customFormat="false" ht="15" hidden="false" customHeight="true" outlineLevel="0" collapsed="false">
      <c r="A125" s="6"/>
      <c r="B125" s="6"/>
      <c r="C125" s="6" t="str">
        <f aca="false">IFERROR(VLOOKUP(B125,'Master SME Registry'!$A$3:$F$82,2,0),"")</f>
        <v/>
      </c>
      <c r="D125" s="6" t="str">
        <f aca="false">IFERROR(VLOOKUP(B125,'Master SME Registry'!$A$3:$F$82,3,0),"")</f>
        <v/>
      </c>
      <c r="E125" s="6"/>
      <c r="F125" s="6"/>
      <c r="G125" s="25"/>
      <c r="H125" s="25"/>
      <c r="I125" s="6"/>
      <c r="J125" s="6" t="str">
        <f aca="false">IF(OR(G125="",H125=""),"",H125-G125)</f>
        <v/>
      </c>
      <c r="K125" s="24"/>
      <c r="L125" s="25"/>
    </row>
    <row r="126" customFormat="false" ht="15" hidden="false" customHeight="true" outlineLevel="0" collapsed="false">
      <c r="A126" s="6"/>
      <c r="B126" s="6"/>
      <c r="C126" s="6" t="str">
        <f aca="false">IFERROR(VLOOKUP(B126,'Master SME Registry'!$A$3:$F$82,2,0),"")</f>
        <v/>
      </c>
      <c r="D126" s="6" t="str">
        <f aca="false">IFERROR(VLOOKUP(B126,'Master SME Registry'!$A$3:$F$82,3,0),"")</f>
        <v/>
      </c>
      <c r="E126" s="6"/>
      <c r="F126" s="6"/>
      <c r="G126" s="25"/>
      <c r="H126" s="25"/>
      <c r="I126" s="6"/>
      <c r="J126" s="6" t="str">
        <f aca="false">IF(OR(G126="",H126=""),"",H126-G126)</f>
        <v/>
      </c>
      <c r="K126" s="24"/>
      <c r="L126" s="25"/>
    </row>
    <row r="127" customFormat="false" ht="15" hidden="false" customHeight="true" outlineLevel="0" collapsed="false">
      <c r="A127" s="6"/>
      <c r="B127" s="6"/>
      <c r="C127" s="6" t="str">
        <f aca="false">IFERROR(VLOOKUP(B127,'Master SME Registry'!$A$3:$F$82,2,0),"")</f>
        <v/>
      </c>
      <c r="D127" s="6" t="str">
        <f aca="false">IFERROR(VLOOKUP(B127,'Master SME Registry'!$A$3:$F$82,3,0),"")</f>
        <v/>
      </c>
      <c r="E127" s="6"/>
      <c r="F127" s="6"/>
      <c r="G127" s="25"/>
      <c r="H127" s="25"/>
      <c r="I127" s="6"/>
      <c r="J127" s="6" t="str">
        <f aca="false">IF(OR(G127="",H127=""),"",H127-G127)</f>
        <v/>
      </c>
      <c r="K127" s="24"/>
      <c r="L127" s="25"/>
    </row>
    <row r="128" customFormat="false" ht="15" hidden="false" customHeight="true" outlineLevel="0" collapsed="false">
      <c r="A128" s="6"/>
      <c r="B128" s="6"/>
      <c r="C128" s="6" t="str">
        <f aca="false">IFERROR(VLOOKUP(B128,'Master SME Registry'!$A$3:$F$82,2,0),"")</f>
        <v/>
      </c>
      <c r="D128" s="6" t="str">
        <f aca="false">IFERROR(VLOOKUP(B128,'Master SME Registry'!$A$3:$F$82,3,0),"")</f>
        <v/>
      </c>
      <c r="E128" s="6"/>
      <c r="F128" s="6"/>
      <c r="G128" s="25"/>
      <c r="H128" s="25"/>
      <c r="I128" s="6"/>
      <c r="J128" s="6" t="str">
        <f aca="false">IF(OR(G128="",H128=""),"",H128-G128)</f>
        <v/>
      </c>
      <c r="K128" s="24"/>
      <c r="L128" s="25"/>
    </row>
    <row r="129" customFormat="false" ht="15" hidden="false" customHeight="true" outlineLevel="0" collapsed="false">
      <c r="A129" s="6"/>
      <c r="B129" s="6"/>
      <c r="C129" s="6" t="str">
        <f aca="false">IFERROR(VLOOKUP(B129,'Master SME Registry'!$A$3:$F$82,2,0),"")</f>
        <v/>
      </c>
      <c r="D129" s="6" t="str">
        <f aca="false">IFERROR(VLOOKUP(B129,'Master SME Registry'!$A$3:$F$82,3,0),"")</f>
        <v/>
      </c>
      <c r="E129" s="6"/>
      <c r="F129" s="6"/>
      <c r="G129" s="25"/>
      <c r="H129" s="25"/>
      <c r="I129" s="6"/>
      <c r="J129" s="6" t="str">
        <f aca="false">IF(OR(G129="",H129=""),"",H129-G129)</f>
        <v/>
      </c>
      <c r="K129" s="24"/>
      <c r="L129" s="25"/>
    </row>
    <row r="130" customFormat="false" ht="15" hidden="false" customHeight="true" outlineLevel="0" collapsed="false">
      <c r="A130" s="6"/>
      <c r="B130" s="6"/>
      <c r="C130" s="6" t="str">
        <f aca="false">IFERROR(VLOOKUP(B130,'Master SME Registry'!$A$3:$F$82,2,0),"")</f>
        <v/>
      </c>
      <c r="D130" s="6" t="str">
        <f aca="false">IFERROR(VLOOKUP(B130,'Master SME Registry'!$A$3:$F$82,3,0),"")</f>
        <v/>
      </c>
      <c r="E130" s="6"/>
      <c r="F130" s="6"/>
      <c r="G130" s="25"/>
      <c r="H130" s="25"/>
      <c r="I130" s="6"/>
      <c r="J130" s="6" t="str">
        <f aca="false">IF(OR(G130="",H130=""),"",H130-G130)</f>
        <v/>
      </c>
      <c r="K130" s="24"/>
      <c r="L130" s="25"/>
    </row>
    <row r="131" customFormat="false" ht="15" hidden="false" customHeight="true" outlineLevel="0" collapsed="false">
      <c r="A131" s="6"/>
      <c r="B131" s="6"/>
      <c r="C131" s="6" t="str">
        <f aca="false">IFERROR(VLOOKUP(B131,'Master SME Registry'!$A$3:$F$82,2,0),"")</f>
        <v/>
      </c>
      <c r="D131" s="6" t="str">
        <f aca="false">IFERROR(VLOOKUP(B131,'Master SME Registry'!$A$3:$F$82,3,0),"")</f>
        <v/>
      </c>
      <c r="E131" s="6"/>
      <c r="F131" s="6"/>
      <c r="G131" s="25"/>
      <c r="H131" s="25"/>
      <c r="I131" s="6"/>
      <c r="J131" s="6" t="str">
        <f aca="false">IF(OR(G131="",H131=""),"",H131-G131)</f>
        <v/>
      </c>
      <c r="K131" s="24"/>
      <c r="L131" s="25"/>
    </row>
    <row r="132" customFormat="false" ht="15" hidden="false" customHeight="true" outlineLevel="0" collapsed="false">
      <c r="A132" s="6"/>
      <c r="B132" s="6"/>
      <c r="C132" s="6" t="str">
        <f aca="false">IFERROR(VLOOKUP(B132,'Master SME Registry'!$A$3:$F$82,2,0),"")</f>
        <v/>
      </c>
      <c r="D132" s="6" t="str">
        <f aca="false">IFERROR(VLOOKUP(B132,'Master SME Registry'!$A$3:$F$82,3,0),"")</f>
        <v/>
      </c>
      <c r="E132" s="6"/>
      <c r="F132" s="6"/>
      <c r="G132" s="25"/>
      <c r="H132" s="25"/>
      <c r="I132" s="6"/>
      <c r="J132" s="6" t="str">
        <f aca="false">IF(OR(G132="",H132=""),"",H132-G132)</f>
        <v/>
      </c>
      <c r="K132" s="24"/>
      <c r="L132" s="25"/>
    </row>
    <row r="133" customFormat="false" ht="15" hidden="false" customHeight="true" outlineLevel="0" collapsed="false">
      <c r="A133" s="6"/>
      <c r="B133" s="6"/>
      <c r="C133" s="6" t="str">
        <f aca="false">IFERROR(VLOOKUP(B133,'Master SME Registry'!$A$3:$F$82,2,0),"")</f>
        <v/>
      </c>
      <c r="D133" s="6" t="str">
        <f aca="false">IFERROR(VLOOKUP(B133,'Master SME Registry'!$A$3:$F$82,3,0),"")</f>
        <v/>
      </c>
      <c r="E133" s="6"/>
      <c r="F133" s="6"/>
      <c r="G133" s="25"/>
      <c r="H133" s="25"/>
      <c r="I133" s="6"/>
      <c r="J133" s="6" t="str">
        <f aca="false">IF(OR(G133="",H133=""),"",H133-G133)</f>
        <v/>
      </c>
      <c r="K133" s="24"/>
      <c r="L133" s="25"/>
    </row>
    <row r="134" customFormat="false" ht="15" hidden="false" customHeight="true" outlineLevel="0" collapsed="false">
      <c r="A134" s="6"/>
      <c r="B134" s="6"/>
      <c r="C134" s="6" t="str">
        <f aca="false">IFERROR(VLOOKUP(B134,'Master SME Registry'!$A$3:$F$82,2,0),"")</f>
        <v/>
      </c>
      <c r="D134" s="6" t="str">
        <f aca="false">IFERROR(VLOOKUP(B134,'Master SME Registry'!$A$3:$F$82,3,0),"")</f>
        <v/>
      </c>
      <c r="E134" s="6"/>
      <c r="F134" s="6"/>
      <c r="G134" s="25"/>
      <c r="H134" s="25"/>
      <c r="I134" s="6"/>
      <c r="J134" s="6" t="str">
        <f aca="false">IF(OR(G134="",H134=""),"",H134-G134)</f>
        <v/>
      </c>
      <c r="K134" s="24"/>
      <c r="L134" s="25"/>
    </row>
    <row r="135" customFormat="false" ht="15" hidden="false" customHeight="true" outlineLevel="0" collapsed="false">
      <c r="A135" s="6"/>
      <c r="B135" s="6"/>
      <c r="C135" s="6" t="str">
        <f aca="false">IFERROR(VLOOKUP(B135,'Master SME Registry'!$A$3:$F$82,2,0),"")</f>
        <v/>
      </c>
      <c r="D135" s="6" t="str">
        <f aca="false">IFERROR(VLOOKUP(B135,'Master SME Registry'!$A$3:$F$82,3,0),"")</f>
        <v/>
      </c>
      <c r="E135" s="6"/>
      <c r="F135" s="6"/>
      <c r="G135" s="25"/>
      <c r="H135" s="25"/>
      <c r="I135" s="6"/>
      <c r="J135" s="6" t="str">
        <f aca="false">IF(OR(G135="",H135=""),"",H135-G135)</f>
        <v/>
      </c>
      <c r="K135" s="24"/>
      <c r="L135" s="25"/>
    </row>
    <row r="136" customFormat="false" ht="15" hidden="false" customHeight="true" outlineLevel="0" collapsed="false">
      <c r="A136" s="6"/>
      <c r="B136" s="6"/>
      <c r="C136" s="6" t="str">
        <f aca="false">IFERROR(VLOOKUP(B136,'Master SME Registry'!$A$3:$F$82,2,0),"")</f>
        <v/>
      </c>
      <c r="D136" s="6" t="str">
        <f aca="false">IFERROR(VLOOKUP(B136,'Master SME Registry'!$A$3:$F$82,3,0),"")</f>
        <v/>
      </c>
      <c r="E136" s="6"/>
      <c r="F136" s="6"/>
      <c r="G136" s="25"/>
      <c r="H136" s="25"/>
      <c r="I136" s="6"/>
      <c r="J136" s="6" t="str">
        <f aca="false">IF(OR(G136="",H136=""),"",H136-G136)</f>
        <v/>
      </c>
      <c r="K136" s="24"/>
      <c r="L136" s="25"/>
    </row>
    <row r="137" customFormat="false" ht="15" hidden="false" customHeight="true" outlineLevel="0" collapsed="false">
      <c r="A137" s="6"/>
      <c r="B137" s="6"/>
      <c r="C137" s="6" t="str">
        <f aca="false">IFERROR(VLOOKUP(B137,'Master SME Registry'!$A$3:$F$82,2,0),"")</f>
        <v/>
      </c>
      <c r="D137" s="6" t="str">
        <f aca="false">IFERROR(VLOOKUP(B137,'Master SME Registry'!$A$3:$F$82,3,0),"")</f>
        <v/>
      </c>
      <c r="E137" s="6"/>
      <c r="F137" s="6"/>
      <c r="G137" s="25"/>
      <c r="H137" s="25"/>
      <c r="I137" s="6"/>
      <c r="J137" s="6" t="str">
        <f aca="false">IF(OR(G137="",H137=""),"",H137-G137)</f>
        <v/>
      </c>
      <c r="K137" s="24"/>
      <c r="L137" s="25"/>
    </row>
    <row r="138" customFormat="false" ht="15" hidden="false" customHeight="true" outlineLevel="0" collapsed="false">
      <c r="A138" s="6"/>
      <c r="B138" s="6"/>
      <c r="C138" s="6" t="str">
        <f aca="false">IFERROR(VLOOKUP(B138,'Master SME Registry'!$A$3:$F$82,2,0),"")</f>
        <v/>
      </c>
      <c r="D138" s="6" t="str">
        <f aca="false">IFERROR(VLOOKUP(B138,'Master SME Registry'!$A$3:$F$82,3,0),"")</f>
        <v/>
      </c>
      <c r="E138" s="6"/>
      <c r="F138" s="6"/>
      <c r="G138" s="25"/>
      <c r="H138" s="25"/>
      <c r="I138" s="6"/>
      <c r="J138" s="6" t="str">
        <f aca="false">IF(OR(G138="",H138=""),"",H138-G138)</f>
        <v/>
      </c>
      <c r="K138" s="24"/>
      <c r="L138" s="25"/>
    </row>
    <row r="139" customFormat="false" ht="15" hidden="false" customHeight="true" outlineLevel="0" collapsed="false">
      <c r="A139" s="6"/>
      <c r="B139" s="6"/>
      <c r="C139" s="6" t="str">
        <f aca="false">IFERROR(VLOOKUP(B139,'Master SME Registry'!$A$3:$F$82,2,0),"")</f>
        <v/>
      </c>
      <c r="D139" s="6" t="str">
        <f aca="false">IFERROR(VLOOKUP(B139,'Master SME Registry'!$A$3:$F$82,3,0),"")</f>
        <v/>
      </c>
      <c r="E139" s="6"/>
      <c r="F139" s="6"/>
      <c r="G139" s="25"/>
      <c r="H139" s="25"/>
      <c r="I139" s="6"/>
      <c r="J139" s="6" t="str">
        <f aca="false">IF(OR(G139="",H139=""),"",H139-G139)</f>
        <v/>
      </c>
      <c r="K139" s="24"/>
      <c r="L139" s="25"/>
    </row>
    <row r="140" customFormat="false" ht="15" hidden="false" customHeight="true" outlineLevel="0" collapsed="false">
      <c r="A140" s="6"/>
      <c r="B140" s="6"/>
      <c r="C140" s="6" t="str">
        <f aca="false">IFERROR(VLOOKUP(B140,'Master SME Registry'!$A$3:$F$82,2,0),"")</f>
        <v/>
      </c>
      <c r="D140" s="6" t="str">
        <f aca="false">IFERROR(VLOOKUP(B140,'Master SME Registry'!$A$3:$F$82,3,0),"")</f>
        <v/>
      </c>
      <c r="E140" s="6"/>
      <c r="F140" s="6"/>
      <c r="G140" s="25"/>
      <c r="H140" s="25"/>
      <c r="I140" s="6"/>
      <c r="J140" s="6" t="str">
        <f aca="false">IF(OR(G140="",H140=""),"",H140-G140)</f>
        <v/>
      </c>
      <c r="K140" s="24"/>
      <c r="L140" s="25"/>
    </row>
    <row r="141" customFormat="false" ht="15" hidden="false" customHeight="true" outlineLevel="0" collapsed="false">
      <c r="A141" s="6"/>
      <c r="B141" s="6"/>
      <c r="C141" s="6" t="str">
        <f aca="false">IFERROR(VLOOKUP(B141,'Master SME Registry'!$A$3:$F$82,2,0),"")</f>
        <v/>
      </c>
      <c r="D141" s="6" t="str">
        <f aca="false">IFERROR(VLOOKUP(B141,'Master SME Registry'!$A$3:$F$82,3,0),"")</f>
        <v/>
      </c>
      <c r="E141" s="6"/>
      <c r="F141" s="6"/>
      <c r="G141" s="25"/>
      <c r="H141" s="25"/>
      <c r="I141" s="6"/>
      <c r="J141" s="6" t="str">
        <f aca="false">IF(OR(G141="",H141=""),"",H141-G141)</f>
        <v/>
      </c>
      <c r="K141" s="24"/>
      <c r="L141" s="25"/>
    </row>
    <row r="142" customFormat="false" ht="15" hidden="false" customHeight="true" outlineLevel="0" collapsed="false">
      <c r="A142" s="6"/>
      <c r="B142" s="6"/>
      <c r="C142" s="6" t="str">
        <f aca="false">IFERROR(VLOOKUP(B142,'Master SME Registry'!$A$3:$F$82,2,0),"")</f>
        <v/>
      </c>
      <c r="D142" s="6" t="str">
        <f aca="false">IFERROR(VLOOKUP(B142,'Master SME Registry'!$A$3:$F$82,3,0),"")</f>
        <v/>
      </c>
      <c r="E142" s="6"/>
      <c r="F142" s="6"/>
      <c r="G142" s="25"/>
      <c r="H142" s="25"/>
      <c r="I142" s="6"/>
      <c r="J142" s="6" t="str">
        <f aca="false">IF(OR(G142="",H142=""),"",H142-G142)</f>
        <v/>
      </c>
      <c r="K142" s="24"/>
      <c r="L142" s="25"/>
    </row>
    <row r="143" customFormat="false" ht="15" hidden="false" customHeight="true" outlineLevel="0" collapsed="false">
      <c r="A143" s="6"/>
      <c r="B143" s="6"/>
      <c r="C143" s="6" t="str">
        <f aca="false">IFERROR(VLOOKUP(B143,'Master SME Registry'!$A$3:$F$82,2,0),"")</f>
        <v/>
      </c>
      <c r="D143" s="6" t="str">
        <f aca="false">IFERROR(VLOOKUP(B143,'Master SME Registry'!$A$3:$F$82,3,0),"")</f>
        <v/>
      </c>
      <c r="E143" s="6"/>
      <c r="F143" s="6"/>
      <c r="G143" s="25"/>
      <c r="H143" s="25"/>
      <c r="I143" s="6"/>
      <c r="J143" s="6" t="str">
        <f aca="false">IF(OR(G143="",H143=""),"",H143-G143)</f>
        <v/>
      </c>
      <c r="K143" s="24"/>
      <c r="L143" s="25"/>
    </row>
    <row r="144" customFormat="false" ht="15" hidden="false" customHeight="true" outlineLevel="0" collapsed="false">
      <c r="A144" s="6"/>
      <c r="B144" s="6"/>
      <c r="C144" s="6" t="str">
        <f aca="false">IFERROR(VLOOKUP(B144,'Master SME Registry'!$A$3:$F$82,2,0),"")</f>
        <v/>
      </c>
      <c r="D144" s="6" t="str">
        <f aca="false">IFERROR(VLOOKUP(B144,'Master SME Registry'!$A$3:$F$82,3,0),"")</f>
        <v/>
      </c>
      <c r="E144" s="6"/>
      <c r="F144" s="6"/>
      <c r="G144" s="25"/>
      <c r="H144" s="25"/>
      <c r="I144" s="6"/>
      <c r="J144" s="6" t="str">
        <f aca="false">IF(OR(G144="",H144=""),"",H144-G144)</f>
        <v/>
      </c>
      <c r="K144" s="24"/>
      <c r="L144" s="25"/>
    </row>
    <row r="145" customFormat="false" ht="15" hidden="false" customHeight="true" outlineLevel="0" collapsed="false">
      <c r="A145" s="6"/>
      <c r="B145" s="6"/>
      <c r="C145" s="6" t="str">
        <f aca="false">IFERROR(VLOOKUP(B145,'Master SME Registry'!$A$3:$F$82,2,0),"")</f>
        <v/>
      </c>
      <c r="D145" s="6" t="str">
        <f aca="false">IFERROR(VLOOKUP(B145,'Master SME Registry'!$A$3:$F$82,3,0),"")</f>
        <v/>
      </c>
      <c r="E145" s="6"/>
      <c r="F145" s="6"/>
      <c r="G145" s="25"/>
      <c r="H145" s="25"/>
      <c r="I145" s="6"/>
      <c r="J145" s="6" t="str">
        <f aca="false">IF(OR(G145="",H145=""),"",H145-G145)</f>
        <v/>
      </c>
      <c r="K145" s="24"/>
      <c r="L145" s="25"/>
    </row>
    <row r="146" customFormat="false" ht="15" hidden="false" customHeight="true" outlineLevel="0" collapsed="false">
      <c r="A146" s="6"/>
      <c r="B146" s="6"/>
      <c r="C146" s="6" t="str">
        <f aca="false">IFERROR(VLOOKUP(B146,'Master SME Registry'!$A$3:$F$82,2,0),"")</f>
        <v/>
      </c>
      <c r="D146" s="6" t="str">
        <f aca="false">IFERROR(VLOOKUP(B146,'Master SME Registry'!$A$3:$F$82,3,0),"")</f>
        <v/>
      </c>
      <c r="E146" s="6"/>
      <c r="F146" s="6"/>
      <c r="G146" s="25"/>
      <c r="H146" s="25"/>
      <c r="I146" s="6"/>
      <c r="J146" s="6" t="str">
        <f aca="false">IF(OR(G146="",H146=""),"",H146-G146)</f>
        <v/>
      </c>
      <c r="K146" s="24"/>
      <c r="L146" s="25"/>
    </row>
    <row r="147" customFormat="false" ht="15" hidden="false" customHeight="true" outlineLevel="0" collapsed="false">
      <c r="A147" s="6"/>
      <c r="B147" s="6"/>
      <c r="C147" s="6" t="str">
        <f aca="false">IFERROR(VLOOKUP(B147,'Master SME Registry'!$A$3:$F$82,2,0),"")</f>
        <v/>
      </c>
      <c r="D147" s="6" t="str">
        <f aca="false">IFERROR(VLOOKUP(B147,'Master SME Registry'!$A$3:$F$82,3,0),"")</f>
        <v/>
      </c>
      <c r="E147" s="6"/>
      <c r="F147" s="6"/>
      <c r="G147" s="25"/>
      <c r="H147" s="25"/>
      <c r="I147" s="6"/>
      <c r="J147" s="6" t="str">
        <f aca="false">IF(OR(G147="",H147=""),"",H147-G147)</f>
        <v/>
      </c>
      <c r="K147" s="24"/>
      <c r="L147" s="25"/>
    </row>
    <row r="148" customFormat="false" ht="15" hidden="false" customHeight="true" outlineLevel="0" collapsed="false">
      <c r="A148" s="6"/>
      <c r="B148" s="6"/>
      <c r="C148" s="6" t="str">
        <f aca="false">IFERROR(VLOOKUP(B148,'Master SME Registry'!$A$3:$F$82,2,0),"")</f>
        <v/>
      </c>
      <c r="D148" s="6" t="str">
        <f aca="false">IFERROR(VLOOKUP(B148,'Master SME Registry'!$A$3:$F$82,3,0),"")</f>
        <v/>
      </c>
      <c r="E148" s="6"/>
      <c r="F148" s="6"/>
      <c r="G148" s="25"/>
      <c r="H148" s="25"/>
      <c r="I148" s="6"/>
      <c r="J148" s="6" t="str">
        <f aca="false">IF(OR(G148="",H148=""),"",H148-G148)</f>
        <v/>
      </c>
      <c r="K148" s="24"/>
      <c r="L148" s="25"/>
    </row>
    <row r="149" customFormat="false" ht="15" hidden="false" customHeight="true" outlineLevel="0" collapsed="false">
      <c r="A149" s="6"/>
      <c r="B149" s="6"/>
      <c r="C149" s="6" t="str">
        <f aca="false">IFERROR(VLOOKUP(B149,'Master SME Registry'!$A$3:$F$82,2,0),"")</f>
        <v/>
      </c>
      <c r="D149" s="6" t="str">
        <f aca="false">IFERROR(VLOOKUP(B149,'Master SME Registry'!$A$3:$F$82,3,0),"")</f>
        <v/>
      </c>
      <c r="E149" s="6"/>
      <c r="F149" s="6"/>
      <c r="G149" s="25"/>
      <c r="H149" s="25"/>
      <c r="I149" s="6"/>
      <c r="J149" s="6" t="str">
        <f aca="false">IF(OR(G149="",H149=""),"",H149-G149)</f>
        <v/>
      </c>
      <c r="K149" s="24"/>
      <c r="L149" s="25"/>
    </row>
    <row r="150" customFormat="false" ht="15" hidden="false" customHeight="true" outlineLevel="0" collapsed="false">
      <c r="A150" s="6"/>
      <c r="B150" s="6"/>
      <c r="C150" s="6" t="str">
        <f aca="false">IFERROR(VLOOKUP(B150,'Master SME Registry'!$A$3:$F$82,2,0),"")</f>
        <v/>
      </c>
      <c r="D150" s="6" t="str">
        <f aca="false">IFERROR(VLOOKUP(B150,'Master SME Registry'!$A$3:$F$82,3,0),"")</f>
        <v/>
      </c>
      <c r="E150" s="6"/>
      <c r="F150" s="6"/>
      <c r="G150" s="25"/>
      <c r="H150" s="25"/>
      <c r="I150" s="6"/>
      <c r="J150" s="6" t="str">
        <f aca="false">IF(OR(G150="",H150=""),"",H150-G150)</f>
        <v/>
      </c>
      <c r="K150" s="24"/>
      <c r="L150" s="25"/>
    </row>
    <row r="151" customFormat="false" ht="15" hidden="false" customHeight="true" outlineLevel="0" collapsed="false">
      <c r="A151" s="6"/>
      <c r="B151" s="6"/>
      <c r="C151" s="6" t="str">
        <f aca="false">IFERROR(VLOOKUP(B151,'Master SME Registry'!$A$3:$F$82,2,0),"")</f>
        <v/>
      </c>
      <c r="D151" s="6" t="str">
        <f aca="false">IFERROR(VLOOKUP(B151,'Master SME Registry'!$A$3:$F$82,3,0),"")</f>
        <v/>
      </c>
      <c r="E151" s="6"/>
      <c r="F151" s="6"/>
      <c r="G151" s="25"/>
      <c r="H151" s="25"/>
      <c r="I151" s="6"/>
      <c r="J151" s="6" t="str">
        <f aca="false">IF(OR(G151="",H151=""),"",H151-G151)</f>
        <v/>
      </c>
      <c r="K151" s="24"/>
      <c r="L151" s="25"/>
    </row>
    <row r="152" customFormat="false" ht="15" hidden="false" customHeight="true" outlineLevel="0" collapsed="false">
      <c r="A152" s="6"/>
      <c r="B152" s="6"/>
      <c r="C152" s="6" t="str">
        <f aca="false">IFERROR(VLOOKUP(B152,'Master SME Registry'!$A$3:$F$82,2,0),"")</f>
        <v/>
      </c>
      <c r="D152" s="6" t="str">
        <f aca="false">IFERROR(VLOOKUP(B152,'Master SME Registry'!$A$3:$F$82,3,0),"")</f>
        <v/>
      </c>
      <c r="E152" s="6"/>
      <c r="F152" s="6"/>
      <c r="G152" s="25"/>
      <c r="H152" s="25"/>
      <c r="I152" s="6"/>
      <c r="J152" s="6" t="str">
        <f aca="false">IF(OR(G152="",H152=""),"",H152-G152)</f>
        <v/>
      </c>
      <c r="K152" s="24"/>
      <c r="L152" s="25"/>
    </row>
    <row r="153" customFormat="false" ht="15" hidden="false" customHeight="true" outlineLevel="0" collapsed="false">
      <c r="A153" s="6"/>
      <c r="B153" s="6"/>
      <c r="C153" s="6" t="str">
        <f aca="false">IFERROR(VLOOKUP(B153,'Master SME Registry'!$A$3:$F$82,2,0),"")</f>
        <v/>
      </c>
      <c r="D153" s="6" t="str">
        <f aca="false">IFERROR(VLOOKUP(B153,'Master SME Registry'!$A$3:$F$82,3,0),"")</f>
        <v/>
      </c>
      <c r="E153" s="6"/>
      <c r="F153" s="6"/>
      <c r="G153" s="25"/>
      <c r="H153" s="25"/>
      <c r="I153" s="6"/>
      <c r="J153" s="6" t="str">
        <f aca="false">IF(OR(G153="",H153=""),"",H153-G153)</f>
        <v/>
      </c>
      <c r="K153" s="24"/>
      <c r="L153" s="25"/>
    </row>
    <row r="154" customFormat="false" ht="15" hidden="false" customHeight="true" outlineLevel="0" collapsed="false">
      <c r="A154" s="6"/>
      <c r="B154" s="6"/>
      <c r="C154" s="6" t="str">
        <f aca="false">IFERROR(VLOOKUP(B154,'Master SME Registry'!$A$3:$F$82,2,0),"")</f>
        <v/>
      </c>
      <c r="D154" s="6" t="str">
        <f aca="false">IFERROR(VLOOKUP(B154,'Master SME Registry'!$A$3:$F$82,3,0),"")</f>
        <v/>
      </c>
      <c r="E154" s="6"/>
      <c r="F154" s="6"/>
      <c r="G154" s="25"/>
      <c r="H154" s="25"/>
      <c r="I154" s="6"/>
      <c r="J154" s="6" t="str">
        <f aca="false">IF(OR(G154="",H154=""),"",H154-G154)</f>
        <v/>
      </c>
      <c r="K154" s="24"/>
      <c r="L154" s="25"/>
    </row>
    <row r="155" customFormat="false" ht="15" hidden="false" customHeight="true" outlineLevel="0" collapsed="false">
      <c r="A155" s="6"/>
      <c r="B155" s="6"/>
      <c r="C155" s="6" t="str">
        <f aca="false">IFERROR(VLOOKUP(B155,'Master SME Registry'!$A$3:$F$82,2,0),"")</f>
        <v/>
      </c>
      <c r="D155" s="6" t="str">
        <f aca="false">IFERROR(VLOOKUP(B155,'Master SME Registry'!$A$3:$F$82,3,0),"")</f>
        <v/>
      </c>
      <c r="E155" s="6"/>
      <c r="F155" s="6"/>
      <c r="G155" s="25"/>
      <c r="H155" s="25"/>
      <c r="I155" s="6"/>
      <c r="J155" s="6" t="str">
        <f aca="false">IF(OR(G155="",H155=""),"",H155-G155)</f>
        <v/>
      </c>
      <c r="K155" s="24"/>
      <c r="L155" s="25"/>
    </row>
    <row r="156" customFormat="false" ht="15" hidden="false" customHeight="true" outlineLevel="0" collapsed="false">
      <c r="A156" s="6"/>
      <c r="B156" s="6"/>
      <c r="C156" s="6" t="str">
        <f aca="false">IFERROR(VLOOKUP(B156,'Master SME Registry'!$A$3:$F$82,2,0),"")</f>
        <v/>
      </c>
      <c r="D156" s="6" t="str">
        <f aca="false">IFERROR(VLOOKUP(B156,'Master SME Registry'!$A$3:$F$82,3,0),"")</f>
        <v/>
      </c>
      <c r="E156" s="6"/>
      <c r="F156" s="6"/>
      <c r="G156" s="25"/>
      <c r="H156" s="25"/>
      <c r="I156" s="6"/>
      <c r="J156" s="6" t="str">
        <f aca="false">IF(OR(G156="",H156=""),"",H156-G156)</f>
        <v/>
      </c>
      <c r="K156" s="24"/>
      <c r="L156" s="25"/>
    </row>
    <row r="157" customFormat="false" ht="15" hidden="false" customHeight="true" outlineLevel="0" collapsed="false">
      <c r="A157" s="6"/>
      <c r="B157" s="6"/>
      <c r="C157" s="6" t="str">
        <f aca="false">IFERROR(VLOOKUP(B157,'Master SME Registry'!$A$3:$F$82,2,0),"")</f>
        <v/>
      </c>
      <c r="D157" s="6" t="str">
        <f aca="false">IFERROR(VLOOKUP(B157,'Master SME Registry'!$A$3:$F$82,3,0),"")</f>
        <v/>
      </c>
      <c r="E157" s="6"/>
      <c r="F157" s="6"/>
      <c r="G157" s="25"/>
      <c r="H157" s="25"/>
      <c r="I157" s="6"/>
      <c r="J157" s="6" t="str">
        <f aca="false">IF(OR(G157="",H157=""),"",H157-G157)</f>
        <v/>
      </c>
      <c r="K157" s="24"/>
      <c r="L157" s="25"/>
    </row>
    <row r="158" customFormat="false" ht="15" hidden="false" customHeight="true" outlineLevel="0" collapsed="false">
      <c r="A158" s="6"/>
      <c r="B158" s="6"/>
      <c r="C158" s="6" t="str">
        <f aca="false">IFERROR(VLOOKUP(B158,'Master SME Registry'!$A$3:$F$82,2,0),"")</f>
        <v/>
      </c>
      <c r="D158" s="6" t="str">
        <f aca="false">IFERROR(VLOOKUP(B158,'Master SME Registry'!$A$3:$F$82,3,0),"")</f>
        <v/>
      </c>
      <c r="E158" s="6"/>
      <c r="F158" s="6"/>
      <c r="G158" s="25"/>
      <c r="H158" s="25"/>
      <c r="I158" s="6"/>
      <c r="J158" s="6" t="str">
        <f aca="false">IF(OR(G158="",H158=""),"",H158-G158)</f>
        <v/>
      </c>
      <c r="K158" s="24"/>
      <c r="L158" s="25"/>
    </row>
    <row r="159" customFormat="false" ht="15" hidden="false" customHeight="true" outlineLevel="0" collapsed="false">
      <c r="A159" s="6"/>
      <c r="B159" s="6"/>
      <c r="C159" s="6" t="str">
        <f aca="false">IFERROR(VLOOKUP(B159,'Master SME Registry'!$A$3:$F$82,2,0),"")</f>
        <v/>
      </c>
      <c r="D159" s="6" t="str">
        <f aca="false">IFERROR(VLOOKUP(B159,'Master SME Registry'!$A$3:$F$82,3,0),"")</f>
        <v/>
      </c>
      <c r="E159" s="6"/>
      <c r="F159" s="6"/>
      <c r="G159" s="25"/>
      <c r="H159" s="25"/>
      <c r="I159" s="6"/>
      <c r="J159" s="6" t="str">
        <f aca="false">IF(OR(G159="",H159=""),"",H159-G159)</f>
        <v/>
      </c>
      <c r="K159" s="24"/>
      <c r="L159" s="25"/>
    </row>
    <row r="160" customFormat="false" ht="15" hidden="false" customHeight="true" outlineLevel="0" collapsed="false">
      <c r="A160" s="6"/>
      <c r="B160" s="6"/>
      <c r="C160" s="6" t="str">
        <f aca="false">IFERROR(VLOOKUP(B160,'Master SME Registry'!$A$3:$F$82,2,0),"")</f>
        <v/>
      </c>
      <c r="D160" s="6" t="str">
        <f aca="false">IFERROR(VLOOKUP(B160,'Master SME Registry'!$A$3:$F$82,3,0),"")</f>
        <v/>
      </c>
      <c r="E160" s="6"/>
      <c r="F160" s="6"/>
      <c r="G160" s="25"/>
      <c r="H160" s="25"/>
      <c r="I160" s="6"/>
      <c r="J160" s="6" t="str">
        <f aca="false">IF(OR(G160="",H160=""),"",H160-G160)</f>
        <v/>
      </c>
      <c r="K160" s="24"/>
      <c r="L160" s="25"/>
    </row>
    <row r="161" customFormat="false" ht="15" hidden="false" customHeight="true" outlineLevel="0" collapsed="false">
      <c r="A161" s="6"/>
      <c r="B161" s="6"/>
      <c r="C161" s="6" t="str">
        <f aca="false">IFERROR(VLOOKUP(B161,'Master SME Registry'!$A$3:$F$82,2,0),"")</f>
        <v/>
      </c>
      <c r="D161" s="6" t="str">
        <f aca="false">IFERROR(VLOOKUP(B161,'Master SME Registry'!$A$3:$F$82,3,0),"")</f>
        <v/>
      </c>
      <c r="E161" s="6"/>
      <c r="F161" s="6"/>
      <c r="G161" s="25"/>
      <c r="H161" s="25"/>
      <c r="I161" s="6"/>
      <c r="J161" s="6" t="str">
        <f aca="false">IF(OR(G161="",H161=""),"",H161-G161)</f>
        <v/>
      </c>
      <c r="K161" s="24"/>
      <c r="L161" s="25"/>
    </row>
    <row r="162" customFormat="false" ht="15" hidden="false" customHeight="true" outlineLevel="0" collapsed="false">
      <c r="A162" s="6"/>
      <c r="B162" s="6"/>
      <c r="C162" s="6" t="str">
        <f aca="false">IFERROR(VLOOKUP(B162,'Master SME Registry'!$A$3:$F$82,2,0),"")</f>
        <v/>
      </c>
      <c r="D162" s="6" t="str">
        <f aca="false">IFERROR(VLOOKUP(B162,'Master SME Registry'!$A$3:$F$82,3,0),"")</f>
        <v/>
      </c>
      <c r="E162" s="6"/>
      <c r="F162" s="6"/>
      <c r="G162" s="25"/>
      <c r="H162" s="25"/>
      <c r="I162" s="6"/>
      <c r="J162" s="6" t="str">
        <f aca="false">IF(OR(G162="",H162=""),"",H162-G162)</f>
        <v/>
      </c>
      <c r="K162" s="24"/>
      <c r="L162" s="25"/>
    </row>
    <row r="163" customFormat="false" ht="15" hidden="false" customHeight="true" outlineLevel="0" collapsed="false">
      <c r="A163" s="6"/>
      <c r="B163" s="6"/>
      <c r="C163" s="6" t="str">
        <f aca="false">IFERROR(VLOOKUP(B163,'Master SME Registry'!$A$3:$F$82,2,0),"")</f>
        <v/>
      </c>
      <c r="D163" s="6" t="str">
        <f aca="false">IFERROR(VLOOKUP(B163,'Master SME Registry'!$A$3:$F$82,3,0),"")</f>
        <v/>
      </c>
      <c r="E163" s="6"/>
      <c r="F163" s="6"/>
      <c r="G163" s="25"/>
      <c r="H163" s="25"/>
      <c r="I163" s="6"/>
      <c r="J163" s="6" t="str">
        <f aca="false">IF(OR(G163="",H163=""),"",H163-G163)</f>
        <v/>
      </c>
      <c r="K163" s="24"/>
      <c r="L163" s="25"/>
    </row>
    <row r="164" customFormat="false" ht="15" hidden="false" customHeight="true" outlineLevel="0" collapsed="false">
      <c r="A164" s="6"/>
      <c r="B164" s="6"/>
      <c r="C164" s="6" t="str">
        <f aca="false">IFERROR(VLOOKUP(B164,'Master SME Registry'!$A$3:$F$82,2,0),"")</f>
        <v/>
      </c>
      <c r="D164" s="6" t="str">
        <f aca="false">IFERROR(VLOOKUP(B164,'Master SME Registry'!$A$3:$F$82,3,0),"")</f>
        <v/>
      </c>
      <c r="E164" s="6"/>
      <c r="F164" s="6"/>
      <c r="G164" s="25"/>
      <c r="H164" s="25"/>
      <c r="I164" s="6"/>
      <c r="J164" s="6" t="str">
        <f aca="false">IF(OR(G164="",H164=""),"",H164-G164)</f>
        <v/>
      </c>
      <c r="K164" s="24"/>
      <c r="L164" s="25"/>
    </row>
    <row r="165" customFormat="false" ht="15" hidden="false" customHeight="true" outlineLevel="0" collapsed="false">
      <c r="A165" s="6"/>
      <c r="B165" s="6"/>
      <c r="C165" s="6" t="str">
        <f aca="false">IFERROR(VLOOKUP(B165,'Master SME Registry'!$A$3:$F$82,2,0),"")</f>
        <v/>
      </c>
      <c r="D165" s="6" t="str">
        <f aca="false">IFERROR(VLOOKUP(B165,'Master SME Registry'!$A$3:$F$82,3,0),"")</f>
        <v/>
      </c>
      <c r="E165" s="6"/>
      <c r="F165" s="6"/>
      <c r="G165" s="25"/>
      <c r="H165" s="25"/>
      <c r="I165" s="6"/>
      <c r="J165" s="6" t="str">
        <f aca="false">IF(OR(G165="",H165=""),"",H165-G165)</f>
        <v/>
      </c>
      <c r="K165" s="24"/>
      <c r="L165" s="25"/>
    </row>
    <row r="166" customFormat="false" ht="15" hidden="false" customHeight="true" outlineLevel="0" collapsed="false">
      <c r="A166" s="6"/>
      <c r="B166" s="6"/>
      <c r="C166" s="6" t="str">
        <f aca="false">IFERROR(VLOOKUP(B166,'Master SME Registry'!$A$3:$F$82,2,0),"")</f>
        <v/>
      </c>
      <c r="D166" s="6" t="str">
        <f aca="false">IFERROR(VLOOKUP(B166,'Master SME Registry'!$A$3:$F$82,3,0),"")</f>
        <v/>
      </c>
      <c r="E166" s="6"/>
      <c r="F166" s="6"/>
      <c r="G166" s="25"/>
      <c r="H166" s="25"/>
      <c r="I166" s="6"/>
      <c r="J166" s="6" t="str">
        <f aca="false">IF(OR(G166="",H166=""),"",H166-G166)</f>
        <v/>
      </c>
      <c r="K166" s="24"/>
      <c r="L166" s="25"/>
    </row>
    <row r="167" customFormat="false" ht="15" hidden="false" customHeight="true" outlineLevel="0" collapsed="false">
      <c r="A167" s="6"/>
      <c r="B167" s="6"/>
      <c r="C167" s="6" t="str">
        <f aca="false">IFERROR(VLOOKUP(B167,'Master SME Registry'!$A$3:$F$82,2,0),"")</f>
        <v/>
      </c>
      <c r="D167" s="6" t="str">
        <f aca="false">IFERROR(VLOOKUP(B167,'Master SME Registry'!$A$3:$F$82,3,0),"")</f>
        <v/>
      </c>
      <c r="E167" s="6"/>
      <c r="F167" s="6"/>
      <c r="G167" s="25"/>
      <c r="H167" s="25"/>
      <c r="I167" s="6"/>
      <c r="J167" s="6" t="str">
        <f aca="false">IF(OR(G167="",H167=""),"",H167-G167)</f>
        <v/>
      </c>
      <c r="K167" s="24"/>
      <c r="L167" s="25"/>
    </row>
    <row r="168" customFormat="false" ht="15" hidden="false" customHeight="true" outlineLevel="0" collapsed="false">
      <c r="A168" s="6"/>
      <c r="B168" s="6"/>
      <c r="C168" s="6" t="str">
        <f aca="false">IFERROR(VLOOKUP(B168,'Master SME Registry'!$A$3:$F$82,2,0),"")</f>
        <v/>
      </c>
      <c r="D168" s="6" t="str">
        <f aca="false">IFERROR(VLOOKUP(B168,'Master SME Registry'!$A$3:$F$82,3,0),"")</f>
        <v/>
      </c>
      <c r="E168" s="6"/>
      <c r="F168" s="6"/>
      <c r="G168" s="25"/>
      <c r="H168" s="25"/>
      <c r="I168" s="6"/>
      <c r="J168" s="6" t="str">
        <f aca="false">IF(OR(G168="",H168=""),"",H168-G168)</f>
        <v/>
      </c>
      <c r="K168" s="24"/>
      <c r="L168" s="25"/>
    </row>
    <row r="169" customFormat="false" ht="15" hidden="false" customHeight="true" outlineLevel="0" collapsed="false">
      <c r="A169" s="6"/>
      <c r="B169" s="6"/>
      <c r="C169" s="6" t="str">
        <f aca="false">IFERROR(VLOOKUP(B169,'Master SME Registry'!$A$3:$F$82,2,0),"")</f>
        <v/>
      </c>
      <c r="D169" s="6" t="str">
        <f aca="false">IFERROR(VLOOKUP(B169,'Master SME Registry'!$A$3:$F$82,3,0),"")</f>
        <v/>
      </c>
      <c r="E169" s="6"/>
      <c r="F169" s="6"/>
      <c r="G169" s="25"/>
      <c r="H169" s="25"/>
      <c r="I169" s="6"/>
      <c r="J169" s="6" t="str">
        <f aca="false">IF(OR(G169="",H169=""),"",H169-G169)</f>
        <v/>
      </c>
      <c r="K169" s="24"/>
      <c r="L169" s="25"/>
    </row>
    <row r="170" customFormat="false" ht="15" hidden="false" customHeight="true" outlineLevel="0" collapsed="false">
      <c r="A170" s="6"/>
      <c r="B170" s="6"/>
      <c r="C170" s="6" t="str">
        <f aca="false">IFERROR(VLOOKUP(B170,'Master SME Registry'!$A$3:$F$82,2,0),"")</f>
        <v/>
      </c>
      <c r="D170" s="6" t="str">
        <f aca="false">IFERROR(VLOOKUP(B170,'Master SME Registry'!$A$3:$F$82,3,0),"")</f>
        <v/>
      </c>
      <c r="E170" s="6"/>
      <c r="F170" s="6"/>
      <c r="G170" s="25"/>
      <c r="H170" s="25"/>
      <c r="I170" s="6"/>
      <c r="J170" s="6" t="str">
        <f aca="false">IF(OR(G170="",H170=""),"",H170-G170)</f>
        <v/>
      </c>
      <c r="K170" s="24"/>
      <c r="L170" s="25"/>
    </row>
    <row r="171" customFormat="false" ht="15" hidden="false" customHeight="true" outlineLevel="0" collapsed="false">
      <c r="A171" s="6"/>
      <c r="B171" s="6"/>
      <c r="C171" s="6" t="str">
        <f aca="false">IFERROR(VLOOKUP(B171,'Master SME Registry'!$A$3:$F$82,2,0),"")</f>
        <v/>
      </c>
      <c r="D171" s="6" t="str">
        <f aca="false">IFERROR(VLOOKUP(B171,'Master SME Registry'!$A$3:$F$82,3,0),"")</f>
        <v/>
      </c>
      <c r="E171" s="6"/>
      <c r="F171" s="6"/>
      <c r="G171" s="25"/>
      <c r="H171" s="25"/>
      <c r="I171" s="6"/>
      <c r="J171" s="6" t="str">
        <f aca="false">IF(OR(G171="",H171=""),"",H171-G171)</f>
        <v/>
      </c>
      <c r="K171" s="24"/>
      <c r="L171" s="25"/>
    </row>
    <row r="172" customFormat="false" ht="15" hidden="false" customHeight="true" outlineLevel="0" collapsed="false">
      <c r="A172" s="6"/>
      <c r="B172" s="6"/>
      <c r="C172" s="6" t="str">
        <f aca="false">IFERROR(VLOOKUP(B172,'Master SME Registry'!$A$3:$F$82,2,0),"")</f>
        <v/>
      </c>
      <c r="D172" s="6" t="str">
        <f aca="false">IFERROR(VLOOKUP(B172,'Master SME Registry'!$A$3:$F$82,3,0),"")</f>
        <v/>
      </c>
      <c r="E172" s="6"/>
      <c r="F172" s="6"/>
      <c r="G172" s="25"/>
      <c r="H172" s="25"/>
      <c r="I172" s="6"/>
      <c r="J172" s="6" t="str">
        <f aca="false">IF(OR(G172="",H172=""),"",H172-G172)</f>
        <v/>
      </c>
      <c r="K172" s="24"/>
      <c r="L172" s="25"/>
    </row>
    <row r="173" customFormat="false" ht="15" hidden="false" customHeight="true" outlineLevel="0" collapsed="false">
      <c r="A173" s="6"/>
      <c r="B173" s="6"/>
      <c r="C173" s="6" t="str">
        <f aca="false">IFERROR(VLOOKUP(B173,'Master SME Registry'!$A$3:$F$82,2,0),"")</f>
        <v/>
      </c>
      <c r="D173" s="6" t="str">
        <f aca="false">IFERROR(VLOOKUP(B173,'Master SME Registry'!$A$3:$F$82,3,0),"")</f>
        <v/>
      </c>
      <c r="E173" s="6"/>
      <c r="F173" s="6"/>
      <c r="G173" s="25"/>
      <c r="H173" s="25"/>
      <c r="I173" s="6"/>
      <c r="J173" s="6" t="str">
        <f aca="false">IF(OR(G173="",H173=""),"",H173-G173)</f>
        <v/>
      </c>
      <c r="K173" s="24"/>
      <c r="L173" s="25"/>
    </row>
    <row r="174" customFormat="false" ht="15" hidden="false" customHeight="true" outlineLevel="0" collapsed="false">
      <c r="A174" s="6"/>
      <c r="B174" s="6"/>
      <c r="C174" s="6" t="str">
        <f aca="false">IFERROR(VLOOKUP(B174,'Master SME Registry'!$A$3:$F$82,2,0),"")</f>
        <v/>
      </c>
      <c r="D174" s="6" t="str">
        <f aca="false">IFERROR(VLOOKUP(B174,'Master SME Registry'!$A$3:$F$82,3,0),"")</f>
        <v/>
      </c>
      <c r="E174" s="6"/>
      <c r="F174" s="6"/>
      <c r="G174" s="25"/>
      <c r="H174" s="25"/>
      <c r="I174" s="6"/>
      <c r="J174" s="6" t="str">
        <f aca="false">IF(OR(G174="",H174=""),"",H174-G174)</f>
        <v/>
      </c>
      <c r="K174" s="24"/>
      <c r="L174" s="25"/>
    </row>
    <row r="175" customFormat="false" ht="15" hidden="false" customHeight="true" outlineLevel="0" collapsed="false">
      <c r="A175" s="6"/>
      <c r="B175" s="6"/>
      <c r="C175" s="6" t="str">
        <f aca="false">IFERROR(VLOOKUP(B175,'Master SME Registry'!$A$3:$F$82,2,0),"")</f>
        <v/>
      </c>
      <c r="D175" s="6" t="str">
        <f aca="false">IFERROR(VLOOKUP(B175,'Master SME Registry'!$A$3:$F$82,3,0),"")</f>
        <v/>
      </c>
      <c r="E175" s="6"/>
      <c r="F175" s="6"/>
      <c r="G175" s="25"/>
      <c r="H175" s="25"/>
      <c r="I175" s="6"/>
      <c r="J175" s="6" t="str">
        <f aca="false">IF(OR(G175="",H175=""),"",H175-G175)</f>
        <v/>
      </c>
      <c r="K175" s="24"/>
      <c r="L175" s="25"/>
    </row>
    <row r="176" customFormat="false" ht="15" hidden="false" customHeight="true" outlineLevel="0" collapsed="false">
      <c r="A176" s="6"/>
      <c r="B176" s="6"/>
      <c r="C176" s="6" t="str">
        <f aca="false">IFERROR(VLOOKUP(B176,'Master SME Registry'!$A$3:$F$82,2,0),"")</f>
        <v/>
      </c>
      <c r="D176" s="6" t="str">
        <f aca="false">IFERROR(VLOOKUP(B176,'Master SME Registry'!$A$3:$F$82,3,0),"")</f>
        <v/>
      </c>
      <c r="E176" s="6"/>
      <c r="F176" s="6"/>
      <c r="G176" s="25"/>
      <c r="H176" s="25"/>
      <c r="I176" s="6"/>
      <c r="J176" s="6" t="str">
        <f aca="false">IF(OR(G176="",H176=""),"",H176-G176)</f>
        <v/>
      </c>
      <c r="K176" s="24"/>
      <c r="L176" s="25"/>
    </row>
    <row r="177" customFormat="false" ht="15" hidden="false" customHeight="true" outlineLevel="0" collapsed="false">
      <c r="A177" s="6"/>
      <c r="B177" s="6"/>
      <c r="C177" s="6" t="str">
        <f aca="false">IFERROR(VLOOKUP(B177,'Master SME Registry'!$A$3:$F$82,2,0),"")</f>
        <v/>
      </c>
      <c r="D177" s="6" t="str">
        <f aca="false">IFERROR(VLOOKUP(B177,'Master SME Registry'!$A$3:$F$82,3,0),"")</f>
        <v/>
      </c>
      <c r="E177" s="6"/>
      <c r="F177" s="6"/>
      <c r="G177" s="25"/>
      <c r="H177" s="25"/>
      <c r="I177" s="6"/>
      <c r="J177" s="6" t="str">
        <f aca="false">IF(OR(G177="",H177=""),"",H177-G177)</f>
        <v/>
      </c>
      <c r="K177" s="24"/>
      <c r="L177" s="25"/>
    </row>
    <row r="178" customFormat="false" ht="15" hidden="false" customHeight="true" outlineLevel="0" collapsed="false">
      <c r="A178" s="6"/>
      <c r="B178" s="6"/>
      <c r="C178" s="6" t="str">
        <f aca="false">IFERROR(VLOOKUP(B178,'Master SME Registry'!$A$3:$F$82,2,0),"")</f>
        <v/>
      </c>
      <c r="D178" s="6" t="str">
        <f aca="false">IFERROR(VLOOKUP(B178,'Master SME Registry'!$A$3:$F$82,3,0),"")</f>
        <v/>
      </c>
      <c r="E178" s="6"/>
      <c r="F178" s="6"/>
      <c r="G178" s="25"/>
      <c r="H178" s="25"/>
      <c r="I178" s="6"/>
      <c r="J178" s="6" t="str">
        <f aca="false">IF(OR(G178="",H178=""),"",H178-G178)</f>
        <v/>
      </c>
      <c r="K178" s="24"/>
      <c r="L178" s="25"/>
    </row>
    <row r="179" customFormat="false" ht="15" hidden="false" customHeight="true" outlineLevel="0" collapsed="false">
      <c r="A179" s="6"/>
      <c r="B179" s="6"/>
      <c r="C179" s="6" t="str">
        <f aca="false">IFERROR(VLOOKUP(B179,'Master SME Registry'!$A$3:$F$82,2,0),"")</f>
        <v/>
      </c>
      <c r="D179" s="6" t="str">
        <f aca="false">IFERROR(VLOOKUP(B179,'Master SME Registry'!$A$3:$F$82,3,0),"")</f>
        <v/>
      </c>
      <c r="E179" s="6"/>
      <c r="F179" s="6"/>
      <c r="G179" s="25"/>
      <c r="H179" s="25"/>
      <c r="I179" s="6"/>
      <c r="J179" s="6" t="str">
        <f aca="false">IF(OR(G179="",H179=""),"",H179-G179)</f>
        <v/>
      </c>
      <c r="K179" s="24"/>
      <c r="L179" s="25"/>
    </row>
    <row r="180" customFormat="false" ht="15" hidden="false" customHeight="true" outlineLevel="0" collapsed="false">
      <c r="A180" s="6"/>
      <c r="B180" s="6"/>
      <c r="C180" s="6" t="str">
        <f aca="false">IFERROR(VLOOKUP(B180,'Master SME Registry'!$A$3:$F$82,2,0),"")</f>
        <v/>
      </c>
      <c r="D180" s="6" t="str">
        <f aca="false">IFERROR(VLOOKUP(B180,'Master SME Registry'!$A$3:$F$82,3,0),"")</f>
        <v/>
      </c>
      <c r="E180" s="6"/>
      <c r="F180" s="6"/>
      <c r="G180" s="25"/>
      <c r="H180" s="25"/>
      <c r="I180" s="6"/>
      <c r="J180" s="6" t="str">
        <f aca="false">IF(OR(G180="",H180=""),"",H180-G180)</f>
        <v/>
      </c>
      <c r="K180" s="24"/>
      <c r="L180" s="25"/>
    </row>
    <row r="181" customFormat="false" ht="15" hidden="false" customHeight="true" outlineLevel="0" collapsed="false">
      <c r="A181" s="6"/>
      <c r="B181" s="6"/>
      <c r="C181" s="6" t="str">
        <f aca="false">IFERROR(VLOOKUP(B181,'Master SME Registry'!$A$3:$F$82,2,0),"")</f>
        <v/>
      </c>
      <c r="D181" s="6" t="str">
        <f aca="false">IFERROR(VLOOKUP(B181,'Master SME Registry'!$A$3:$F$82,3,0),"")</f>
        <v/>
      </c>
      <c r="E181" s="6"/>
      <c r="F181" s="6"/>
      <c r="G181" s="25"/>
      <c r="H181" s="25"/>
      <c r="I181" s="6"/>
      <c r="J181" s="6" t="str">
        <f aca="false">IF(OR(G181="",H181=""),"",H181-G181)</f>
        <v/>
      </c>
      <c r="K181" s="24"/>
      <c r="L181" s="25"/>
    </row>
    <row r="182" customFormat="false" ht="15" hidden="false" customHeight="true" outlineLevel="0" collapsed="false">
      <c r="A182" s="6"/>
      <c r="B182" s="6"/>
      <c r="C182" s="6" t="str">
        <f aca="false">IFERROR(VLOOKUP(B182,'Master SME Registry'!$A$3:$F$82,2,0),"")</f>
        <v/>
      </c>
      <c r="D182" s="6" t="str">
        <f aca="false">IFERROR(VLOOKUP(B182,'Master SME Registry'!$A$3:$F$82,3,0),"")</f>
        <v/>
      </c>
      <c r="E182" s="6"/>
      <c r="F182" s="6"/>
      <c r="G182" s="25"/>
      <c r="H182" s="25"/>
      <c r="I182" s="6"/>
      <c r="J182" s="6" t="str">
        <f aca="false">IF(OR(G182="",H182=""),"",H182-G182)</f>
        <v/>
      </c>
      <c r="K182" s="24"/>
      <c r="L182" s="25"/>
    </row>
    <row r="183" customFormat="false" ht="15" hidden="false" customHeight="true" outlineLevel="0" collapsed="false">
      <c r="A183" s="6"/>
      <c r="B183" s="6"/>
      <c r="C183" s="6" t="str">
        <f aca="false">IFERROR(VLOOKUP(B183,'Master SME Registry'!$A$3:$F$82,2,0),"")</f>
        <v/>
      </c>
      <c r="D183" s="6" t="str">
        <f aca="false">IFERROR(VLOOKUP(B183,'Master SME Registry'!$A$3:$F$82,3,0),"")</f>
        <v/>
      </c>
      <c r="E183" s="6"/>
      <c r="F183" s="6"/>
      <c r="G183" s="25"/>
      <c r="H183" s="25"/>
      <c r="I183" s="6"/>
      <c r="J183" s="6" t="str">
        <f aca="false">IF(OR(G183="",H183=""),"",H183-G183)</f>
        <v/>
      </c>
      <c r="K183" s="24"/>
      <c r="L183" s="25"/>
    </row>
    <row r="184" customFormat="false" ht="15" hidden="false" customHeight="true" outlineLevel="0" collapsed="false">
      <c r="A184" s="6"/>
      <c r="B184" s="6"/>
      <c r="C184" s="6" t="str">
        <f aca="false">IFERROR(VLOOKUP(B184,'Master SME Registry'!$A$3:$F$82,2,0),"")</f>
        <v/>
      </c>
      <c r="D184" s="6" t="str">
        <f aca="false">IFERROR(VLOOKUP(B184,'Master SME Registry'!$A$3:$F$82,3,0),"")</f>
        <v/>
      </c>
      <c r="E184" s="6"/>
      <c r="F184" s="6"/>
      <c r="G184" s="25"/>
      <c r="H184" s="25"/>
      <c r="I184" s="6"/>
      <c r="J184" s="6" t="str">
        <f aca="false">IF(OR(G184="",H184=""),"",H184-G184)</f>
        <v/>
      </c>
      <c r="K184" s="24"/>
      <c r="L184" s="25"/>
    </row>
    <row r="185" customFormat="false" ht="15" hidden="false" customHeight="true" outlineLevel="0" collapsed="false">
      <c r="A185" s="6"/>
      <c r="B185" s="6"/>
      <c r="C185" s="6" t="str">
        <f aca="false">IFERROR(VLOOKUP(B185,'Master SME Registry'!$A$3:$F$82,2,0),"")</f>
        <v/>
      </c>
      <c r="D185" s="6" t="str">
        <f aca="false">IFERROR(VLOOKUP(B185,'Master SME Registry'!$A$3:$F$82,3,0),"")</f>
        <v/>
      </c>
      <c r="E185" s="6"/>
      <c r="F185" s="6"/>
      <c r="G185" s="25"/>
      <c r="H185" s="25"/>
      <c r="I185" s="6"/>
      <c r="J185" s="6" t="str">
        <f aca="false">IF(OR(G185="",H185=""),"",H185-G185)</f>
        <v/>
      </c>
      <c r="K185" s="24"/>
      <c r="L185" s="25"/>
    </row>
    <row r="186" customFormat="false" ht="15" hidden="false" customHeight="true" outlineLevel="0" collapsed="false">
      <c r="A186" s="6"/>
      <c r="B186" s="6"/>
      <c r="C186" s="6" t="str">
        <f aca="false">IFERROR(VLOOKUP(B186,'Master SME Registry'!$A$3:$F$82,2,0),"")</f>
        <v/>
      </c>
      <c r="D186" s="6" t="str">
        <f aca="false">IFERROR(VLOOKUP(B186,'Master SME Registry'!$A$3:$F$82,3,0),"")</f>
        <v/>
      </c>
      <c r="E186" s="6"/>
      <c r="F186" s="6"/>
      <c r="G186" s="25"/>
      <c r="H186" s="25"/>
      <c r="I186" s="6"/>
      <c r="J186" s="6" t="str">
        <f aca="false">IF(OR(G186="",H186=""),"",H186-G186)</f>
        <v/>
      </c>
      <c r="K186" s="24"/>
      <c r="L186" s="25"/>
    </row>
    <row r="187" customFormat="false" ht="15" hidden="false" customHeight="true" outlineLevel="0" collapsed="false">
      <c r="A187" s="6"/>
      <c r="B187" s="6"/>
      <c r="C187" s="6" t="str">
        <f aca="false">IFERROR(VLOOKUP(B187,'Master SME Registry'!$A$3:$F$82,2,0),"")</f>
        <v/>
      </c>
      <c r="D187" s="6" t="str">
        <f aca="false">IFERROR(VLOOKUP(B187,'Master SME Registry'!$A$3:$F$82,3,0),"")</f>
        <v/>
      </c>
      <c r="E187" s="6"/>
      <c r="F187" s="6"/>
      <c r="G187" s="25"/>
      <c r="H187" s="25"/>
      <c r="I187" s="6"/>
      <c r="J187" s="6" t="str">
        <f aca="false">IF(OR(G187="",H187=""),"",H187-G187)</f>
        <v/>
      </c>
      <c r="K187" s="24"/>
      <c r="L187" s="25"/>
    </row>
    <row r="188" customFormat="false" ht="15" hidden="false" customHeight="true" outlineLevel="0" collapsed="false">
      <c r="A188" s="6"/>
      <c r="B188" s="6"/>
      <c r="C188" s="6" t="str">
        <f aca="false">IFERROR(VLOOKUP(B188,'Master SME Registry'!$A$3:$F$82,2,0),"")</f>
        <v/>
      </c>
      <c r="D188" s="6" t="str">
        <f aca="false">IFERROR(VLOOKUP(B188,'Master SME Registry'!$A$3:$F$82,3,0),"")</f>
        <v/>
      </c>
      <c r="E188" s="6"/>
      <c r="F188" s="6"/>
      <c r="G188" s="25"/>
      <c r="H188" s="25"/>
      <c r="I188" s="6"/>
      <c r="J188" s="6" t="str">
        <f aca="false">IF(OR(G188="",H188=""),"",H188-G188)</f>
        <v/>
      </c>
      <c r="K188" s="24"/>
      <c r="L188" s="25"/>
    </row>
    <row r="189" customFormat="false" ht="15" hidden="false" customHeight="true" outlineLevel="0" collapsed="false">
      <c r="A189" s="6"/>
      <c r="B189" s="6"/>
      <c r="C189" s="6" t="str">
        <f aca="false">IFERROR(VLOOKUP(B189,'Master SME Registry'!$A$3:$F$82,2,0),"")</f>
        <v/>
      </c>
      <c r="D189" s="6" t="str">
        <f aca="false">IFERROR(VLOOKUP(B189,'Master SME Registry'!$A$3:$F$82,3,0),"")</f>
        <v/>
      </c>
      <c r="E189" s="6"/>
      <c r="F189" s="6"/>
      <c r="G189" s="25"/>
      <c r="H189" s="25"/>
      <c r="I189" s="6"/>
      <c r="J189" s="6" t="str">
        <f aca="false">IF(OR(G189="",H189=""),"",H189-G189)</f>
        <v/>
      </c>
      <c r="K189" s="24"/>
      <c r="L189" s="25"/>
    </row>
    <row r="190" customFormat="false" ht="15" hidden="false" customHeight="true" outlineLevel="0" collapsed="false">
      <c r="A190" s="6"/>
      <c r="B190" s="6"/>
      <c r="C190" s="6" t="str">
        <f aca="false">IFERROR(VLOOKUP(B190,'Master SME Registry'!$A$3:$F$82,2,0),"")</f>
        <v/>
      </c>
      <c r="D190" s="6" t="str">
        <f aca="false">IFERROR(VLOOKUP(B190,'Master SME Registry'!$A$3:$F$82,3,0),"")</f>
        <v/>
      </c>
      <c r="E190" s="6"/>
      <c r="F190" s="6"/>
      <c r="G190" s="25"/>
      <c r="H190" s="25"/>
      <c r="I190" s="6"/>
      <c r="J190" s="6" t="str">
        <f aca="false">IF(OR(G190="",H190=""),"",H190-G190)</f>
        <v/>
      </c>
      <c r="K190" s="24"/>
      <c r="L190" s="25"/>
    </row>
    <row r="191" customFormat="false" ht="15" hidden="false" customHeight="true" outlineLevel="0" collapsed="false">
      <c r="A191" s="6"/>
      <c r="B191" s="6"/>
      <c r="C191" s="6" t="str">
        <f aca="false">IFERROR(VLOOKUP(B191,'Master SME Registry'!$A$3:$F$82,2,0),"")</f>
        <v/>
      </c>
      <c r="D191" s="6" t="str">
        <f aca="false">IFERROR(VLOOKUP(B191,'Master SME Registry'!$A$3:$F$82,3,0),"")</f>
        <v/>
      </c>
      <c r="E191" s="6"/>
      <c r="F191" s="6"/>
      <c r="G191" s="25"/>
      <c r="H191" s="25"/>
      <c r="I191" s="6"/>
      <c r="J191" s="6" t="str">
        <f aca="false">IF(OR(G191="",H191=""),"",H191-G191)</f>
        <v/>
      </c>
      <c r="K191" s="24"/>
      <c r="L191" s="25"/>
    </row>
    <row r="192" customFormat="false" ht="15" hidden="false" customHeight="true" outlineLevel="0" collapsed="false">
      <c r="A192" s="6"/>
      <c r="B192" s="6"/>
      <c r="C192" s="6" t="str">
        <f aca="false">IFERROR(VLOOKUP(B192,'Master SME Registry'!$A$3:$F$82,2,0),"")</f>
        <v/>
      </c>
      <c r="D192" s="6" t="str">
        <f aca="false">IFERROR(VLOOKUP(B192,'Master SME Registry'!$A$3:$F$82,3,0),"")</f>
        <v/>
      </c>
      <c r="E192" s="6"/>
      <c r="F192" s="6"/>
      <c r="G192" s="25"/>
      <c r="H192" s="25"/>
      <c r="I192" s="6"/>
      <c r="J192" s="6" t="str">
        <f aca="false">IF(OR(G192="",H192=""),"",H192-G192)</f>
        <v/>
      </c>
      <c r="K192" s="24"/>
      <c r="L192" s="25"/>
    </row>
    <row r="193" customFormat="false" ht="15" hidden="false" customHeight="true" outlineLevel="0" collapsed="false">
      <c r="A193" s="6"/>
      <c r="B193" s="6"/>
      <c r="C193" s="6" t="str">
        <f aca="false">IFERROR(VLOOKUP(B193,'Master SME Registry'!$A$3:$F$82,2,0),"")</f>
        <v/>
      </c>
      <c r="D193" s="6" t="str">
        <f aca="false">IFERROR(VLOOKUP(B193,'Master SME Registry'!$A$3:$F$82,3,0),"")</f>
        <v/>
      </c>
      <c r="E193" s="6"/>
      <c r="F193" s="6"/>
      <c r="G193" s="25"/>
      <c r="H193" s="25"/>
      <c r="I193" s="6"/>
      <c r="J193" s="6" t="str">
        <f aca="false">IF(OR(G193="",H193=""),"",H193-G193)</f>
        <v/>
      </c>
      <c r="K193" s="24"/>
      <c r="L193" s="25"/>
    </row>
    <row r="194" customFormat="false" ht="15" hidden="false" customHeight="true" outlineLevel="0" collapsed="false">
      <c r="A194" s="6"/>
      <c r="B194" s="6"/>
      <c r="C194" s="6" t="str">
        <f aca="false">IFERROR(VLOOKUP(B194,'Master SME Registry'!$A$3:$F$82,2,0),"")</f>
        <v/>
      </c>
      <c r="D194" s="6" t="str">
        <f aca="false">IFERROR(VLOOKUP(B194,'Master SME Registry'!$A$3:$F$82,3,0),"")</f>
        <v/>
      </c>
      <c r="E194" s="6"/>
      <c r="F194" s="6"/>
      <c r="G194" s="25"/>
      <c r="H194" s="25"/>
      <c r="I194" s="6"/>
      <c r="J194" s="6" t="str">
        <f aca="false">IF(OR(G194="",H194=""),"",H194-G194)</f>
        <v/>
      </c>
      <c r="K194" s="24"/>
      <c r="L194" s="25"/>
    </row>
    <row r="195" customFormat="false" ht="15" hidden="false" customHeight="true" outlineLevel="0" collapsed="false">
      <c r="A195" s="6"/>
      <c r="B195" s="6"/>
      <c r="C195" s="6" t="str">
        <f aca="false">IFERROR(VLOOKUP(B195,'Master SME Registry'!$A$3:$F$82,2,0),"")</f>
        <v/>
      </c>
      <c r="D195" s="6" t="str">
        <f aca="false">IFERROR(VLOOKUP(B195,'Master SME Registry'!$A$3:$F$82,3,0),"")</f>
        <v/>
      </c>
      <c r="E195" s="6"/>
      <c r="F195" s="6"/>
      <c r="G195" s="25"/>
      <c r="H195" s="25"/>
      <c r="I195" s="6"/>
      <c r="J195" s="6" t="str">
        <f aca="false">IF(OR(G195="",H195=""),"",H195-G195)</f>
        <v/>
      </c>
      <c r="K195" s="24"/>
      <c r="L195" s="25"/>
    </row>
    <row r="196" customFormat="false" ht="15" hidden="false" customHeight="true" outlineLevel="0" collapsed="false">
      <c r="A196" s="6"/>
      <c r="B196" s="6"/>
      <c r="C196" s="6" t="str">
        <f aca="false">IFERROR(VLOOKUP(B196,'Master SME Registry'!$A$3:$F$82,2,0),"")</f>
        <v/>
      </c>
      <c r="D196" s="6" t="str">
        <f aca="false">IFERROR(VLOOKUP(B196,'Master SME Registry'!$A$3:$F$82,3,0),"")</f>
        <v/>
      </c>
      <c r="E196" s="6"/>
      <c r="F196" s="6"/>
      <c r="G196" s="25"/>
      <c r="H196" s="25"/>
      <c r="I196" s="6"/>
      <c r="J196" s="6" t="str">
        <f aca="false">IF(OR(G196="",H196=""),"",H196-G196)</f>
        <v/>
      </c>
      <c r="K196" s="24"/>
      <c r="L196" s="25"/>
    </row>
    <row r="197" customFormat="false" ht="15" hidden="false" customHeight="true" outlineLevel="0" collapsed="false">
      <c r="A197" s="6"/>
      <c r="B197" s="6"/>
      <c r="C197" s="6" t="str">
        <f aca="false">IFERROR(VLOOKUP(B197,'Master SME Registry'!$A$3:$F$82,2,0),"")</f>
        <v/>
      </c>
      <c r="D197" s="6" t="str">
        <f aca="false">IFERROR(VLOOKUP(B197,'Master SME Registry'!$A$3:$F$82,3,0),"")</f>
        <v/>
      </c>
      <c r="E197" s="6"/>
      <c r="F197" s="6"/>
      <c r="G197" s="25"/>
      <c r="H197" s="25"/>
      <c r="I197" s="6"/>
      <c r="J197" s="6" t="str">
        <f aca="false">IF(OR(G197="",H197=""),"",H197-G197)</f>
        <v/>
      </c>
      <c r="K197" s="24"/>
      <c r="L197" s="25"/>
    </row>
    <row r="198" customFormat="false" ht="15" hidden="false" customHeight="true" outlineLevel="0" collapsed="false">
      <c r="A198" s="6"/>
      <c r="B198" s="6"/>
      <c r="C198" s="6" t="str">
        <f aca="false">IFERROR(VLOOKUP(B198,'Master SME Registry'!$A$3:$F$82,2,0),"")</f>
        <v/>
      </c>
      <c r="D198" s="6" t="str">
        <f aca="false">IFERROR(VLOOKUP(B198,'Master SME Registry'!$A$3:$F$82,3,0),"")</f>
        <v/>
      </c>
      <c r="E198" s="6"/>
      <c r="F198" s="6"/>
      <c r="G198" s="25"/>
      <c r="H198" s="25"/>
      <c r="I198" s="6"/>
      <c r="J198" s="6" t="str">
        <f aca="false">IF(OR(G198="",H198=""),"",H198-G198)</f>
        <v/>
      </c>
      <c r="K198" s="24"/>
      <c r="L198" s="25"/>
    </row>
    <row r="199" customFormat="false" ht="15" hidden="false" customHeight="true" outlineLevel="0" collapsed="false">
      <c r="A199" s="6"/>
      <c r="B199" s="6"/>
      <c r="C199" s="6" t="str">
        <f aca="false">IFERROR(VLOOKUP(B199,'Master SME Registry'!$A$3:$F$82,2,0),"")</f>
        <v/>
      </c>
      <c r="D199" s="6" t="str">
        <f aca="false">IFERROR(VLOOKUP(B199,'Master SME Registry'!$A$3:$F$82,3,0),"")</f>
        <v/>
      </c>
      <c r="E199" s="6"/>
      <c r="F199" s="6"/>
      <c r="G199" s="25"/>
      <c r="H199" s="25"/>
      <c r="I199" s="6"/>
      <c r="J199" s="6" t="str">
        <f aca="false">IF(OR(G199="",H199=""),"",H199-G199)</f>
        <v/>
      </c>
      <c r="K199" s="24"/>
      <c r="L199" s="25"/>
    </row>
    <row r="200" customFormat="false" ht="15" hidden="false" customHeight="true" outlineLevel="0" collapsed="false">
      <c r="A200" s="6"/>
      <c r="B200" s="6"/>
      <c r="C200" s="6" t="str">
        <f aca="false">IFERROR(VLOOKUP(B200,'Master SME Registry'!$A$3:$F$82,2,0),"")</f>
        <v/>
      </c>
      <c r="D200" s="6" t="str">
        <f aca="false">IFERROR(VLOOKUP(B200,'Master SME Registry'!$A$3:$F$82,3,0),"")</f>
        <v/>
      </c>
      <c r="E200" s="6"/>
      <c r="F200" s="6"/>
      <c r="G200" s="25"/>
      <c r="H200" s="25"/>
      <c r="I200" s="6"/>
      <c r="J200" s="6" t="str">
        <f aca="false">IF(OR(G200="",H200=""),"",H200-G200)</f>
        <v/>
      </c>
      <c r="K200" s="24"/>
      <c r="L200" s="25"/>
    </row>
    <row r="201" customFormat="false" ht="15" hidden="false" customHeight="true" outlineLevel="0" collapsed="false">
      <c r="A201" s="6"/>
      <c r="B201" s="6"/>
      <c r="C201" s="6" t="str">
        <f aca="false">IFERROR(VLOOKUP(B201,'Master SME Registry'!$A$3:$F$82,2,0),"")</f>
        <v/>
      </c>
      <c r="D201" s="6" t="str">
        <f aca="false">IFERROR(VLOOKUP(B201,'Master SME Registry'!$A$3:$F$82,3,0),"")</f>
        <v/>
      </c>
      <c r="E201" s="6"/>
      <c r="F201" s="6"/>
      <c r="G201" s="25"/>
      <c r="H201" s="25"/>
      <c r="I201" s="6"/>
      <c r="J201" s="6" t="str">
        <f aca="false">IF(OR(G201="",H201=""),"",H201-G201)</f>
        <v/>
      </c>
      <c r="K201" s="24"/>
      <c r="L201" s="25"/>
    </row>
    <row r="202" customFormat="false" ht="15" hidden="false" customHeight="true" outlineLevel="0" collapsed="false">
      <c r="A202" s="6"/>
      <c r="B202" s="6"/>
      <c r="C202" s="6" t="str">
        <f aca="false">IFERROR(VLOOKUP(B202,'Master SME Registry'!$A$3:$F$82,2,0),"")</f>
        <v/>
      </c>
      <c r="D202" s="6" t="str">
        <f aca="false">IFERROR(VLOOKUP(B202,'Master SME Registry'!$A$3:$F$82,3,0),"")</f>
        <v/>
      </c>
      <c r="E202" s="6"/>
      <c r="F202" s="6"/>
      <c r="G202" s="25"/>
      <c r="H202" s="25"/>
      <c r="I202" s="6"/>
      <c r="J202" s="6" t="str">
        <f aca="false">IF(OR(G202="",H202=""),"",H202-G202)</f>
        <v/>
      </c>
      <c r="K202" s="24"/>
      <c r="L202" s="25"/>
    </row>
  </sheetData>
  <mergeCells count="1">
    <mergeCell ref="A1:L1"/>
  </mergeCells>
  <dataValidations count="2">
    <dataValidation allowBlank="true" errorStyle="stop" operator="between" showDropDown="false" showErrorMessage="false" showInputMessage="false" sqref="E3:E202" type="list">
      <formula1>"Diagnostic,Coaching,Advisor Session,Field Visit,Reporting,Doc Deadline"</formula1>
      <formula2>0</formula2>
    </dataValidation>
    <dataValidation allowBlank="true" errorStyle="stop" operator="between" showDropDown="false" showErrorMessage="false" showInputMessage="false" sqref="I3:I202" type="list">
      <formula1>"Planned,Done,Missed,Rescheduled"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8" min="6" style="1" width="9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34"/>
    <col collapsed="false" customWidth="true" hidden="false" outlineLevel="0" max="15" min="14" style="1" width="12"/>
    <col collapsed="false" customWidth="true" hidden="false" outlineLevel="0" max="16" min="16" style="1" width="9"/>
    <col collapsed="false" customWidth="true" hidden="false" outlineLevel="0" max="17" min="17" style="1" width="11"/>
  </cols>
  <sheetData>
    <row r="1" customFormat="false" ht="24" hidden="false" customHeight="true" outlineLevel="0" collapsed="false">
      <c r="A1" s="2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39.75" hidden="false" customHeight="true" outlineLevel="0" collapsed="false">
      <c r="A2" s="12" t="s">
        <v>324</v>
      </c>
      <c r="B2" s="12" t="s">
        <v>153</v>
      </c>
      <c r="C2" s="12" t="s">
        <v>325</v>
      </c>
      <c r="D2" s="12" t="s">
        <v>326</v>
      </c>
      <c r="E2" s="12" t="s">
        <v>327</v>
      </c>
      <c r="F2" s="12" t="s">
        <v>328</v>
      </c>
      <c r="G2" s="12" t="s">
        <v>329</v>
      </c>
      <c r="H2" s="12" t="s">
        <v>330</v>
      </c>
      <c r="I2" s="12" t="s">
        <v>331</v>
      </c>
      <c r="J2" s="12" t="s">
        <v>332</v>
      </c>
      <c r="K2" s="12" t="s">
        <v>307</v>
      </c>
      <c r="L2" s="12" t="s">
        <v>333</v>
      </c>
      <c r="M2" s="12" t="s">
        <v>334</v>
      </c>
      <c r="N2" s="12" t="s">
        <v>310</v>
      </c>
      <c r="O2" s="12" t="s">
        <v>335</v>
      </c>
      <c r="P2" s="12" t="s">
        <v>336</v>
      </c>
      <c r="Q2" s="12" t="s">
        <v>337</v>
      </c>
    </row>
    <row r="3" customFormat="false" ht="23.25" hidden="false" customHeight="true" outlineLevel="0" collapsed="false">
      <c r="A3" s="6" t="s">
        <v>338</v>
      </c>
      <c r="B3" s="6" t="s">
        <v>210</v>
      </c>
      <c r="C3" s="6" t="s">
        <v>339</v>
      </c>
      <c r="D3" s="24" t="s">
        <v>340</v>
      </c>
      <c r="E3" s="6" t="s">
        <v>341</v>
      </c>
      <c r="F3" s="6" t="n">
        <v>4</v>
      </c>
      <c r="G3" s="6" t="n">
        <v>4</v>
      </c>
      <c r="H3" s="6" t="n">
        <f aca="false">IF(OR(F3="",G3=""),"",F3*G3)</f>
        <v>16</v>
      </c>
      <c r="I3" s="13" t="str">
        <f aca="false">IF(H3="","",IF(H3&gt;=15,"RED",IF(H3&gt;=8,"AMBER","GREEN")))</f>
        <v>RED</v>
      </c>
      <c r="J3" s="25" t="n">
        <v>46211</v>
      </c>
      <c r="K3" s="6" t="s">
        <v>214</v>
      </c>
      <c r="L3" s="6" t="s">
        <v>132</v>
      </c>
      <c r="M3" s="24" t="s">
        <v>342</v>
      </c>
      <c r="N3" s="6" t="s">
        <v>343</v>
      </c>
      <c r="O3" s="25"/>
      <c r="P3" s="6" t="n">
        <f aca="true">IF(J3="","",IF(N3="Closed",IF(O3="","",O3-J3),TODAY()-J3))</f>
        <v>-30</v>
      </c>
      <c r="Q3" s="6"/>
    </row>
    <row r="4" customFormat="false" ht="23.25" hidden="false" customHeight="true" outlineLevel="0" collapsed="false">
      <c r="A4" s="6" t="s">
        <v>344</v>
      </c>
      <c r="B4" s="6" t="s">
        <v>197</v>
      </c>
      <c r="C4" s="6" t="s">
        <v>345</v>
      </c>
      <c r="D4" s="24" t="s">
        <v>346</v>
      </c>
      <c r="E4" s="6" t="s">
        <v>347</v>
      </c>
      <c r="F4" s="6" t="n">
        <v>3</v>
      </c>
      <c r="G4" s="6" t="n">
        <v>3</v>
      </c>
      <c r="H4" s="6" t="n">
        <f aca="false">IF(OR(F4="",G4=""),"",F4*G4)</f>
        <v>9</v>
      </c>
      <c r="I4" s="13" t="str">
        <f aca="false">IF(H4="","",IF(H4&gt;=15,"RED",IF(H4&gt;=8,"AMBER","GREEN")))</f>
        <v>AMBER</v>
      </c>
      <c r="J4" s="25" t="n">
        <v>46218</v>
      </c>
      <c r="K4" s="6" t="s">
        <v>201</v>
      </c>
      <c r="L4" s="6" t="s">
        <v>128</v>
      </c>
      <c r="M4" s="24" t="s">
        <v>348</v>
      </c>
      <c r="N4" s="6" t="s">
        <v>349</v>
      </c>
      <c r="O4" s="25"/>
      <c r="P4" s="6" t="n">
        <f aca="true">IF(J4="","",IF(N4="Closed",IF(O4="","",O4-J4),TODAY()-J4))</f>
        <v>-37</v>
      </c>
      <c r="Q4" s="6"/>
    </row>
    <row r="5" customFormat="false" ht="23.25" hidden="false" customHeight="true" outlineLevel="0" collapsed="false">
      <c r="A5" s="6" t="s">
        <v>350</v>
      </c>
      <c r="B5" s="6" t="s">
        <v>351</v>
      </c>
      <c r="C5" s="6" t="s">
        <v>352</v>
      </c>
      <c r="D5" s="24" t="s">
        <v>353</v>
      </c>
      <c r="E5" s="6" t="s">
        <v>354</v>
      </c>
      <c r="F5" s="6" t="n">
        <v>4</v>
      </c>
      <c r="G5" s="6" t="n">
        <v>5</v>
      </c>
      <c r="H5" s="6" t="n">
        <f aca="false">IF(OR(F5="",G5=""),"",F5*G5)</f>
        <v>20</v>
      </c>
      <c r="I5" s="13" t="str">
        <f aca="false">IF(H5="","",IF(H5&gt;=15,"RED",IF(H5&gt;=8,"AMBER","GREEN")))</f>
        <v>RED</v>
      </c>
      <c r="J5" s="25" t="n">
        <v>46178</v>
      </c>
      <c r="K5" s="6" t="s">
        <v>355</v>
      </c>
      <c r="L5" s="6" t="s">
        <v>132</v>
      </c>
      <c r="M5" s="24" t="s">
        <v>356</v>
      </c>
      <c r="N5" s="6" t="s">
        <v>343</v>
      </c>
      <c r="O5" s="25"/>
      <c r="P5" s="6" t="n">
        <f aca="true">IF(J5="","",IF(N5="Closed",IF(O5="","",O5-J5),TODAY()-J5))</f>
        <v>3</v>
      </c>
      <c r="Q5" s="6"/>
    </row>
    <row r="6" customFormat="false" ht="23.25" hidden="false" customHeight="true" outlineLevel="0" collapsed="false">
      <c r="A6" s="6" t="s">
        <v>357</v>
      </c>
      <c r="B6" s="6" t="s">
        <v>225</v>
      </c>
      <c r="C6" s="6" t="s">
        <v>352</v>
      </c>
      <c r="D6" s="24" t="s">
        <v>358</v>
      </c>
      <c r="E6" s="6" t="s">
        <v>359</v>
      </c>
      <c r="F6" s="6" t="n">
        <v>3</v>
      </c>
      <c r="G6" s="6" t="n">
        <v>4</v>
      </c>
      <c r="H6" s="6" t="n">
        <f aca="false">IF(OR(F6="",G6=""),"",F6*G6)</f>
        <v>12</v>
      </c>
      <c r="I6" s="13" t="str">
        <f aca="false">IF(H6="","",IF(H6&gt;=15,"RED",IF(H6&gt;=8,"AMBER","GREEN")))</f>
        <v>AMBER</v>
      </c>
      <c r="J6" s="25" t="n">
        <v>46232</v>
      </c>
      <c r="K6" s="6" t="s">
        <v>191</v>
      </c>
      <c r="L6" s="6" t="s">
        <v>132</v>
      </c>
      <c r="M6" s="24" t="s">
        <v>360</v>
      </c>
      <c r="N6" s="6" t="s">
        <v>343</v>
      </c>
      <c r="O6" s="25"/>
      <c r="P6" s="6" t="n">
        <f aca="true">IF(J6="","",IF(N6="Closed",IF(O6="","",O6-J6),TODAY()-J6))</f>
        <v>-51</v>
      </c>
      <c r="Q6" s="6"/>
    </row>
    <row r="7" customFormat="false" ht="15" hidden="false" customHeight="true" outlineLevel="0" collapsed="false">
      <c r="A7" s="6"/>
      <c r="B7" s="6"/>
      <c r="C7" s="6"/>
      <c r="D7" s="24"/>
      <c r="E7" s="6"/>
      <c r="F7" s="6"/>
      <c r="G7" s="6"/>
      <c r="H7" s="6" t="str">
        <f aca="false">IF(OR(F7="",G7=""),"",F7*G7)</f>
        <v/>
      </c>
      <c r="I7" s="13" t="str">
        <f aca="false">IF(H7="","",IF(H7&gt;=15,"RED",IF(H7&gt;=8,"AMBER","GREEN")))</f>
        <v/>
      </c>
      <c r="J7" s="25"/>
      <c r="K7" s="6"/>
      <c r="L7" s="6"/>
      <c r="M7" s="24"/>
      <c r="N7" s="6"/>
      <c r="O7" s="25"/>
      <c r="P7" s="6" t="str">
        <f aca="true">IF(J7="","",IF(N7="Closed",IF(O7="","",O7-J7),TODAY()-J7))</f>
        <v/>
      </c>
      <c r="Q7" s="6"/>
    </row>
    <row r="8" customFormat="false" ht="15" hidden="false" customHeight="true" outlineLevel="0" collapsed="false">
      <c r="A8" s="6"/>
      <c r="B8" s="6"/>
      <c r="C8" s="6"/>
      <c r="D8" s="24"/>
      <c r="E8" s="6"/>
      <c r="F8" s="6"/>
      <c r="G8" s="6"/>
      <c r="H8" s="6" t="str">
        <f aca="false">IF(OR(F8="",G8=""),"",F8*G8)</f>
        <v/>
      </c>
      <c r="I8" s="13" t="str">
        <f aca="false">IF(H8="","",IF(H8&gt;=15,"RED",IF(H8&gt;=8,"AMBER","GREEN")))</f>
        <v/>
      </c>
      <c r="J8" s="25"/>
      <c r="K8" s="6"/>
      <c r="L8" s="6"/>
      <c r="M8" s="24"/>
      <c r="N8" s="6"/>
      <c r="O8" s="25"/>
      <c r="P8" s="6" t="str">
        <f aca="true">IF(J8="","",IF(N8="Closed",IF(O8="","",O8-J8),TODAY()-J8))</f>
        <v/>
      </c>
      <c r="Q8" s="6"/>
    </row>
    <row r="9" customFormat="false" ht="15" hidden="false" customHeight="true" outlineLevel="0" collapsed="false">
      <c r="A9" s="6"/>
      <c r="B9" s="6"/>
      <c r="C9" s="6"/>
      <c r="D9" s="24"/>
      <c r="E9" s="6"/>
      <c r="F9" s="6"/>
      <c r="G9" s="6"/>
      <c r="H9" s="6" t="str">
        <f aca="false">IF(OR(F9="",G9=""),"",F9*G9)</f>
        <v/>
      </c>
      <c r="I9" s="13" t="str">
        <f aca="false">IF(H9="","",IF(H9&gt;=15,"RED",IF(H9&gt;=8,"AMBER","GREEN")))</f>
        <v/>
      </c>
      <c r="J9" s="25"/>
      <c r="K9" s="6"/>
      <c r="L9" s="6"/>
      <c r="M9" s="24"/>
      <c r="N9" s="6"/>
      <c r="O9" s="25"/>
      <c r="P9" s="6" t="str">
        <f aca="true">IF(J9="","",IF(N9="Closed",IF(O9="","",O9-J9),TODAY()-J9))</f>
        <v/>
      </c>
      <c r="Q9" s="6"/>
    </row>
    <row r="10" customFormat="false" ht="15" hidden="false" customHeight="true" outlineLevel="0" collapsed="false">
      <c r="A10" s="6"/>
      <c r="B10" s="6"/>
      <c r="C10" s="6"/>
      <c r="D10" s="24"/>
      <c r="E10" s="6"/>
      <c r="F10" s="6"/>
      <c r="G10" s="6"/>
      <c r="H10" s="6" t="str">
        <f aca="false">IF(OR(F10="",G10=""),"",F10*G10)</f>
        <v/>
      </c>
      <c r="I10" s="13" t="str">
        <f aca="false">IF(H10="","",IF(H10&gt;=15,"RED",IF(H10&gt;=8,"AMBER","GREEN")))</f>
        <v/>
      </c>
      <c r="J10" s="25"/>
      <c r="K10" s="6"/>
      <c r="L10" s="6"/>
      <c r="M10" s="24"/>
      <c r="N10" s="6"/>
      <c r="O10" s="25"/>
      <c r="P10" s="6" t="str">
        <f aca="true">IF(J10="","",IF(N10="Closed",IF(O10="","",O10-J10),TODAY()-J10))</f>
        <v/>
      </c>
      <c r="Q10" s="6"/>
    </row>
    <row r="11" customFormat="false" ht="15" hidden="false" customHeight="true" outlineLevel="0" collapsed="false">
      <c r="A11" s="6"/>
      <c r="B11" s="6"/>
      <c r="C11" s="6"/>
      <c r="D11" s="24"/>
      <c r="E11" s="6"/>
      <c r="F11" s="6"/>
      <c r="G11" s="6"/>
      <c r="H11" s="6" t="str">
        <f aca="false">IF(OR(F11="",G11=""),"",F11*G11)</f>
        <v/>
      </c>
      <c r="I11" s="13" t="str">
        <f aca="false">IF(H11="","",IF(H11&gt;=15,"RED",IF(H11&gt;=8,"AMBER","GREEN")))</f>
        <v/>
      </c>
      <c r="J11" s="25"/>
      <c r="K11" s="6"/>
      <c r="L11" s="6"/>
      <c r="M11" s="24"/>
      <c r="N11" s="6"/>
      <c r="O11" s="25"/>
      <c r="P11" s="6" t="str">
        <f aca="true">IF(J11="","",IF(N11="Closed",IF(O11="","",O11-J11),TODAY()-J11))</f>
        <v/>
      </c>
      <c r="Q11" s="6"/>
    </row>
    <row r="12" customFormat="false" ht="15" hidden="false" customHeight="true" outlineLevel="0" collapsed="false">
      <c r="A12" s="6"/>
      <c r="B12" s="6"/>
      <c r="C12" s="6"/>
      <c r="D12" s="24"/>
      <c r="E12" s="6"/>
      <c r="F12" s="6"/>
      <c r="G12" s="6"/>
      <c r="H12" s="6" t="str">
        <f aca="false">IF(OR(F12="",G12=""),"",F12*G12)</f>
        <v/>
      </c>
      <c r="I12" s="13" t="str">
        <f aca="false">IF(H12="","",IF(H12&gt;=15,"RED",IF(H12&gt;=8,"AMBER","GREEN")))</f>
        <v/>
      </c>
      <c r="J12" s="25"/>
      <c r="K12" s="6"/>
      <c r="L12" s="6"/>
      <c r="M12" s="24"/>
      <c r="N12" s="6"/>
      <c r="O12" s="25"/>
      <c r="P12" s="6" t="str">
        <f aca="true">IF(J12="","",IF(N12="Closed",IF(O12="","",O12-J12),TODAY()-J12))</f>
        <v/>
      </c>
      <c r="Q12" s="6"/>
    </row>
    <row r="13" customFormat="false" ht="15" hidden="false" customHeight="true" outlineLevel="0" collapsed="false">
      <c r="A13" s="6"/>
      <c r="B13" s="6"/>
      <c r="C13" s="6"/>
      <c r="D13" s="24"/>
      <c r="E13" s="6"/>
      <c r="F13" s="6"/>
      <c r="G13" s="6"/>
      <c r="H13" s="6" t="str">
        <f aca="false">IF(OR(F13="",G13=""),"",F13*G13)</f>
        <v/>
      </c>
      <c r="I13" s="13" t="str">
        <f aca="false">IF(H13="","",IF(H13&gt;=15,"RED",IF(H13&gt;=8,"AMBER","GREEN")))</f>
        <v/>
      </c>
      <c r="J13" s="25"/>
      <c r="K13" s="6"/>
      <c r="L13" s="6"/>
      <c r="M13" s="24"/>
      <c r="N13" s="6"/>
      <c r="O13" s="25"/>
      <c r="P13" s="6" t="str">
        <f aca="true">IF(J13="","",IF(N13="Closed",IF(O13="","",O13-J13),TODAY()-J13))</f>
        <v/>
      </c>
      <c r="Q13" s="6"/>
    </row>
    <row r="14" customFormat="false" ht="15" hidden="false" customHeight="true" outlineLevel="0" collapsed="false">
      <c r="A14" s="6"/>
      <c r="B14" s="6"/>
      <c r="C14" s="6"/>
      <c r="D14" s="24"/>
      <c r="E14" s="6"/>
      <c r="F14" s="6"/>
      <c r="G14" s="6"/>
      <c r="H14" s="6" t="str">
        <f aca="false">IF(OR(F14="",G14=""),"",F14*G14)</f>
        <v/>
      </c>
      <c r="I14" s="13" t="str">
        <f aca="false">IF(H14="","",IF(H14&gt;=15,"RED",IF(H14&gt;=8,"AMBER","GREEN")))</f>
        <v/>
      </c>
      <c r="J14" s="25"/>
      <c r="K14" s="6"/>
      <c r="L14" s="6"/>
      <c r="M14" s="24"/>
      <c r="N14" s="6"/>
      <c r="O14" s="25"/>
      <c r="P14" s="6" t="str">
        <f aca="true">IF(J14="","",IF(N14="Closed",IF(O14="","",O14-J14),TODAY()-J14))</f>
        <v/>
      </c>
      <c r="Q14" s="6"/>
    </row>
    <row r="15" customFormat="false" ht="15" hidden="false" customHeight="true" outlineLevel="0" collapsed="false">
      <c r="A15" s="6"/>
      <c r="B15" s="6"/>
      <c r="C15" s="6"/>
      <c r="D15" s="24"/>
      <c r="E15" s="6"/>
      <c r="F15" s="6"/>
      <c r="G15" s="6"/>
      <c r="H15" s="6" t="str">
        <f aca="false">IF(OR(F15="",G15=""),"",F15*G15)</f>
        <v/>
      </c>
      <c r="I15" s="13" t="str">
        <f aca="false">IF(H15="","",IF(H15&gt;=15,"RED",IF(H15&gt;=8,"AMBER","GREEN")))</f>
        <v/>
      </c>
      <c r="J15" s="25"/>
      <c r="K15" s="6"/>
      <c r="L15" s="6"/>
      <c r="M15" s="24"/>
      <c r="N15" s="6"/>
      <c r="O15" s="25"/>
      <c r="P15" s="6" t="str">
        <f aca="true">IF(J15="","",IF(N15="Closed",IF(O15="","",O15-J15),TODAY()-J15))</f>
        <v/>
      </c>
      <c r="Q15" s="6"/>
    </row>
    <row r="16" customFormat="false" ht="15" hidden="false" customHeight="true" outlineLevel="0" collapsed="false">
      <c r="A16" s="6"/>
      <c r="B16" s="6"/>
      <c r="C16" s="6"/>
      <c r="D16" s="24"/>
      <c r="E16" s="6"/>
      <c r="F16" s="6"/>
      <c r="G16" s="6"/>
      <c r="H16" s="6" t="str">
        <f aca="false">IF(OR(F16="",G16=""),"",F16*G16)</f>
        <v/>
      </c>
      <c r="I16" s="13" t="str">
        <f aca="false">IF(H16="","",IF(H16&gt;=15,"RED",IF(H16&gt;=8,"AMBER","GREEN")))</f>
        <v/>
      </c>
      <c r="J16" s="25"/>
      <c r="K16" s="6"/>
      <c r="L16" s="6"/>
      <c r="M16" s="24"/>
      <c r="N16" s="6"/>
      <c r="O16" s="25"/>
      <c r="P16" s="6" t="str">
        <f aca="true">IF(J16="","",IF(N16="Closed",IF(O16="","",O16-J16),TODAY()-J16))</f>
        <v/>
      </c>
      <c r="Q16" s="6"/>
    </row>
    <row r="17" customFormat="false" ht="15" hidden="false" customHeight="true" outlineLevel="0" collapsed="false">
      <c r="A17" s="6"/>
      <c r="B17" s="6"/>
      <c r="C17" s="6"/>
      <c r="D17" s="24"/>
      <c r="E17" s="6"/>
      <c r="F17" s="6"/>
      <c r="G17" s="6"/>
      <c r="H17" s="6" t="str">
        <f aca="false">IF(OR(F17="",G17=""),"",F17*G17)</f>
        <v/>
      </c>
      <c r="I17" s="13" t="str">
        <f aca="false">IF(H17="","",IF(H17&gt;=15,"RED",IF(H17&gt;=8,"AMBER","GREEN")))</f>
        <v/>
      </c>
      <c r="J17" s="25"/>
      <c r="K17" s="6"/>
      <c r="L17" s="6"/>
      <c r="M17" s="24"/>
      <c r="N17" s="6"/>
      <c r="O17" s="25"/>
      <c r="P17" s="6" t="str">
        <f aca="true">IF(J17="","",IF(N17="Closed",IF(O17="","",O17-J17),TODAY()-J17))</f>
        <v/>
      </c>
      <c r="Q17" s="6"/>
    </row>
    <row r="18" customFormat="false" ht="15" hidden="false" customHeight="true" outlineLevel="0" collapsed="false">
      <c r="A18" s="6"/>
      <c r="B18" s="6"/>
      <c r="C18" s="6"/>
      <c r="D18" s="24"/>
      <c r="E18" s="6"/>
      <c r="F18" s="6"/>
      <c r="G18" s="6"/>
      <c r="H18" s="6" t="str">
        <f aca="false">IF(OR(F18="",G18=""),"",F18*G18)</f>
        <v/>
      </c>
      <c r="I18" s="13" t="str">
        <f aca="false">IF(H18="","",IF(H18&gt;=15,"RED",IF(H18&gt;=8,"AMBER","GREEN")))</f>
        <v/>
      </c>
      <c r="J18" s="25"/>
      <c r="K18" s="6"/>
      <c r="L18" s="6"/>
      <c r="M18" s="24"/>
      <c r="N18" s="6"/>
      <c r="O18" s="25"/>
      <c r="P18" s="6" t="str">
        <f aca="true">IF(J18="","",IF(N18="Closed",IF(O18="","",O18-J18),TODAY()-J18))</f>
        <v/>
      </c>
      <c r="Q18" s="6"/>
    </row>
    <row r="19" customFormat="false" ht="15" hidden="false" customHeight="true" outlineLevel="0" collapsed="false">
      <c r="A19" s="6"/>
      <c r="B19" s="6"/>
      <c r="C19" s="6"/>
      <c r="D19" s="24"/>
      <c r="E19" s="6"/>
      <c r="F19" s="6"/>
      <c r="G19" s="6"/>
      <c r="H19" s="6" t="str">
        <f aca="false">IF(OR(F19="",G19=""),"",F19*G19)</f>
        <v/>
      </c>
      <c r="I19" s="13" t="str">
        <f aca="false">IF(H19="","",IF(H19&gt;=15,"RED",IF(H19&gt;=8,"AMBER","GREEN")))</f>
        <v/>
      </c>
      <c r="J19" s="25"/>
      <c r="K19" s="6"/>
      <c r="L19" s="6"/>
      <c r="M19" s="24"/>
      <c r="N19" s="6"/>
      <c r="O19" s="25"/>
      <c r="P19" s="6" t="str">
        <f aca="true">IF(J19="","",IF(N19="Closed",IF(O19="","",O19-J19),TODAY()-J19))</f>
        <v/>
      </c>
      <c r="Q19" s="6"/>
    </row>
    <row r="20" customFormat="false" ht="15" hidden="false" customHeight="true" outlineLevel="0" collapsed="false">
      <c r="A20" s="6"/>
      <c r="B20" s="6"/>
      <c r="C20" s="6"/>
      <c r="D20" s="24"/>
      <c r="E20" s="6"/>
      <c r="F20" s="6"/>
      <c r="G20" s="6"/>
      <c r="H20" s="6" t="str">
        <f aca="false">IF(OR(F20="",G20=""),"",F20*G20)</f>
        <v/>
      </c>
      <c r="I20" s="13" t="str">
        <f aca="false">IF(H20="","",IF(H20&gt;=15,"RED",IF(H20&gt;=8,"AMBER","GREEN")))</f>
        <v/>
      </c>
      <c r="J20" s="25"/>
      <c r="K20" s="6"/>
      <c r="L20" s="6"/>
      <c r="M20" s="24"/>
      <c r="N20" s="6"/>
      <c r="O20" s="25"/>
      <c r="P20" s="6" t="str">
        <f aca="true">IF(J20="","",IF(N20="Closed",IF(O20="","",O20-J20),TODAY()-J20))</f>
        <v/>
      </c>
      <c r="Q20" s="6"/>
    </row>
    <row r="21" customFormat="false" ht="15" hidden="false" customHeight="true" outlineLevel="0" collapsed="false">
      <c r="A21" s="6"/>
      <c r="B21" s="6"/>
      <c r="C21" s="6"/>
      <c r="D21" s="24"/>
      <c r="E21" s="6"/>
      <c r="F21" s="6"/>
      <c r="G21" s="6"/>
      <c r="H21" s="6" t="str">
        <f aca="false">IF(OR(F21="",G21=""),"",F21*G21)</f>
        <v/>
      </c>
      <c r="I21" s="13" t="str">
        <f aca="false">IF(H21="","",IF(H21&gt;=15,"RED",IF(H21&gt;=8,"AMBER","GREEN")))</f>
        <v/>
      </c>
      <c r="J21" s="25"/>
      <c r="K21" s="6"/>
      <c r="L21" s="6"/>
      <c r="M21" s="24"/>
      <c r="N21" s="6"/>
      <c r="O21" s="25"/>
      <c r="P21" s="6" t="str">
        <f aca="true">IF(J21="","",IF(N21="Closed",IF(O21="","",O21-J21),TODAY()-J21))</f>
        <v/>
      </c>
      <c r="Q21" s="6"/>
    </row>
    <row r="22" customFormat="false" ht="15" hidden="false" customHeight="true" outlineLevel="0" collapsed="false">
      <c r="A22" s="6"/>
      <c r="B22" s="6"/>
      <c r="C22" s="6"/>
      <c r="D22" s="24"/>
      <c r="E22" s="6"/>
      <c r="F22" s="6"/>
      <c r="G22" s="6"/>
      <c r="H22" s="6" t="str">
        <f aca="false">IF(OR(F22="",G22=""),"",F22*G22)</f>
        <v/>
      </c>
      <c r="I22" s="13" t="str">
        <f aca="false">IF(H22="","",IF(H22&gt;=15,"RED",IF(H22&gt;=8,"AMBER","GREEN")))</f>
        <v/>
      </c>
      <c r="J22" s="25"/>
      <c r="K22" s="6"/>
      <c r="L22" s="6"/>
      <c r="M22" s="24"/>
      <c r="N22" s="6"/>
      <c r="O22" s="25"/>
      <c r="P22" s="6" t="str">
        <f aca="true">IF(J22="","",IF(N22="Closed",IF(O22="","",O22-J22),TODAY()-J22))</f>
        <v/>
      </c>
      <c r="Q22" s="6"/>
    </row>
    <row r="23" customFormat="false" ht="15" hidden="false" customHeight="true" outlineLevel="0" collapsed="false">
      <c r="A23" s="6"/>
      <c r="B23" s="6"/>
      <c r="C23" s="6"/>
      <c r="D23" s="24"/>
      <c r="E23" s="6"/>
      <c r="F23" s="6"/>
      <c r="G23" s="6"/>
      <c r="H23" s="6" t="str">
        <f aca="false">IF(OR(F23="",G23=""),"",F23*G23)</f>
        <v/>
      </c>
      <c r="I23" s="13" t="str">
        <f aca="false">IF(H23="","",IF(H23&gt;=15,"RED",IF(H23&gt;=8,"AMBER","GREEN")))</f>
        <v/>
      </c>
      <c r="J23" s="25"/>
      <c r="K23" s="6"/>
      <c r="L23" s="6"/>
      <c r="M23" s="24"/>
      <c r="N23" s="6"/>
      <c r="O23" s="25"/>
      <c r="P23" s="6" t="str">
        <f aca="true">IF(J23="","",IF(N23="Closed",IF(O23="","",O23-J23),TODAY()-J23))</f>
        <v/>
      </c>
      <c r="Q23" s="6"/>
    </row>
    <row r="24" customFormat="false" ht="15" hidden="false" customHeight="true" outlineLevel="0" collapsed="false">
      <c r="A24" s="6"/>
      <c r="B24" s="6"/>
      <c r="C24" s="6"/>
      <c r="D24" s="24"/>
      <c r="E24" s="6"/>
      <c r="F24" s="6"/>
      <c r="G24" s="6"/>
      <c r="H24" s="6" t="str">
        <f aca="false">IF(OR(F24="",G24=""),"",F24*G24)</f>
        <v/>
      </c>
      <c r="I24" s="13" t="str">
        <f aca="false">IF(H24="","",IF(H24&gt;=15,"RED",IF(H24&gt;=8,"AMBER","GREEN")))</f>
        <v/>
      </c>
      <c r="J24" s="25"/>
      <c r="K24" s="6"/>
      <c r="L24" s="6"/>
      <c r="M24" s="24"/>
      <c r="N24" s="6"/>
      <c r="O24" s="25"/>
      <c r="P24" s="6" t="str">
        <f aca="true">IF(J24="","",IF(N24="Closed",IF(O24="","",O24-J24),TODAY()-J24))</f>
        <v/>
      </c>
      <c r="Q24" s="6"/>
    </row>
    <row r="25" customFormat="false" ht="15" hidden="false" customHeight="true" outlineLevel="0" collapsed="false">
      <c r="A25" s="6"/>
      <c r="B25" s="6"/>
      <c r="C25" s="6"/>
      <c r="D25" s="24"/>
      <c r="E25" s="6"/>
      <c r="F25" s="6"/>
      <c r="G25" s="6"/>
      <c r="H25" s="6" t="str">
        <f aca="false">IF(OR(F25="",G25=""),"",F25*G25)</f>
        <v/>
      </c>
      <c r="I25" s="13" t="str">
        <f aca="false">IF(H25="","",IF(H25&gt;=15,"RED",IF(H25&gt;=8,"AMBER","GREEN")))</f>
        <v/>
      </c>
      <c r="J25" s="25"/>
      <c r="K25" s="6"/>
      <c r="L25" s="6"/>
      <c r="M25" s="24"/>
      <c r="N25" s="6"/>
      <c r="O25" s="25"/>
      <c r="P25" s="6" t="str">
        <f aca="true">IF(J25="","",IF(N25="Closed",IF(O25="","",O25-J25),TODAY()-J25))</f>
        <v/>
      </c>
      <c r="Q25" s="6"/>
    </row>
    <row r="26" customFormat="false" ht="15" hidden="false" customHeight="true" outlineLevel="0" collapsed="false">
      <c r="A26" s="6"/>
      <c r="B26" s="6"/>
      <c r="C26" s="6"/>
      <c r="D26" s="24"/>
      <c r="E26" s="6"/>
      <c r="F26" s="6"/>
      <c r="G26" s="6"/>
      <c r="H26" s="6" t="str">
        <f aca="false">IF(OR(F26="",G26=""),"",F26*G26)</f>
        <v/>
      </c>
      <c r="I26" s="13" t="str">
        <f aca="false">IF(H26="","",IF(H26&gt;=15,"RED",IF(H26&gt;=8,"AMBER","GREEN")))</f>
        <v/>
      </c>
      <c r="J26" s="25"/>
      <c r="K26" s="6"/>
      <c r="L26" s="6"/>
      <c r="M26" s="24"/>
      <c r="N26" s="6"/>
      <c r="O26" s="25"/>
      <c r="P26" s="6" t="str">
        <f aca="true">IF(J26="","",IF(N26="Closed",IF(O26="","",O26-J26),TODAY()-J26))</f>
        <v/>
      </c>
      <c r="Q26" s="6"/>
    </row>
    <row r="27" customFormat="false" ht="15" hidden="false" customHeight="true" outlineLevel="0" collapsed="false">
      <c r="A27" s="6"/>
      <c r="B27" s="6"/>
      <c r="C27" s="6"/>
      <c r="D27" s="24"/>
      <c r="E27" s="6"/>
      <c r="F27" s="6"/>
      <c r="G27" s="6"/>
      <c r="H27" s="6" t="str">
        <f aca="false">IF(OR(F27="",G27=""),"",F27*G27)</f>
        <v/>
      </c>
      <c r="I27" s="13" t="str">
        <f aca="false">IF(H27="","",IF(H27&gt;=15,"RED",IF(H27&gt;=8,"AMBER","GREEN")))</f>
        <v/>
      </c>
      <c r="J27" s="25"/>
      <c r="K27" s="6"/>
      <c r="L27" s="6"/>
      <c r="M27" s="24"/>
      <c r="N27" s="6"/>
      <c r="O27" s="25"/>
      <c r="P27" s="6" t="str">
        <f aca="true">IF(J27="","",IF(N27="Closed",IF(O27="","",O27-J27),TODAY()-J27))</f>
        <v/>
      </c>
      <c r="Q27" s="6"/>
    </row>
    <row r="28" customFormat="false" ht="15" hidden="false" customHeight="true" outlineLevel="0" collapsed="false">
      <c r="A28" s="6"/>
      <c r="B28" s="6"/>
      <c r="C28" s="6"/>
      <c r="D28" s="24"/>
      <c r="E28" s="6"/>
      <c r="F28" s="6"/>
      <c r="G28" s="6"/>
      <c r="H28" s="6" t="str">
        <f aca="false">IF(OR(F28="",G28=""),"",F28*G28)</f>
        <v/>
      </c>
      <c r="I28" s="13" t="str">
        <f aca="false">IF(H28="","",IF(H28&gt;=15,"RED",IF(H28&gt;=8,"AMBER","GREEN")))</f>
        <v/>
      </c>
      <c r="J28" s="25"/>
      <c r="K28" s="6"/>
      <c r="L28" s="6"/>
      <c r="M28" s="24"/>
      <c r="N28" s="6"/>
      <c r="O28" s="25"/>
      <c r="P28" s="6" t="str">
        <f aca="true">IF(J28="","",IF(N28="Closed",IF(O28="","",O28-J28),TODAY()-J28))</f>
        <v/>
      </c>
      <c r="Q28" s="6"/>
    </row>
    <row r="29" customFormat="false" ht="15" hidden="false" customHeight="true" outlineLevel="0" collapsed="false">
      <c r="A29" s="6"/>
      <c r="B29" s="6"/>
      <c r="C29" s="6"/>
      <c r="D29" s="24"/>
      <c r="E29" s="6"/>
      <c r="F29" s="6"/>
      <c r="G29" s="6"/>
      <c r="H29" s="6" t="str">
        <f aca="false">IF(OR(F29="",G29=""),"",F29*G29)</f>
        <v/>
      </c>
      <c r="I29" s="13" t="str">
        <f aca="false">IF(H29="","",IF(H29&gt;=15,"RED",IF(H29&gt;=8,"AMBER","GREEN")))</f>
        <v/>
      </c>
      <c r="J29" s="25"/>
      <c r="K29" s="6"/>
      <c r="L29" s="6"/>
      <c r="M29" s="24"/>
      <c r="N29" s="6"/>
      <c r="O29" s="25"/>
      <c r="P29" s="6" t="str">
        <f aca="true">IF(J29="","",IF(N29="Closed",IF(O29="","",O29-J29),TODAY()-J29))</f>
        <v/>
      </c>
      <c r="Q29" s="6"/>
    </row>
    <row r="30" customFormat="false" ht="15" hidden="false" customHeight="true" outlineLevel="0" collapsed="false">
      <c r="A30" s="6"/>
      <c r="B30" s="6"/>
      <c r="C30" s="6"/>
      <c r="D30" s="24"/>
      <c r="E30" s="6"/>
      <c r="F30" s="6"/>
      <c r="G30" s="6"/>
      <c r="H30" s="6" t="str">
        <f aca="false">IF(OR(F30="",G30=""),"",F30*G30)</f>
        <v/>
      </c>
      <c r="I30" s="13" t="str">
        <f aca="false">IF(H30="","",IF(H30&gt;=15,"RED",IF(H30&gt;=8,"AMBER","GREEN")))</f>
        <v/>
      </c>
      <c r="J30" s="25"/>
      <c r="K30" s="6"/>
      <c r="L30" s="6"/>
      <c r="M30" s="24"/>
      <c r="N30" s="6"/>
      <c r="O30" s="25"/>
      <c r="P30" s="6" t="str">
        <f aca="true">IF(J30="","",IF(N30="Closed",IF(O30="","",O30-J30),TODAY()-J30))</f>
        <v/>
      </c>
      <c r="Q30" s="6"/>
    </row>
    <row r="31" customFormat="false" ht="15" hidden="false" customHeight="true" outlineLevel="0" collapsed="false">
      <c r="A31" s="6"/>
      <c r="B31" s="6"/>
      <c r="C31" s="6"/>
      <c r="D31" s="24"/>
      <c r="E31" s="6"/>
      <c r="F31" s="6"/>
      <c r="G31" s="6"/>
      <c r="H31" s="6" t="str">
        <f aca="false">IF(OR(F31="",G31=""),"",F31*G31)</f>
        <v/>
      </c>
      <c r="I31" s="13" t="str">
        <f aca="false">IF(H31="","",IF(H31&gt;=15,"RED",IF(H31&gt;=8,"AMBER","GREEN")))</f>
        <v/>
      </c>
      <c r="J31" s="25"/>
      <c r="K31" s="6"/>
      <c r="L31" s="6"/>
      <c r="M31" s="24"/>
      <c r="N31" s="6"/>
      <c r="O31" s="25"/>
      <c r="P31" s="6" t="str">
        <f aca="true">IF(J31="","",IF(N31="Closed",IF(O31="","",O31-J31),TODAY()-J31))</f>
        <v/>
      </c>
      <c r="Q31" s="6"/>
    </row>
    <row r="32" customFormat="false" ht="15" hidden="false" customHeight="true" outlineLevel="0" collapsed="false">
      <c r="A32" s="6"/>
      <c r="B32" s="6"/>
      <c r="C32" s="6"/>
      <c r="D32" s="24"/>
      <c r="E32" s="6"/>
      <c r="F32" s="6"/>
      <c r="G32" s="6"/>
      <c r="H32" s="6" t="str">
        <f aca="false">IF(OR(F32="",G32=""),"",F32*G32)</f>
        <v/>
      </c>
      <c r="I32" s="13" t="str">
        <f aca="false">IF(H32="","",IF(H32&gt;=15,"RED",IF(H32&gt;=8,"AMBER","GREEN")))</f>
        <v/>
      </c>
      <c r="J32" s="25"/>
      <c r="K32" s="6"/>
      <c r="L32" s="6"/>
      <c r="M32" s="24"/>
      <c r="N32" s="6"/>
      <c r="O32" s="25"/>
      <c r="P32" s="6" t="str">
        <f aca="true">IF(J32="","",IF(N32="Closed",IF(O32="","",O32-J32),TODAY()-J32))</f>
        <v/>
      </c>
      <c r="Q32" s="6"/>
    </row>
    <row r="33" customFormat="false" ht="15" hidden="false" customHeight="true" outlineLevel="0" collapsed="false">
      <c r="A33" s="6"/>
      <c r="B33" s="6"/>
      <c r="C33" s="6"/>
      <c r="D33" s="24"/>
      <c r="E33" s="6"/>
      <c r="F33" s="6"/>
      <c r="G33" s="6"/>
      <c r="H33" s="6" t="str">
        <f aca="false">IF(OR(F33="",G33=""),"",F33*G33)</f>
        <v/>
      </c>
      <c r="I33" s="13" t="str">
        <f aca="false">IF(H33="","",IF(H33&gt;=15,"RED",IF(H33&gt;=8,"AMBER","GREEN")))</f>
        <v/>
      </c>
      <c r="J33" s="25"/>
      <c r="K33" s="6"/>
      <c r="L33" s="6"/>
      <c r="M33" s="24"/>
      <c r="N33" s="6"/>
      <c r="O33" s="25"/>
      <c r="P33" s="6" t="str">
        <f aca="true">IF(J33="","",IF(N33="Closed",IF(O33="","",O33-J33),TODAY()-J33))</f>
        <v/>
      </c>
      <c r="Q33" s="6"/>
    </row>
    <row r="34" customFormat="false" ht="15" hidden="false" customHeight="true" outlineLevel="0" collapsed="false">
      <c r="A34" s="6"/>
      <c r="B34" s="6"/>
      <c r="C34" s="6"/>
      <c r="D34" s="24"/>
      <c r="E34" s="6"/>
      <c r="F34" s="6"/>
      <c r="G34" s="6"/>
      <c r="H34" s="6" t="str">
        <f aca="false">IF(OR(F34="",G34=""),"",F34*G34)</f>
        <v/>
      </c>
      <c r="I34" s="13" t="str">
        <f aca="false">IF(H34="","",IF(H34&gt;=15,"RED",IF(H34&gt;=8,"AMBER","GREEN")))</f>
        <v/>
      </c>
      <c r="J34" s="25"/>
      <c r="K34" s="6"/>
      <c r="L34" s="6"/>
      <c r="M34" s="24"/>
      <c r="N34" s="6"/>
      <c r="O34" s="25"/>
      <c r="P34" s="6" t="str">
        <f aca="true">IF(J34="","",IF(N34="Closed",IF(O34="","",O34-J34),TODAY()-J34))</f>
        <v/>
      </c>
      <c r="Q34" s="6"/>
    </row>
    <row r="35" customFormat="false" ht="15" hidden="false" customHeight="true" outlineLevel="0" collapsed="false">
      <c r="A35" s="6"/>
      <c r="B35" s="6"/>
      <c r="C35" s="6"/>
      <c r="D35" s="24"/>
      <c r="E35" s="6"/>
      <c r="F35" s="6"/>
      <c r="G35" s="6"/>
      <c r="H35" s="6" t="str">
        <f aca="false">IF(OR(F35="",G35=""),"",F35*G35)</f>
        <v/>
      </c>
      <c r="I35" s="13" t="str">
        <f aca="false">IF(H35="","",IF(H35&gt;=15,"RED",IF(H35&gt;=8,"AMBER","GREEN")))</f>
        <v/>
      </c>
      <c r="J35" s="25"/>
      <c r="K35" s="6"/>
      <c r="L35" s="6"/>
      <c r="M35" s="24"/>
      <c r="N35" s="6"/>
      <c r="O35" s="25"/>
      <c r="P35" s="6" t="str">
        <f aca="true">IF(J35="","",IF(N35="Closed",IF(O35="","",O35-J35),TODAY()-J35))</f>
        <v/>
      </c>
      <c r="Q35" s="6"/>
    </row>
    <row r="36" customFormat="false" ht="15" hidden="false" customHeight="true" outlineLevel="0" collapsed="false">
      <c r="A36" s="6"/>
      <c r="B36" s="6"/>
      <c r="C36" s="6"/>
      <c r="D36" s="24"/>
      <c r="E36" s="6"/>
      <c r="F36" s="6"/>
      <c r="G36" s="6"/>
      <c r="H36" s="6" t="str">
        <f aca="false">IF(OR(F36="",G36=""),"",F36*G36)</f>
        <v/>
      </c>
      <c r="I36" s="13" t="str">
        <f aca="false">IF(H36="","",IF(H36&gt;=15,"RED",IF(H36&gt;=8,"AMBER","GREEN")))</f>
        <v/>
      </c>
      <c r="J36" s="25"/>
      <c r="K36" s="6"/>
      <c r="L36" s="6"/>
      <c r="M36" s="24"/>
      <c r="N36" s="6"/>
      <c r="O36" s="25"/>
      <c r="P36" s="6" t="str">
        <f aca="true">IF(J36="","",IF(N36="Closed",IF(O36="","",O36-J36),TODAY()-J36))</f>
        <v/>
      </c>
      <c r="Q36" s="6"/>
    </row>
    <row r="37" customFormat="false" ht="15" hidden="false" customHeight="true" outlineLevel="0" collapsed="false">
      <c r="A37" s="6"/>
      <c r="B37" s="6"/>
      <c r="C37" s="6"/>
      <c r="D37" s="24"/>
      <c r="E37" s="6"/>
      <c r="F37" s="6"/>
      <c r="G37" s="6"/>
      <c r="H37" s="6" t="str">
        <f aca="false">IF(OR(F37="",G37=""),"",F37*G37)</f>
        <v/>
      </c>
      <c r="I37" s="13" t="str">
        <f aca="false">IF(H37="","",IF(H37&gt;=15,"RED",IF(H37&gt;=8,"AMBER","GREEN")))</f>
        <v/>
      </c>
      <c r="J37" s="25"/>
      <c r="K37" s="6"/>
      <c r="L37" s="6"/>
      <c r="M37" s="24"/>
      <c r="N37" s="6"/>
      <c r="O37" s="25"/>
      <c r="P37" s="6" t="str">
        <f aca="true">IF(J37="","",IF(N37="Closed",IF(O37="","",O37-J37),TODAY()-J37))</f>
        <v/>
      </c>
      <c r="Q37" s="6"/>
    </row>
    <row r="38" customFormat="false" ht="15" hidden="false" customHeight="true" outlineLevel="0" collapsed="false">
      <c r="A38" s="6"/>
      <c r="B38" s="6"/>
      <c r="C38" s="6"/>
      <c r="D38" s="24"/>
      <c r="E38" s="6"/>
      <c r="F38" s="6"/>
      <c r="G38" s="6"/>
      <c r="H38" s="6" t="str">
        <f aca="false">IF(OR(F38="",G38=""),"",F38*G38)</f>
        <v/>
      </c>
      <c r="I38" s="13" t="str">
        <f aca="false">IF(H38="","",IF(H38&gt;=15,"RED",IF(H38&gt;=8,"AMBER","GREEN")))</f>
        <v/>
      </c>
      <c r="J38" s="25"/>
      <c r="K38" s="6"/>
      <c r="L38" s="6"/>
      <c r="M38" s="24"/>
      <c r="N38" s="6"/>
      <c r="O38" s="25"/>
      <c r="P38" s="6" t="str">
        <f aca="true">IF(J38="","",IF(N38="Closed",IF(O38="","",O38-J38),TODAY()-J38))</f>
        <v/>
      </c>
      <c r="Q38" s="6"/>
    </row>
    <row r="39" customFormat="false" ht="15" hidden="false" customHeight="true" outlineLevel="0" collapsed="false">
      <c r="A39" s="6"/>
      <c r="B39" s="6"/>
      <c r="C39" s="6"/>
      <c r="D39" s="24"/>
      <c r="E39" s="6"/>
      <c r="F39" s="6"/>
      <c r="G39" s="6"/>
      <c r="H39" s="6" t="str">
        <f aca="false">IF(OR(F39="",G39=""),"",F39*G39)</f>
        <v/>
      </c>
      <c r="I39" s="13" t="str">
        <f aca="false">IF(H39="","",IF(H39&gt;=15,"RED",IF(H39&gt;=8,"AMBER","GREEN")))</f>
        <v/>
      </c>
      <c r="J39" s="25"/>
      <c r="K39" s="6"/>
      <c r="L39" s="6"/>
      <c r="M39" s="24"/>
      <c r="N39" s="6"/>
      <c r="O39" s="25"/>
      <c r="P39" s="6" t="str">
        <f aca="true">IF(J39="","",IF(N39="Closed",IF(O39="","",O39-J39),TODAY()-J39))</f>
        <v/>
      </c>
      <c r="Q39" s="6"/>
    </row>
    <row r="40" customFormat="false" ht="15" hidden="false" customHeight="true" outlineLevel="0" collapsed="false">
      <c r="A40" s="6"/>
      <c r="B40" s="6"/>
      <c r="C40" s="6"/>
      <c r="D40" s="24"/>
      <c r="E40" s="6"/>
      <c r="F40" s="6"/>
      <c r="G40" s="6"/>
      <c r="H40" s="6" t="str">
        <f aca="false">IF(OR(F40="",G40=""),"",F40*G40)</f>
        <v/>
      </c>
      <c r="I40" s="13" t="str">
        <f aca="false">IF(H40="","",IF(H40&gt;=15,"RED",IF(H40&gt;=8,"AMBER","GREEN")))</f>
        <v/>
      </c>
      <c r="J40" s="25"/>
      <c r="K40" s="6"/>
      <c r="L40" s="6"/>
      <c r="M40" s="24"/>
      <c r="N40" s="6"/>
      <c r="O40" s="25"/>
      <c r="P40" s="6" t="str">
        <f aca="true">IF(J40="","",IF(N40="Closed",IF(O40="","",O40-J40),TODAY()-J40))</f>
        <v/>
      </c>
      <c r="Q40" s="6"/>
    </row>
    <row r="41" customFormat="false" ht="15" hidden="false" customHeight="true" outlineLevel="0" collapsed="false">
      <c r="A41" s="6"/>
      <c r="B41" s="6"/>
      <c r="C41" s="6"/>
      <c r="D41" s="24"/>
      <c r="E41" s="6"/>
      <c r="F41" s="6"/>
      <c r="G41" s="6"/>
      <c r="H41" s="6" t="str">
        <f aca="false">IF(OR(F41="",G41=""),"",F41*G41)</f>
        <v/>
      </c>
      <c r="I41" s="13" t="str">
        <f aca="false">IF(H41="","",IF(H41&gt;=15,"RED",IF(H41&gt;=8,"AMBER","GREEN")))</f>
        <v/>
      </c>
      <c r="J41" s="25"/>
      <c r="K41" s="6"/>
      <c r="L41" s="6"/>
      <c r="M41" s="24"/>
      <c r="N41" s="6"/>
      <c r="O41" s="25"/>
      <c r="P41" s="6" t="str">
        <f aca="true">IF(J41="","",IF(N41="Closed",IF(O41="","",O41-J41),TODAY()-J41))</f>
        <v/>
      </c>
      <c r="Q41" s="6"/>
    </row>
    <row r="42" customFormat="false" ht="15" hidden="false" customHeight="true" outlineLevel="0" collapsed="false">
      <c r="A42" s="6"/>
      <c r="B42" s="6"/>
      <c r="C42" s="6"/>
      <c r="D42" s="24"/>
      <c r="E42" s="6"/>
      <c r="F42" s="6"/>
      <c r="G42" s="6"/>
      <c r="H42" s="6" t="str">
        <f aca="false">IF(OR(F42="",G42=""),"",F42*G42)</f>
        <v/>
      </c>
      <c r="I42" s="13" t="str">
        <f aca="false">IF(H42="","",IF(H42&gt;=15,"RED",IF(H42&gt;=8,"AMBER","GREEN")))</f>
        <v/>
      </c>
      <c r="J42" s="25"/>
      <c r="K42" s="6"/>
      <c r="L42" s="6"/>
      <c r="M42" s="24"/>
      <c r="N42" s="6"/>
      <c r="O42" s="25"/>
      <c r="P42" s="6" t="str">
        <f aca="true">IF(J42="","",IF(N42="Closed",IF(O42="","",O42-J42),TODAY()-J42))</f>
        <v/>
      </c>
      <c r="Q42" s="6"/>
    </row>
    <row r="43" customFormat="false" ht="15" hidden="false" customHeight="true" outlineLevel="0" collapsed="false">
      <c r="A43" s="6"/>
      <c r="B43" s="6"/>
      <c r="C43" s="6"/>
      <c r="D43" s="24"/>
      <c r="E43" s="6"/>
      <c r="F43" s="6"/>
      <c r="G43" s="6"/>
      <c r="H43" s="6" t="str">
        <f aca="false">IF(OR(F43="",G43=""),"",F43*G43)</f>
        <v/>
      </c>
      <c r="I43" s="13" t="str">
        <f aca="false">IF(H43="","",IF(H43&gt;=15,"RED",IF(H43&gt;=8,"AMBER","GREEN")))</f>
        <v/>
      </c>
      <c r="J43" s="25"/>
      <c r="K43" s="6"/>
      <c r="L43" s="6"/>
      <c r="M43" s="24"/>
      <c r="N43" s="6"/>
      <c r="O43" s="25"/>
      <c r="P43" s="6" t="str">
        <f aca="true">IF(J43="","",IF(N43="Closed",IF(O43="","",O43-J43),TODAY()-J43))</f>
        <v/>
      </c>
      <c r="Q43" s="6"/>
    </row>
    <row r="44" customFormat="false" ht="15" hidden="false" customHeight="true" outlineLevel="0" collapsed="false">
      <c r="A44" s="6"/>
      <c r="B44" s="6"/>
      <c r="C44" s="6"/>
      <c r="D44" s="24"/>
      <c r="E44" s="6"/>
      <c r="F44" s="6"/>
      <c r="G44" s="6"/>
      <c r="H44" s="6" t="str">
        <f aca="false">IF(OR(F44="",G44=""),"",F44*G44)</f>
        <v/>
      </c>
      <c r="I44" s="13" t="str">
        <f aca="false">IF(H44="","",IF(H44&gt;=15,"RED",IF(H44&gt;=8,"AMBER","GREEN")))</f>
        <v/>
      </c>
      <c r="J44" s="25"/>
      <c r="K44" s="6"/>
      <c r="L44" s="6"/>
      <c r="M44" s="24"/>
      <c r="N44" s="6"/>
      <c r="O44" s="25"/>
      <c r="P44" s="6" t="str">
        <f aca="true">IF(J44="","",IF(N44="Closed",IF(O44="","",O44-J44),TODAY()-J44))</f>
        <v/>
      </c>
      <c r="Q44" s="6"/>
    </row>
    <row r="45" customFormat="false" ht="15" hidden="false" customHeight="true" outlineLevel="0" collapsed="false">
      <c r="A45" s="6"/>
      <c r="B45" s="6"/>
      <c r="C45" s="6"/>
      <c r="D45" s="24"/>
      <c r="E45" s="6"/>
      <c r="F45" s="6"/>
      <c r="G45" s="6"/>
      <c r="H45" s="6" t="str">
        <f aca="false">IF(OR(F45="",G45=""),"",F45*G45)</f>
        <v/>
      </c>
      <c r="I45" s="13" t="str">
        <f aca="false">IF(H45="","",IF(H45&gt;=15,"RED",IF(H45&gt;=8,"AMBER","GREEN")))</f>
        <v/>
      </c>
      <c r="J45" s="25"/>
      <c r="K45" s="6"/>
      <c r="L45" s="6"/>
      <c r="M45" s="24"/>
      <c r="N45" s="6"/>
      <c r="O45" s="25"/>
      <c r="P45" s="6" t="str">
        <f aca="true">IF(J45="","",IF(N45="Closed",IF(O45="","",O45-J45),TODAY()-J45))</f>
        <v/>
      </c>
      <c r="Q45" s="6"/>
    </row>
    <row r="46" customFormat="false" ht="15" hidden="false" customHeight="true" outlineLevel="0" collapsed="false">
      <c r="A46" s="6"/>
      <c r="B46" s="6"/>
      <c r="C46" s="6"/>
      <c r="D46" s="24"/>
      <c r="E46" s="6"/>
      <c r="F46" s="6"/>
      <c r="G46" s="6"/>
      <c r="H46" s="6" t="str">
        <f aca="false">IF(OR(F46="",G46=""),"",F46*G46)</f>
        <v/>
      </c>
      <c r="I46" s="13" t="str">
        <f aca="false">IF(H46="","",IF(H46&gt;=15,"RED",IF(H46&gt;=8,"AMBER","GREEN")))</f>
        <v/>
      </c>
      <c r="J46" s="25"/>
      <c r="K46" s="6"/>
      <c r="L46" s="6"/>
      <c r="M46" s="24"/>
      <c r="N46" s="6"/>
      <c r="O46" s="25"/>
      <c r="P46" s="6" t="str">
        <f aca="true">IF(J46="","",IF(N46="Closed",IF(O46="","",O46-J46),TODAY()-J46))</f>
        <v/>
      </c>
      <c r="Q46" s="6"/>
    </row>
    <row r="47" customFormat="false" ht="15" hidden="false" customHeight="true" outlineLevel="0" collapsed="false">
      <c r="A47" s="6"/>
      <c r="B47" s="6"/>
      <c r="C47" s="6"/>
      <c r="D47" s="24"/>
      <c r="E47" s="6"/>
      <c r="F47" s="6"/>
      <c r="G47" s="6"/>
      <c r="H47" s="6" t="str">
        <f aca="false">IF(OR(F47="",G47=""),"",F47*G47)</f>
        <v/>
      </c>
      <c r="I47" s="13" t="str">
        <f aca="false">IF(H47="","",IF(H47&gt;=15,"RED",IF(H47&gt;=8,"AMBER","GREEN")))</f>
        <v/>
      </c>
      <c r="J47" s="25"/>
      <c r="K47" s="6"/>
      <c r="L47" s="6"/>
      <c r="M47" s="24"/>
      <c r="N47" s="6"/>
      <c r="O47" s="25"/>
      <c r="P47" s="6" t="str">
        <f aca="true">IF(J47="","",IF(N47="Closed",IF(O47="","",O47-J47),TODAY()-J47))</f>
        <v/>
      </c>
      <c r="Q47" s="6"/>
    </row>
    <row r="48" customFormat="false" ht="15" hidden="false" customHeight="true" outlineLevel="0" collapsed="false">
      <c r="A48" s="6"/>
      <c r="B48" s="6"/>
      <c r="C48" s="6"/>
      <c r="D48" s="24"/>
      <c r="E48" s="6"/>
      <c r="F48" s="6"/>
      <c r="G48" s="6"/>
      <c r="H48" s="6" t="str">
        <f aca="false">IF(OR(F48="",G48=""),"",F48*G48)</f>
        <v/>
      </c>
      <c r="I48" s="13" t="str">
        <f aca="false">IF(H48="","",IF(H48&gt;=15,"RED",IF(H48&gt;=8,"AMBER","GREEN")))</f>
        <v/>
      </c>
      <c r="J48" s="25"/>
      <c r="K48" s="6"/>
      <c r="L48" s="6"/>
      <c r="M48" s="24"/>
      <c r="N48" s="6"/>
      <c r="O48" s="25"/>
      <c r="P48" s="6" t="str">
        <f aca="true">IF(J48="","",IF(N48="Closed",IF(O48="","",O48-J48),TODAY()-J48))</f>
        <v/>
      </c>
      <c r="Q48" s="6"/>
    </row>
    <row r="49" customFormat="false" ht="15" hidden="false" customHeight="true" outlineLevel="0" collapsed="false">
      <c r="A49" s="6"/>
      <c r="B49" s="6"/>
      <c r="C49" s="6"/>
      <c r="D49" s="24"/>
      <c r="E49" s="6"/>
      <c r="F49" s="6"/>
      <c r="G49" s="6"/>
      <c r="H49" s="6" t="str">
        <f aca="false">IF(OR(F49="",G49=""),"",F49*G49)</f>
        <v/>
      </c>
      <c r="I49" s="13" t="str">
        <f aca="false">IF(H49="","",IF(H49&gt;=15,"RED",IF(H49&gt;=8,"AMBER","GREEN")))</f>
        <v/>
      </c>
      <c r="J49" s="25"/>
      <c r="K49" s="6"/>
      <c r="L49" s="6"/>
      <c r="M49" s="24"/>
      <c r="N49" s="6"/>
      <c r="O49" s="25"/>
      <c r="P49" s="6" t="str">
        <f aca="true">IF(J49="","",IF(N49="Closed",IF(O49="","",O49-J49),TODAY()-J49))</f>
        <v/>
      </c>
      <c r="Q49" s="6"/>
    </row>
    <row r="50" customFormat="false" ht="15" hidden="false" customHeight="true" outlineLevel="0" collapsed="false">
      <c r="A50" s="6"/>
      <c r="B50" s="6"/>
      <c r="C50" s="6"/>
      <c r="D50" s="24"/>
      <c r="E50" s="6"/>
      <c r="F50" s="6"/>
      <c r="G50" s="6"/>
      <c r="H50" s="6" t="str">
        <f aca="false">IF(OR(F50="",G50=""),"",F50*G50)</f>
        <v/>
      </c>
      <c r="I50" s="13" t="str">
        <f aca="false">IF(H50="","",IF(H50&gt;=15,"RED",IF(H50&gt;=8,"AMBER","GREEN")))</f>
        <v/>
      </c>
      <c r="J50" s="25"/>
      <c r="K50" s="6"/>
      <c r="L50" s="6"/>
      <c r="M50" s="24"/>
      <c r="N50" s="6"/>
      <c r="O50" s="25"/>
      <c r="P50" s="6" t="str">
        <f aca="true">IF(J50="","",IF(N50="Closed",IF(O50="","",O50-J50),TODAY()-J50))</f>
        <v/>
      </c>
      <c r="Q50" s="6"/>
    </row>
    <row r="51" customFormat="false" ht="15" hidden="false" customHeight="true" outlineLevel="0" collapsed="false">
      <c r="A51" s="6"/>
      <c r="B51" s="6"/>
      <c r="C51" s="6"/>
      <c r="D51" s="24"/>
      <c r="E51" s="6"/>
      <c r="F51" s="6"/>
      <c r="G51" s="6"/>
      <c r="H51" s="6" t="str">
        <f aca="false">IF(OR(F51="",G51=""),"",F51*G51)</f>
        <v/>
      </c>
      <c r="I51" s="13" t="str">
        <f aca="false">IF(H51="","",IF(H51&gt;=15,"RED",IF(H51&gt;=8,"AMBER","GREEN")))</f>
        <v/>
      </c>
      <c r="J51" s="25"/>
      <c r="K51" s="6"/>
      <c r="L51" s="6"/>
      <c r="M51" s="24"/>
      <c r="N51" s="6"/>
      <c r="O51" s="25"/>
      <c r="P51" s="6" t="str">
        <f aca="true">IF(J51="","",IF(N51="Closed",IF(O51="","",O51-J51),TODAY()-J51))</f>
        <v/>
      </c>
      <c r="Q51" s="6"/>
    </row>
    <row r="52" customFormat="false" ht="15" hidden="false" customHeight="true" outlineLevel="0" collapsed="false">
      <c r="A52" s="6"/>
      <c r="B52" s="6"/>
      <c r="C52" s="6"/>
      <c r="D52" s="24"/>
      <c r="E52" s="6"/>
      <c r="F52" s="6"/>
      <c r="G52" s="6"/>
      <c r="H52" s="6" t="str">
        <f aca="false">IF(OR(F52="",G52=""),"",F52*G52)</f>
        <v/>
      </c>
      <c r="I52" s="13" t="str">
        <f aca="false">IF(H52="","",IF(H52&gt;=15,"RED",IF(H52&gt;=8,"AMBER","GREEN")))</f>
        <v/>
      </c>
      <c r="J52" s="25"/>
      <c r="K52" s="6"/>
      <c r="L52" s="6"/>
      <c r="M52" s="24"/>
      <c r="N52" s="6"/>
      <c r="O52" s="25"/>
      <c r="P52" s="6" t="str">
        <f aca="true">IF(J52="","",IF(N52="Closed",IF(O52="","",O52-J52),TODAY()-J52))</f>
        <v/>
      </c>
      <c r="Q52" s="6"/>
    </row>
    <row r="53" customFormat="false" ht="15" hidden="false" customHeight="true" outlineLevel="0" collapsed="false">
      <c r="A53" s="6"/>
      <c r="B53" s="6"/>
      <c r="C53" s="6"/>
      <c r="D53" s="24"/>
      <c r="E53" s="6"/>
      <c r="F53" s="6"/>
      <c r="G53" s="6"/>
      <c r="H53" s="6" t="str">
        <f aca="false">IF(OR(F53="",G53=""),"",F53*G53)</f>
        <v/>
      </c>
      <c r="I53" s="13" t="str">
        <f aca="false">IF(H53="","",IF(H53&gt;=15,"RED",IF(H53&gt;=8,"AMBER","GREEN")))</f>
        <v/>
      </c>
      <c r="J53" s="25"/>
      <c r="K53" s="6"/>
      <c r="L53" s="6"/>
      <c r="M53" s="24"/>
      <c r="N53" s="6"/>
      <c r="O53" s="25"/>
      <c r="P53" s="6" t="str">
        <f aca="true">IF(J53="","",IF(N53="Closed",IF(O53="","",O53-J53),TODAY()-J53))</f>
        <v/>
      </c>
      <c r="Q53" s="6"/>
    </row>
    <row r="54" customFormat="false" ht="15" hidden="false" customHeight="true" outlineLevel="0" collapsed="false">
      <c r="A54" s="6"/>
      <c r="B54" s="6"/>
      <c r="C54" s="6"/>
      <c r="D54" s="24"/>
      <c r="E54" s="6"/>
      <c r="F54" s="6"/>
      <c r="G54" s="6"/>
      <c r="H54" s="6" t="str">
        <f aca="false">IF(OR(F54="",G54=""),"",F54*G54)</f>
        <v/>
      </c>
      <c r="I54" s="13" t="str">
        <f aca="false">IF(H54="","",IF(H54&gt;=15,"RED",IF(H54&gt;=8,"AMBER","GREEN")))</f>
        <v/>
      </c>
      <c r="J54" s="25"/>
      <c r="K54" s="6"/>
      <c r="L54" s="6"/>
      <c r="M54" s="24"/>
      <c r="N54" s="6"/>
      <c r="O54" s="25"/>
      <c r="P54" s="6" t="str">
        <f aca="true">IF(J54="","",IF(N54="Closed",IF(O54="","",O54-J54),TODAY()-J54))</f>
        <v/>
      </c>
      <c r="Q54" s="6"/>
    </row>
    <row r="55" customFormat="false" ht="15" hidden="false" customHeight="true" outlineLevel="0" collapsed="false">
      <c r="A55" s="6"/>
      <c r="B55" s="6"/>
      <c r="C55" s="6"/>
      <c r="D55" s="24"/>
      <c r="E55" s="6"/>
      <c r="F55" s="6"/>
      <c r="G55" s="6"/>
      <c r="H55" s="6" t="str">
        <f aca="false">IF(OR(F55="",G55=""),"",F55*G55)</f>
        <v/>
      </c>
      <c r="I55" s="13" t="str">
        <f aca="false">IF(H55="","",IF(H55&gt;=15,"RED",IF(H55&gt;=8,"AMBER","GREEN")))</f>
        <v/>
      </c>
      <c r="J55" s="25"/>
      <c r="K55" s="6"/>
      <c r="L55" s="6"/>
      <c r="M55" s="24"/>
      <c r="N55" s="6"/>
      <c r="O55" s="25"/>
      <c r="P55" s="6" t="str">
        <f aca="true">IF(J55="","",IF(N55="Closed",IF(O55="","",O55-J55),TODAY()-J55))</f>
        <v/>
      </c>
      <c r="Q55" s="6"/>
    </row>
    <row r="56" customFormat="false" ht="15" hidden="false" customHeight="true" outlineLevel="0" collapsed="false">
      <c r="A56" s="6"/>
      <c r="B56" s="6"/>
      <c r="C56" s="6"/>
      <c r="D56" s="24"/>
      <c r="E56" s="6"/>
      <c r="F56" s="6"/>
      <c r="G56" s="6"/>
      <c r="H56" s="6" t="str">
        <f aca="false">IF(OR(F56="",G56=""),"",F56*G56)</f>
        <v/>
      </c>
      <c r="I56" s="13" t="str">
        <f aca="false">IF(H56="","",IF(H56&gt;=15,"RED",IF(H56&gt;=8,"AMBER","GREEN")))</f>
        <v/>
      </c>
      <c r="J56" s="25"/>
      <c r="K56" s="6"/>
      <c r="L56" s="6"/>
      <c r="M56" s="24"/>
      <c r="N56" s="6"/>
      <c r="O56" s="25"/>
      <c r="P56" s="6" t="str">
        <f aca="true">IF(J56="","",IF(N56="Closed",IF(O56="","",O56-J56),TODAY()-J56))</f>
        <v/>
      </c>
      <c r="Q56" s="6"/>
    </row>
    <row r="57" customFormat="false" ht="15" hidden="false" customHeight="true" outlineLevel="0" collapsed="false">
      <c r="A57" s="6"/>
      <c r="B57" s="6"/>
      <c r="C57" s="6"/>
      <c r="D57" s="24"/>
      <c r="E57" s="6"/>
      <c r="F57" s="6"/>
      <c r="G57" s="6"/>
      <c r="H57" s="6" t="str">
        <f aca="false">IF(OR(F57="",G57=""),"",F57*G57)</f>
        <v/>
      </c>
      <c r="I57" s="13" t="str">
        <f aca="false">IF(H57="","",IF(H57&gt;=15,"RED",IF(H57&gt;=8,"AMBER","GREEN")))</f>
        <v/>
      </c>
      <c r="J57" s="25"/>
      <c r="K57" s="6"/>
      <c r="L57" s="6"/>
      <c r="M57" s="24"/>
      <c r="N57" s="6"/>
      <c r="O57" s="25"/>
      <c r="P57" s="6" t="str">
        <f aca="true">IF(J57="","",IF(N57="Closed",IF(O57="","",O57-J57),TODAY()-J57))</f>
        <v/>
      </c>
      <c r="Q57" s="6"/>
    </row>
    <row r="58" customFormat="false" ht="15" hidden="false" customHeight="true" outlineLevel="0" collapsed="false">
      <c r="A58" s="6"/>
      <c r="B58" s="6"/>
      <c r="C58" s="6"/>
      <c r="D58" s="24"/>
      <c r="E58" s="6"/>
      <c r="F58" s="6"/>
      <c r="G58" s="6"/>
      <c r="H58" s="6" t="str">
        <f aca="false">IF(OR(F58="",G58=""),"",F58*G58)</f>
        <v/>
      </c>
      <c r="I58" s="13" t="str">
        <f aca="false">IF(H58="","",IF(H58&gt;=15,"RED",IF(H58&gt;=8,"AMBER","GREEN")))</f>
        <v/>
      </c>
      <c r="J58" s="25"/>
      <c r="K58" s="6"/>
      <c r="L58" s="6"/>
      <c r="M58" s="24"/>
      <c r="N58" s="6"/>
      <c r="O58" s="25"/>
      <c r="P58" s="6" t="str">
        <f aca="true">IF(J58="","",IF(N58="Closed",IF(O58="","",O58-J58),TODAY()-J58))</f>
        <v/>
      </c>
      <c r="Q58" s="6"/>
    </row>
    <row r="59" customFormat="false" ht="15" hidden="false" customHeight="true" outlineLevel="0" collapsed="false">
      <c r="A59" s="6"/>
      <c r="B59" s="6"/>
      <c r="C59" s="6"/>
      <c r="D59" s="24"/>
      <c r="E59" s="6"/>
      <c r="F59" s="6"/>
      <c r="G59" s="6"/>
      <c r="H59" s="6" t="str">
        <f aca="false">IF(OR(F59="",G59=""),"",F59*G59)</f>
        <v/>
      </c>
      <c r="I59" s="13" t="str">
        <f aca="false">IF(H59="","",IF(H59&gt;=15,"RED",IF(H59&gt;=8,"AMBER","GREEN")))</f>
        <v/>
      </c>
      <c r="J59" s="25"/>
      <c r="K59" s="6"/>
      <c r="L59" s="6"/>
      <c r="M59" s="24"/>
      <c r="N59" s="6"/>
      <c r="O59" s="25"/>
      <c r="P59" s="6" t="str">
        <f aca="true">IF(J59="","",IF(N59="Closed",IF(O59="","",O59-J59),TODAY()-J59))</f>
        <v/>
      </c>
      <c r="Q59" s="6"/>
    </row>
    <row r="60" customFormat="false" ht="15" hidden="false" customHeight="true" outlineLevel="0" collapsed="false">
      <c r="A60" s="6"/>
      <c r="B60" s="6"/>
      <c r="C60" s="6"/>
      <c r="D60" s="24"/>
      <c r="E60" s="6"/>
      <c r="F60" s="6"/>
      <c r="G60" s="6"/>
      <c r="H60" s="6" t="str">
        <f aca="false">IF(OR(F60="",G60=""),"",F60*G60)</f>
        <v/>
      </c>
      <c r="I60" s="13" t="str">
        <f aca="false">IF(H60="","",IF(H60&gt;=15,"RED",IF(H60&gt;=8,"AMBER","GREEN")))</f>
        <v/>
      </c>
      <c r="J60" s="25"/>
      <c r="K60" s="6"/>
      <c r="L60" s="6"/>
      <c r="M60" s="24"/>
      <c r="N60" s="6"/>
      <c r="O60" s="25"/>
      <c r="P60" s="6" t="str">
        <f aca="true">IF(J60="","",IF(N60="Closed",IF(O60="","",O60-J60),TODAY()-J60))</f>
        <v/>
      </c>
      <c r="Q60" s="6"/>
    </row>
    <row r="61" customFormat="false" ht="15" hidden="false" customHeight="true" outlineLevel="0" collapsed="false">
      <c r="A61" s="6"/>
      <c r="B61" s="6"/>
      <c r="C61" s="6"/>
      <c r="D61" s="24"/>
      <c r="E61" s="6"/>
      <c r="F61" s="6"/>
      <c r="G61" s="6"/>
      <c r="H61" s="6" t="str">
        <f aca="false">IF(OR(F61="",G61=""),"",F61*G61)</f>
        <v/>
      </c>
      <c r="I61" s="13" t="str">
        <f aca="false">IF(H61="","",IF(H61&gt;=15,"RED",IF(H61&gt;=8,"AMBER","GREEN")))</f>
        <v/>
      </c>
      <c r="J61" s="25"/>
      <c r="K61" s="6"/>
      <c r="L61" s="6"/>
      <c r="M61" s="24"/>
      <c r="N61" s="6"/>
      <c r="O61" s="25"/>
      <c r="P61" s="6" t="str">
        <f aca="true">IF(J61="","",IF(N61="Closed",IF(O61="","",O61-J61),TODAY()-J61))</f>
        <v/>
      </c>
      <c r="Q61" s="6"/>
    </row>
    <row r="62" customFormat="false" ht="15" hidden="false" customHeight="true" outlineLevel="0" collapsed="false">
      <c r="A62" s="6"/>
      <c r="B62" s="6"/>
      <c r="C62" s="6"/>
      <c r="D62" s="24"/>
      <c r="E62" s="6"/>
      <c r="F62" s="6"/>
      <c r="G62" s="6"/>
      <c r="H62" s="6" t="str">
        <f aca="false">IF(OR(F62="",G62=""),"",F62*G62)</f>
        <v/>
      </c>
      <c r="I62" s="13" t="str">
        <f aca="false">IF(H62="","",IF(H62&gt;=15,"RED",IF(H62&gt;=8,"AMBER","GREEN")))</f>
        <v/>
      </c>
      <c r="J62" s="25"/>
      <c r="K62" s="6"/>
      <c r="L62" s="6"/>
      <c r="M62" s="24"/>
      <c r="N62" s="6"/>
      <c r="O62" s="25"/>
      <c r="P62" s="6" t="str">
        <f aca="true">IF(J62="","",IF(N62="Closed",IF(O62="","",O62-J62),TODAY()-J62))</f>
        <v/>
      </c>
      <c r="Q62" s="6"/>
    </row>
    <row r="63" customFormat="false" ht="15" hidden="false" customHeight="true" outlineLevel="0" collapsed="false">
      <c r="A63" s="6"/>
      <c r="B63" s="6"/>
      <c r="C63" s="6"/>
      <c r="D63" s="24"/>
      <c r="E63" s="6"/>
      <c r="F63" s="6"/>
      <c r="G63" s="6"/>
      <c r="H63" s="6" t="str">
        <f aca="false">IF(OR(F63="",G63=""),"",F63*G63)</f>
        <v/>
      </c>
      <c r="I63" s="13" t="str">
        <f aca="false">IF(H63="","",IF(H63&gt;=15,"RED",IF(H63&gt;=8,"AMBER","GREEN")))</f>
        <v/>
      </c>
      <c r="J63" s="25"/>
      <c r="K63" s="6"/>
      <c r="L63" s="6"/>
      <c r="M63" s="24"/>
      <c r="N63" s="6"/>
      <c r="O63" s="25"/>
      <c r="P63" s="6" t="str">
        <f aca="true">IF(J63="","",IF(N63="Closed",IF(O63="","",O63-J63),TODAY()-J63))</f>
        <v/>
      </c>
      <c r="Q63" s="6"/>
    </row>
    <row r="64" customFormat="false" ht="15" hidden="false" customHeight="true" outlineLevel="0" collapsed="false">
      <c r="A64" s="6"/>
      <c r="B64" s="6"/>
      <c r="C64" s="6"/>
      <c r="D64" s="24"/>
      <c r="E64" s="6"/>
      <c r="F64" s="6"/>
      <c r="G64" s="6"/>
      <c r="H64" s="6" t="str">
        <f aca="false">IF(OR(F64="",G64=""),"",F64*G64)</f>
        <v/>
      </c>
      <c r="I64" s="13" t="str">
        <f aca="false">IF(H64="","",IF(H64&gt;=15,"RED",IF(H64&gt;=8,"AMBER","GREEN")))</f>
        <v/>
      </c>
      <c r="J64" s="25"/>
      <c r="K64" s="6"/>
      <c r="L64" s="6"/>
      <c r="M64" s="24"/>
      <c r="N64" s="6"/>
      <c r="O64" s="25"/>
      <c r="P64" s="6" t="str">
        <f aca="true">IF(J64="","",IF(N64="Closed",IF(O64="","",O64-J64),TODAY()-J64))</f>
        <v/>
      </c>
      <c r="Q64" s="6"/>
    </row>
    <row r="65" customFormat="false" ht="15" hidden="false" customHeight="true" outlineLevel="0" collapsed="false">
      <c r="A65" s="6"/>
      <c r="B65" s="6"/>
      <c r="C65" s="6"/>
      <c r="D65" s="24"/>
      <c r="E65" s="6"/>
      <c r="F65" s="6"/>
      <c r="G65" s="6"/>
      <c r="H65" s="6" t="str">
        <f aca="false">IF(OR(F65="",G65=""),"",F65*G65)</f>
        <v/>
      </c>
      <c r="I65" s="13" t="str">
        <f aca="false">IF(H65="","",IF(H65&gt;=15,"RED",IF(H65&gt;=8,"AMBER","GREEN")))</f>
        <v/>
      </c>
      <c r="J65" s="25"/>
      <c r="K65" s="6"/>
      <c r="L65" s="6"/>
      <c r="M65" s="24"/>
      <c r="N65" s="6"/>
      <c r="O65" s="25"/>
      <c r="P65" s="6" t="str">
        <f aca="true">IF(J65="","",IF(N65="Closed",IF(O65="","",O65-J65),TODAY()-J65))</f>
        <v/>
      </c>
      <c r="Q65" s="6"/>
    </row>
    <row r="66" customFormat="false" ht="15" hidden="false" customHeight="true" outlineLevel="0" collapsed="false">
      <c r="A66" s="6"/>
      <c r="B66" s="6"/>
      <c r="C66" s="6"/>
      <c r="D66" s="24"/>
      <c r="E66" s="6"/>
      <c r="F66" s="6"/>
      <c r="G66" s="6"/>
      <c r="H66" s="6" t="str">
        <f aca="false">IF(OR(F66="",G66=""),"",F66*G66)</f>
        <v/>
      </c>
      <c r="I66" s="13" t="str">
        <f aca="false">IF(H66="","",IF(H66&gt;=15,"RED",IF(H66&gt;=8,"AMBER","GREEN")))</f>
        <v/>
      </c>
      <c r="J66" s="25"/>
      <c r="K66" s="6"/>
      <c r="L66" s="6"/>
      <c r="M66" s="24"/>
      <c r="N66" s="6"/>
      <c r="O66" s="25"/>
      <c r="P66" s="6" t="str">
        <f aca="true">IF(J66="","",IF(N66="Closed",IF(O66="","",O66-J66),TODAY()-J66))</f>
        <v/>
      </c>
      <c r="Q66" s="6"/>
    </row>
    <row r="67" customFormat="false" ht="15" hidden="false" customHeight="true" outlineLevel="0" collapsed="false">
      <c r="A67" s="6"/>
      <c r="B67" s="6"/>
      <c r="C67" s="6"/>
      <c r="D67" s="24"/>
      <c r="E67" s="6"/>
      <c r="F67" s="6"/>
      <c r="G67" s="6"/>
      <c r="H67" s="6" t="str">
        <f aca="false">IF(OR(F67="",G67=""),"",F67*G67)</f>
        <v/>
      </c>
      <c r="I67" s="13" t="str">
        <f aca="false">IF(H67="","",IF(H67&gt;=15,"RED",IF(H67&gt;=8,"AMBER","GREEN")))</f>
        <v/>
      </c>
      <c r="J67" s="25"/>
      <c r="K67" s="6"/>
      <c r="L67" s="6"/>
      <c r="M67" s="24"/>
      <c r="N67" s="6"/>
      <c r="O67" s="25"/>
      <c r="P67" s="6" t="str">
        <f aca="true">IF(J67="","",IF(N67="Closed",IF(O67="","",O67-J67),TODAY()-J67))</f>
        <v/>
      </c>
      <c r="Q67" s="6"/>
    </row>
    <row r="68" customFormat="false" ht="15" hidden="false" customHeight="true" outlineLevel="0" collapsed="false">
      <c r="A68" s="6"/>
      <c r="B68" s="6"/>
      <c r="C68" s="6"/>
      <c r="D68" s="24"/>
      <c r="E68" s="6"/>
      <c r="F68" s="6"/>
      <c r="G68" s="6"/>
      <c r="H68" s="6" t="str">
        <f aca="false">IF(OR(F68="",G68=""),"",F68*G68)</f>
        <v/>
      </c>
      <c r="I68" s="13" t="str">
        <f aca="false">IF(H68="","",IF(H68&gt;=15,"RED",IF(H68&gt;=8,"AMBER","GREEN")))</f>
        <v/>
      </c>
      <c r="J68" s="25"/>
      <c r="K68" s="6"/>
      <c r="L68" s="6"/>
      <c r="M68" s="24"/>
      <c r="N68" s="6"/>
      <c r="O68" s="25"/>
      <c r="P68" s="6" t="str">
        <f aca="true">IF(J68="","",IF(N68="Closed",IF(O68="","",O68-J68),TODAY()-J68))</f>
        <v/>
      </c>
      <c r="Q68" s="6"/>
    </row>
    <row r="69" customFormat="false" ht="15" hidden="false" customHeight="true" outlineLevel="0" collapsed="false">
      <c r="A69" s="6"/>
      <c r="B69" s="6"/>
      <c r="C69" s="6"/>
      <c r="D69" s="24"/>
      <c r="E69" s="6"/>
      <c r="F69" s="6"/>
      <c r="G69" s="6"/>
      <c r="H69" s="6" t="str">
        <f aca="false">IF(OR(F69="",G69=""),"",F69*G69)</f>
        <v/>
      </c>
      <c r="I69" s="13" t="str">
        <f aca="false">IF(H69="","",IF(H69&gt;=15,"RED",IF(H69&gt;=8,"AMBER","GREEN")))</f>
        <v/>
      </c>
      <c r="J69" s="25"/>
      <c r="K69" s="6"/>
      <c r="L69" s="6"/>
      <c r="M69" s="24"/>
      <c r="N69" s="6"/>
      <c r="O69" s="25"/>
      <c r="P69" s="6" t="str">
        <f aca="true">IF(J69="","",IF(N69="Closed",IF(O69="","",O69-J69),TODAY()-J69))</f>
        <v/>
      </c>
      <c r="Q69" s="6"/>
    </row>
    <row r="70" customFormat="false" ht="15" hidden="false" customHeight="true" outlineLevel="0" collapsed="false">
      <c r="A70" s="6"/>
      <c r="B70" s="6"/>
      <c r="C70" s="6"/>
      <c r="D70" s="24"/>
      <c r="E70" s="6"/>
      <c r="F70" s="6"/>
      <c r="G70" s="6"/>
      <c r="H70" s="6" t="str">
        <f aca="false">IF(OR(F70="",G70=""),"",F70*G70)</f>
        <v/>
      </c>
      <c r="I70" s="13" t="str">
        <f aca="false">IF(H70="","",IF(H70&gt;=15,"RED",IF(H70&gt;=8,"AMBER","GREEN")))</f>
        <v/>
      </c>
      <c r="J70" s="25"/>
      <c r="K70" s="6"/>
      <c r="L70" s="6"/>
      <c r="M70" s="24"/>
      <c r="N70" s="6"/>
      <c r="O70" s="25"/>
      <c r="P70" s="6" t="str">
        <f aca="true">IF(J70="","",IF(N70="Closed",IF(O70="","",O70-J70),TODAY()-J70))</f>
        <v/>
      </c>
      <c r="Q70" s="6"/>
    </row>
    <row r="71" customFormat="false" ht="15" hidden="false" customHeight="true" outlineLevel="0" collapsed="false">
      <c r="A71" s="6"/>
      <c r="B71" s="6"/>
      <c r="C71" s="6"/>
      <c r="D71" s="24"/>
      <c r="E71" s="6"/>
      <c r="F71" s="6"/>
      <c r="G71" s="6"/>
      <c r="H71" s="6" t="str">
        <f aca="false">IF(OR(F71="",G71=""),"",F71*G71)</f>
        <v/>
      </c>
      <c r="I71" s="13" t="str">
        <f aca="false">IF(H71="","",IF(H71&gt;=15,"RED",IF(H71&gt;=8,"AMBER","GREEN")))</f>
        <v/>
      </c>
      <c r="J71" s="25"/>
      <c r="K71" s="6"/>
      <c r="L71" s="6"/>
      <c r="M71" s="24"/>
      <c r="N71" s="6"/>
      <c r="O71" s="25"/>
      <c r="P71" s="6" t="str">
        <f aca="true">IF(J71="","",IF(N71="Closed",IF(O71="","",O71-J71),TODAY()-J71))</f>
        <v/>
      </c>
      <c r="Q71" s="6"/>
    </row>
    <row r="72" customFormat="false" ht="15" hidden="false" customHeight="true" outlineLevel="0" collapsed="false">
      <c r="A72" s="6"/>
      <c r="B72" s="6"/>
      <c r="C72" s="6"/>
      <c r="D72" s="24"/>
      <c r="E72" s="6"/>
      <c r="F72" s="6"/>
      <c r="G72" s="6"/>
      <c r="H72" s="6" t="str">
        <f aca="false">IF(OR(F72="",G72=""),"",F72*G72)</f>
        <v/>
      </c>
      <c r="I72" s="13" t="str">
        <f aca="false">IF(H72="","",IF(H72&gt;=15,"RED",IF(H72&gt;=8,"AMBER","GREEN")))</f>
        <v/>
      </c>
      <c r="J72" s="25"/>
      <c r="K72" s="6"/>
      <c r="L72" s="6"/>
      <c r="M72" s="24"/>
      <c r="N72" s="6"/>
      <c r="O72" s="25"/>
      <c r="P72" s="6" t="str">
        <f aca="true">IF(J72="","",IF(N72="Closed",IF(O72="","",O72-J72),TODAY()-J72))</f>
        <v/>
      </c>
      <c r="Q72" s="6"/>
    </row>
    <row r="73" customFormat="false" ht="15" hidden="false" customHeight="true" outlineLevel="0" collapsed="false">
      <c r="A73" s="6"/>
      <c r="B73" s="6"/>
      <c r="C73" s="6"/>
      <c r="D73" s="24"/>
      <c r="E73" s="6"/>
      <c r="F73" s="6"/>
      <c r="G73" s="6"/>
      <c r="H73" s="6" t="str">
        <f aca="false">IF(OR(F73="",G73=""),"",F73*G73)</f>
        <v/>
      </c>
      <c r="I73" s="13" t="str">
        <f aca="false">IF(H73="","",IF(H73&gt;=15,"RED",IF(H73&gt;=8,"AMBER","GREEN")))</f>
        <v/>
      </c>
      <c r="J73" s="25"/>
      <c r="K73" s="6"/>
      <c r="L73" s="6"/>
      <c r="M73" s="24"/>
      <c r="N73" s="6"/>
      <c r="O73" s="25"/>
      <c r="P73" s="6" t="str">
        <f aca="true">IF(J73="","",IF(N73="Closed",IF(O73="","",O73-J73),TODAY()-J73))</f>
        <v/>
      </c>
      <c r="Q73" s="6"/>
    </row>
    <row r="74" customFormat="false" ht="15" hidden="false" customHeight="true" outlineLevel="0" collapsed="false">
      <c r="A74" s="6"/>
      <c r="B74" s="6"/>
      <c r="C74" s="6"/>
      <c r="D74" s="24"/>
      <c r="E74" s="6"/>
      <c r="F74" s="6"/>
      <c r="G74" s="6"/>
      <c r="H74" s="6" t="str">
        <f aca="false">IF(OR(F74="",G74=""),"",F74*G74)</f>
        <v/>
      </c>
      <c r="I74" s="13" t="str">
        <f aca="false">IF(H74="","",IF(H74&gt;=15,"RED",IF(H74&gt;=8,"AMBER","GREEN")))</f>
        <v/>
      </c>
      <c r="J74" s="25"/>
      <c r="K74" s="6"/>
      <c r="L74" s="6"/>
      <c r="M74" s="24"/>
      <c r="N74" s="6"/>
      <c r="O74" s="25"/>
      <c r="P74" s="6" t="str">
        <f aca="true">IF(J74="","",IF(N74="Closed",IF(O74="","",O74-J74),TODAY()-J74))</f>
        <v/>
      </c>
      <c r="Q74" s="6"/>
    </row>
    <row r="75" customFormat="false" ht="15" hidden="false" customHeight="true" outlineLevel="0" collapsed="false">
      <c r="A75" s="6"/>
      <c r="B75" s="6"/>
      <c r="C75" s="6"/>
      <c r="D75" s="24"/>
      <c r="E75" s="6"/>
      <c r="F75" s="6"/>
      <c r="G75" s="6"/>
      <c r="H75" s="6" t="str">
        <f aca="false">IF(OR(F75="",G75=""),"",F75*G75)</f>
        <v/>
      </c>
      <c r="I75" s="13" t="str">
        <f aca="false">IF(H75="","",IF(H75&gt;=15,"RED",IF(H75&gt;=8,"AMBER","GREEN")))</f>
        <v/>
      </c>
      <c r="J75" s="25"/>
      <c r="K75" s="6"/>
      <c r="L75" s="6"/>
      <c r="M75" s="24"/>
      <c r="N75" s="6"/>
      <c r="O75" s="25"/>
      <c r="P75" s="6" t="str">
        <f aca="true">IF(J75="","",IF(N75="Closed",IF(O75="","",O75-J75),TODAY()-J75))</f>
        <v/>
      </c>
      <c r="Q75" s="6"/>
    </row>
    <row r="76" customFormat="false" ht="15" hidden="false" customHeight="true" outlineLevel="0" collapsed="false">
      <c r="A76" s="6"/>
      <c r="B76" s="6"/>
      <c r="C76" s="6"/>
      <c r="D76" s="24"/>
      <c r="E76" s="6"/>
      <c r="F76" s="6"/>
      <c r="G76" s="6"/>
      <c r="H76" s="6" t="str">
        <f aca="false">IF(OR(F76="",G76=""),"",F76*G76)</f>
        <v/>
      </c>
      <c r="I76" s="13" t="str">
        <f aca="false">IF(H76="","",IF(H76&gt;=15,"RED",IF(H76&gt;=8,"AMBER","GREEN")))</f>
        <v/>
      </c>
      <c r="J76" s="25"/>
      <c r="K76" s="6"/>
      <c r="L76" s="6"/>
      <c r="M76" s="24"/>
      <c r="N76" s="6"/>
      <c r="O76" s="25"/>
      <c r="P76" s="6" t="str">
        <f aca="true">IF(J76="","",IF(N76="Closed",IF(O76="","",O76-J76),TODAY()-J76))</f>
        <v/>
      </c>
      <c r="Q76" s="6"/>
    </row>
    <row r="77" customFormat="false" ht="15" hidden="false" customHeight="true" outlineLevel="0" collapsed="false">
      <c r="A77" s="6"/>
      <c r="B77" s="6"/>
      <c r="C77" s="6"/>
      <c r="D77" s="24"/>
      <c r="E77" s="6"/>
      <c r="F77" s="6"/>
      <c r="G77" s="6"/>
      <c r="H77" s="6" t="str">
        <f aca="false">IF(OR(F77="",G77=""),"",F77*G77)</f>
        <v/>
      </c>
      <c r="I77" s="13" t="str">
        <f aca="false">IF(H77="","",IF(H77&gt;=15,"RED",IF(H77&gt;=8,"AMBER","GREEN")))</f>
        <v/>
      </c>
      <c r="J77" s="25"/>
      <c r="K77" s="6"/>
      <c r="L77" s="6"/>
      <c r="M77" s="24"/>
      <c r="N77" s="6"/>
      <c r="O77" s="25"/>
      <c r="P77" s="6" t="str">
        <f aca="true">IF(J77="","",IF(N77="Closed",IF(O77="","",O77-J77),TODAY()-J77))</f>
        <v/>
      </c>
      <c r="Q77" s="6"/>
    </row>
    <row r="78" customFormat="false" ht="15" hidden="false" customHeight="true" outlineLevel="0" collapsed="false">
      <c r="A78" s="6"/>
      <c r="B78" s="6"/>
      <c r="C78" s="6"/>
      <c r="D78" s="24"/>
      <c r="E78" s="6"/>
      <c r="F78" s="6"/>
      <c r="G78" s="6"/>
      <c r="H78" s="6" t="str">
        <f aca="false">IF(OR(F78="",G78=""),"",F78*G78)</f>
        <v/>
      </c>
      <c r="I78" s="13" t="str">
        <f aca="false">IF(H78="","",IF(H78&gt;=15,"RED",IF(H78&gt;=8,"AMBER","GREEN")))</f>
        <v/>
      </c>
      <c r="J78" s="25"/>
      <c r="K78" s="6"/>
      <c r="L78" s="6"/>
      <c r="M78" s="24"/>
      <c r="N78" s="6"/>
      <c r="O78" s="25"/>
      <c r="P78" s="6" t="str">
        <f aca="true">IF(J78="","",IF(N78="Closed",IF(O78="","",O78-J78),TODAY()-J78))</f>
        <v/>
      </c>
      <c r="Q78" s="6"/>
    </row>
    <row r="79" customFormat="false" ht="15" hidden="false" customHeight="true" outlineLevel="0" collapsed="false">
      <c r="A79" s="6"/>
      <c r="B79" s="6"/>
      <c r="C79" s="6"/>
      <c r="D79" s="24"/>
      <c r="E79" s="6"/>
      <c r="F79" s="6"/>
      <c r="G79" s="6"/>
      <c r="H79" s="6" t="str">
        <f aca="false">IF(OR(F79="",G79=""),"",F79*G79)</f>
        <v/>
      </c>
      <c r="I79" s="13" t="str">
        <f aca="false">IF(H79="","",IF(H79&gt;=15,"RED",IF(H79&gt;=8,"AMBER","GREEN")))</f>
        <v/>
      </c>
      <c r="J79" s="25"/>
      <c r="K79" s="6"/>
      <c r="L79" s="6"/>
      <c r="M79" s="24"/>
      <c r="N79" s="6"/>
      <c r="O79" s="25"/>
      <c r="P79" s="6" t="str">
        <f aca="true">IF(J79="","",IF(N79="Closed",IF(O79="","",O79-J79),TODAY()-J79))</f>
        <v/>
      </c>
      <c r="Q79" s="6"/>
    </row>
    <row r="80" customFormat="false" ht="15" hidden="false" customHeight="true" outlineLevel="0" collapsed="false">
      <c r="A80" s="6"/>
      <c r="B80" s="6"/>
      <c r="C80" s="6"/>
      <c r="D80" s="24"/>
      <c r="E80" s="6"/>
      <c r="F80" s="6"/>
      <c r="G80" s="6"/>
      <c r="H80" s="6" t="str">
        <f aca="false">IF(OR(F80="",G80=""),"",F80*G80)</f>
        <v/>
      </c>
      <c r="I80" s="13" t="str">
        <f aca="false">IF(H80="","",IF(H80&gt;=15,"RED",IF(H80&gt;=8,"AMBER","GREEN")))</f>
        <v/>
      </c>
      <c r="J80" s="25"/>
      <c r="K80" s="6"/>
      <c r="L80" s="6"/>
      <c r="M80" s="24"/>
      <c r="N80" s="6"/>
      <c r="O80" s="25"/>
      <c r="P80" s="6" t="str">
        <f aca="true">IF(J80="","",IF(N80="Closed",IF(O80="","",O80-J80),TODAY()-J80))</f>
        <v/>
      </c>
      <c r="Q80" s="6"/>
    </row>
    <row r="81" customFormat="false" ht="15" hidden="false" customHeight="true" outlineLevel="0" collapsed="false">
      <c r="A81" s="6"/>
      <c r="B81" s="6"/>
      <c r="C81" s="6"/>
      <c r="D81" s="24"/>
      <c r="E81" s="6"/>
      <c r="F81" s="6"/>
      <c r="G81" s="6"/>
      <c r="H81" s="6" t="str">
        <f aca="false">IF(OR(F81="",G81=""),"",F81*G81)</f>
        <v/>
      </c>
      <c r="I81" s="13" t="str">
        <f aca="false">IF(H81="","",IF(H81&gt;=15,"RED",IF(H81&gt;=8,"AMBER","GREEN")))</f>
        <v/>
      </c>
      <c r="J81" s="25"/>
      <c r="K81" s="6"/>
      <c r="L81" s="6"/>
      <c r="M81" s="24"/>
      <c r="N81" s="6"/>
      <c r="O81" s="25"/>
      <c r="P81" s="6" t="str">
        <f aca="true">IF(J81="","",IF(N81="Closed",IF(O81="","",O81-J81),TODAY()-J81))</f>
        <v/>
      </c>
      <c r="Q81" s="6"/>
    </row>
    <row r="82" customFormat="false" ht="15" hidden="false" customHeight="true" outlineLevel="0" collapsed="false">
      <c r="A82" s="6"/>
      <c r="B82" s="6"/>
      <c r="C82" s="6"/>
      <c r="D82" s="24"/>
      <c r="E82" s="6"/>
      <c r="F82" s="6"/>
      <c r="G82" s="6"/>
      <c r="H82" s="6" t="str">
        <f aca="false">IF(OR(F82="",G82=""),"",F82*G82)</f>
        <v/>
      </c>
      <c r="I82" s="13" t="str">
        <f aca="false">IF(H82="","",IF(H82&gt;=15,"RED",IF(H82&gt;=8,"AMBER","GREEN")))</f>
        <v/>
      </c>
      <c r="J82" s="25"/>
      <c r="K82" s="6"/>
      <c r="L82" s="6"/>
      <c r="M82" s="24"/>
      <c r="N82" s="6"/>
      <c r="O82" s="25"/>
      <c r="P82" s="6" t="str">
        <f aca="true">IF(J82="","",IF(N82="Closed",IF(O82="","",O82-J82),TODAY()-J82))</f>
        <v/>
      </c>
      <c r="Q82" s="6"/>
    </row>
    <row r="83" customFormat="false" ht="15" hidden="false" customHeight="true" outlineLevel="0" collapsed="false">
      <c r="A83" s="6"/>
      <c r="B83" s="6"/>
      <c r="C83" s="6"/>
      <c r="D83" s="24"/>
      <c r="E83" s="6"/>
      <c r="F83" s="6"/>
      <c r="G83" s="6"/>
      <c r="H83" s="6" t="str">
        <f aca="false">IF(OR(F83="",G83=""),"",F83*G83)</f>
        <v/>
      </c>
      <c r="I83" s="13" t="str">
        <f aca="false">IF(H83="","",IF(H83&gt;=15,"RED",IF(H83&gt;=8,"AMBER","GREEN")))</f>
        <v/>
      </c>
      <c r="J83" s="25"/>
      <c r="K83" s="6"/>
      <c r="L83" s="6"/>
      <c r="M83" s="24"/>
      <c r="N83" s="6"/>
      <c r="O83" s="25"/>
      <c r="P83" s="6" t="str">
        <f aca="true">IF(J83="","",IF(N83="Closed",IF(O83="","",O83-J83),TODAY()-J83))</f>
        <v/>
      </c>
      <c r="Q83" s="6"/>
    </row>
    <row r="84" customFormat="false" ht="15" hidden="false" customHeight="true" outlineLevel="0" collapsed="false">
      <c r="A84" s="6"/>
      <c r="B84" s="6"/>
      <c r="C84" s="6"/>
      <c r="D84" s="24"/>
      <c r="E84" s="6"/>
      <c r="F84" s="6"/>
      <c r="G84" s="6"/>
      <c r="H84" s="6" t="str">
        <f aca="false">IF(OR(F84="",G84=""),"",F84*G84)</f>
        <v/>
      </c>
      <c r="I84" s="13" t="str">
        <f aca="false">IF(H84="","",IF(H84&gt;=15,"RED",IF(H84&gt;=8,"AMBER","GREEN")))</f>
        <v/>
      </c>
      <c r="J84" s="25"/>
      <c r="K84" s="6"/>
      <c r="L84" s="6"/>
      <c r="M84" s="24"/>
      <c r="N84" s="6"/>
      <c r="O84" s="25"/>
      <c r="P84" s="6" t="str">
        <f aca="true">IF(J84="","",IF(N84="Closed",IF(O84="","",O84-J84),TODAY()-J84))</f>
        <v/>
      </c>
      <c r="Q84" s="6"/>
    </row>
    <row r="85" customFormat="false" ht="15" hidden="false" customHeight="true" outlineLevel="0" collapsed="false">
      <c r="A85" s="6"/>
      <c r="B85" s="6"/>
      <c r="C85" s="6"/>
      <c r="D85" s="24"/>
      <c r="E85" s="6"/>
      <c r="F85" s="6"/>
      <c r="G85" s="6"/>
      <c r="H85" s="6" t="str">
        <f aca="false">IF(OR(F85="",G85=""),"",F85*G85)</f>
        <v/>
      </c>
      <c r="I85" s="13" t="str">
        <f aca="false">IF(H85="","",IF(H85&gt;=15,"RED",IF(H85&gt;=8,"AMBER","GREEN")))</f>
        <v/>
      </c>
      <c r="J85" s="25"/>
      <c r="K85" s="6"/>
      <c r="L85" s="6"/>
      <c r="M85" s="24"/>
      <c r="N85" s="6"/>
      <c r="O85" s="25"/>
      <c r="P85" s="6" t="str">
        <f aca="true">IF(J85="","",IF(N85="Closed",IF(O85="","",O85-J85),TODAY()-J85))</f>
        <v/>
      </c>
      <c r="Q85" s="6"/>
    </row>
    <row r="86" customFormat="false" ht="15" hidden="false" customHeight="true" outlineLevel="0" collapsed="false">
      <c r="A86" s="6"/>
      <c r="B86" s="6"/>
      <c r="C86" s="6"/>
      <c r="D86" s="24"/>
      <c r="E86" s="6"/>
      <c r="F86" s="6"/>
      <c r="G86" s="6"/>
      <c r="H86" s="6" t="str">
        <f aca="false">IF(OR(F86="",G86=""),"",F86*G86)</f>
        <v/>
      </c>
      <c r="I86" s="13" t="str">
        <f aca="false">IF(H86="","",IF(H86&gt;=15,"RED",IF(H86&gt;=8,"AMBER","GREEN")))</f>
        <v/>
      </c>
      <c r="J86" s="25"/>
      <c r="K86" s="6"/>
      <c r="L86" s="6"/>
      <c r="M86" s="24"/>
      <c r="N86" s="6"/>
      <c r="O86" s="25"/>
      <c r="P86" s="6" t="str">
        <f aca="true">IF(J86="","",IF(N86="Closed",IF(O86="","",O86-J86),TODAY()-J86))</f>
        <v/>
      </c>
      <c r="Q86" s="6"/>
    </row>
    <row r="87" customFormat="false" ht="15" hidden="false" customHeight="true" outlineLevel="0" collapsed="false">
      <c r="A87" s="6"/>
      <c r="B87" s="6"/>
      <c r="C87" s="6"/>
      <c r="D87" s="24"/>
      <c r="E87" s="6"/>
      <c r="F87" s="6"/>
      <c r="G87" s="6"/>
      <c r="H87" s="6" t="str">
        <f aca="false">IF(OR(F87="",G87=""),"",F87*G87)</f>
        <v/>
      </c>
      <c r="I87" s="13" t="str">
        <f aca="false">IF(H87="","",IF(H87&gt;=15,"RED",IF(H87&gt;=8,"AMBER","GREEN")))</f>
        <v/>
      </c>
      <c r="J87" s="25"/>
      <c r="K87" s="6"/>
      <c r="L87" s="6"/>
      <c r="M87" s="24"/>
      <c r="N87" s="6"/>
      <c r="O87" s="25"/>
      <c r="P87" s="6" t="str">
        <f aca="true">IF(J87="","",IF(N87="Closed",IF(O87="","",O87-J87),TODAY()-J87))</f>
        <v/>
      </c>
      <c r="Q87" s="6"/>
    </row>
    <row r="88" customFormat="false" ht="15" hidden="false" customHeight="true" outlineLevel="0" collapsed="false">
      <c r="A88" s="6"/>
      <c r="B88" s="6"/>
      <c r="C88" s="6"/>
      <c r="D88" s="24"/>
      <c r="E88" s="6"/>
      <c r="F88" s="6"/>
      <c r="G88" s="6"/>
      <c r="H88" s="6" t="str">
        <f aca="false">IF(OR(F88="",G88=""),"",F88*G88)</f>
        <v/>
      </c>
      <c r="I88" s="13" t="str">
        <f aca="false">IF(H88="","",IF(H88&gt;=15,"RED",IF(H88&gt;=8,"AMBER","GREEN")))</f>
        <v/>
      </c>
      <c r="J88" s="25"/>
      <c r="K88" s="6"/>
      <c r="L88" s="6"/>
      <c r="M88" s="24"/>
      <c r="N88" s="6"/>
      <c r="O88" s="25"/>
      <c r="P88" s="6" t="str">
        <f aca="true">IF(J88="","",IF(N88="Closed",IF(O88="","",O88-J88),TODAY()-J88))</f>
        <v/>
      </c>
      <c r="Q88" s="6"/>
    </row>
    <row r="89" customFormat="false" ht="15" hidden="false" customHeight="true" outlineLevel="0" collapsed="false">
      <c r="A89" s="6"/>
      <c r="B89" s="6"/>
      <c r="C89" s="6"/>
      <c r="D89" s="24"/>
      <c r="E89" s="6"/>
      <c r="F89" s="6"/>
      <c r="G89" s="6"/>
      <c r="H89" s="6" t="str">
        <f aca="false">IF(OR(F89="",G89=""),"",F89*G89)</f>
        <v/>
      </c>
      <c r="I89" s="13" t="str">
        <f aca="false">IF(H89="","",IF(H89&gt;=15,"RED",IF(H89&gt;=8,"AMBER","GREEN")))</f>
        <v/>
      </c>
      <c r="J89" s="25"/>
      <c r="K89" s="6"/>
      <c r="L89" s="6"/>
      <c r="M89" s="24"/>
      <c r="N89" s="6"/>
      <c r="O89" s="25"/>
      <c r="P89" s="6" t="str">
        <f aca="true">IF(J89="","",IF(N89="Closed",IF(O89="","",O89-J89),TODAY()-J89))</f>
        <v/>
      </c>
      <c r="Q89" s="6"/>
    </row>
    <row r="90" customFormat="false" ht="15" hidden="false" customHeight="true" outlineLevel="0" collapsed="false">
      <c r="A90" s="6"/>
      <c r="B90" s="6"/>
      <c r="C90" s="6"/>
      <c r="D90" s="24"/>
      <c r="E90" s="6"/>
      <c r="F90" s="6"/>
      <c r="G90" s="6"/>
      <c r="H90" s="6" t="str">
        <f aca="false">IF(OR(F90="",G90=""),"",F90*G90)</f>
        <v/>
      </c>
      <c r="I90" s="13" t="str">
        <f aca="false">IF(H90="","",IF(H90&gt;=15,"RED",IF(H90&gt;=8,"AMBER","GREEN")))</f>
        <v/>
      </c>
      <c r="J90" s="25"/>
      <c r="K90" s="6"/>
      <c r="L90" s="6"/>
      <c r="M90" s="24"/>
      <c r="N90" s="6"/>
      <c r="O90" s="25"/>
      <c r="P90" s="6" t="str">
        <f aca="true">IF(J90="","",IF(N90="Closed",IF(O90="","",O90-J90),TODAY()-J90))</f>
        <v/>
      </c>
      <c r="Q90" s="6"/>
    </row>
    <row r="91" customFormat="false" ht="15" hidden="false" customHeight="true" outlineLevel="0" collapsed="false">
      <c r="A91" s="6"/>
      <c r="B91" s="6"/>
      <c r="C91" s="6"/>
      <c r="D91" s="24"/>
      <c r="E91" s="6"/>
      <c r="F91" s="6"/>
      <c r="G91" s="6"/>
      <c r="H91" s="6" t="str">
        <f aca="false">IF(OR(F91="",G91=""),"",F91*G91)</f>
        <v/>
      </c>
      <c r="I91" s="13" t="str">
        <f aca="false">IF(H91="","",IF(H91&gt;=15,"RED",IF(H91&gt;=8,"AMBER","GREEN")))</f>
        <v/>
      </c>
      <c r="J91" s="25"/>
      <c r="K91" s="6"/>
      <c r="L91" s="6"/>
      <c r="M91" s="24"/>
      <c r="N91" s="6"/>
      <c r="O91" s="25"/>
      <c r="P91" s="6" t="str">
        <f aca="true">IF(J91="","",IF(N91="Closed",IF(O91="","",O91-J91),TODAY()-J91))</f>
        <v/>
      </c>
      <c r="Q91" s="6"/>
    </row>
    <row r="92" customFormat="false" ht="15" hidden="false" customHeight="true" outlineLevel="0" collapsed="false">
      <c r="A92" s="6"/>
      <c r="B92" s="6"/>
      <c r="C92" s="6"/>
      <c r="D92" s="24"/>
      <c r="E92" s="6"/>
      <c r="F92" s="6"/>
      <c r="G92" s="6"/>
      <c r="H92" s="6" t="str">
        <f aca="false">IF(OR(F92="",G92=""),"",F92*G92)</f>
        <v/>
      </c>
      <c r="I92" s="13" t="str">
        <f aca="false">IF(H92="","",IF(H92&gt;=15,"RED",IF(H92&gt;=8,"AMBER","GREEN")))</f>
        <v/>
      </c>
      <c r="J92" s="25"/>
      <c r="K92" s="6"/>
      <c r="L92" s="6"/>
      <c r="M92" s="24"/>
      <c r="N92" s="6"/>
      <c r="O92" s="25"/>
      <c r="P92" s="6" t="str">
        <f aca="true">IF(J92="","",IF(N92="Closed",IF(O92="","",O92-J92),TODAY()-J92))</f>
        <v/>
      </c>
      <c r="Q92" s="6"/>
    </row>
    <row r="93" customFormat="false" ht="15" hidden="false" customHeight="true" outlineLevel="0" collapsed="false">
      <c r="A93" s="6"/>
      <c r="B93" s="6"/>
      <c r="C93" s="6"/>
      <c r="D93" s="24"/>
      <c r="E93" s="6"/>
      <c r="F93" s="6"/>
      <c r="G93" s="6"/>
      <c r="H93" s="6" t="str">
        <f aca="false">IF(OR(F93="",G93=""),"",F93*G93)</f>
        <v/>
      </c>
      <c r="I93" s="13" t="str">
        <f aca="false">IF(H93="","",IF(H93&gt;=15,"RED",IF(H93&gt;=8,"AMBER","GREEN")))</f>
        <v/>
      </c>
      <c r="J93" s="25"/>
      <c r="K93" s="6"/>
      <c r="L93" s="6"/>
      <c r="M93" s="24"/>
      <c r="N93" s="6"/>
      <c r="O93" s="25"/>
      <c r="P93" s="6" t="str">
        <f aca="true">IF(J93="","",IF(N93="Closed",IF(O93="","",O93-J93),TODAY()-J93))</f>
        <v/>
      </c>
      <c r="Q93" s="6"/>
    </row>
    <row r="94" customFormat="false" ht="15" hidden="false" customHeight="true" outlineLevel="0" collapsed="false">
      <c r="A94" s="6"/>
      <c r="B94" s="6"/>
      <c r="C94" s="6"/>
      <c r="D94" s="24"/>
      <c r="E94" s="6"/>
      <c r="F94" s="6"/>
      <c r="G94" s="6"/>
      <c r="H94" s="6" t="str">
        <f aca="false">IF(OR(F94="",G94=""),"",F94*G94)</f>
        <v/>
      </c>
      <c r="I94" s="13" t="str">
        <f aca="false">IF(H94="","",IF(H94&gt;=15,"RED",IF(H94&gt;=8,"AMBER","GREEN")))</f>
        <v/>
      </c>
      <c r="J94" s="25"/>
      <c r="K94" s="6"/>
      <c r="L94" s="6"/>
      <c r="M94" s="24"/>
      <c r="N94" s="6"/>
      <c r="O94" s="25"/>
      <c r="P94" s="6" t="str">
        <f aca="true">IF(J94="","",IF(N94="Closed",IF(O94="","",O94-J94),TODAY()-J94))</f>
        <v/>
      </c>
      <c r="Q94" s="6"/>
    </row>
    <row r="95" customFormat="false" ht="15" hidden="false" customHeight="true" outlineLevel="0" collapsed="false">
      <c r="A95" s="6"/>
      <c r="B95" s="6"/>
      <c r="C95" s="6"/>
      <c r="D95" s="24"/>
      <c r="E95" s="6"/>
      <c r="F95" s="6"/>
      <c r="G95" s="6"/>
      <c r="H95" s="6" t="str">
        <f aca="false">IF(OR(F95="",G95=""),"",F95*G95)</f>
        <v/>
      </c>
      <c r="I95" s="13" t="str">
        <f aca="false">IF(H95="","",IF(H95&gt;=15,"RED",IF(H95&gt;=8,"AMBER","GREEN")))</f>
        <v/>
      </c>
      <c r="J95" s="25"/>
      <c r="K95" s="6"/>
      <c r="L95" s="6"/>
      <c r="M95" s="24"/>
      <c r="N95" s="6"/>
      <c r="O95" s="25"/>
      <c r="P95" s="6" t="str">
        <f aca="true">IF(J95="","",IF(N95="Closed",IF(O95="","",O95-J95),TODAY()-J95))</f>
        <v/>
      </c>
      <c r="Q95" s="6"/>
    </row>
    <row r="96" customFormat="false" ht="15" hidden="false" customHeight="true" outlineLevel="0" collapsed="false">
      <c r="A96" s="6"/>
      <c r="B96" s="6"/>
      <c r="C96" s="6"/>
      <c r="D96" s="24"/>
      <c r="E96" s="6"/>
      <c r="F96" s="6"/>
      <c r="G96" s="6"/>
      <c r="H96" s="6" t="str">
        <f aca="false">IF(OR(F96="",G96=""),"",F96*G96)</f>
        <v/>
      </c>
      <c r="I96" s="13" t="str">
        <f aca="false">IF(H96="","",IF(H96&gt;=15,"RED",IF(H96&gt;=8,"AMBER","GREEN")))</f>
        <v/>
      </c>
      <c r="J96" s="25"/>
      <c r="K96" s="6"/>
      <c r="L96" s="6"/>
      <c r="M96" s="24"/>
      <c r="N96" s="6"/>
      <c r="O96" s="25"/>
      <c r="P96" s="6" t="str">
        <f aca="true">IF(J96="","",IF(N96="Closed",IF(O96="","",O96-J96),TODAY()-J96))</f>
        <v/>
      </c>
      <c r="Q96" s="6"/>
    </row>
    <row r="97" customFormat="false" ht="15" hidden="false" customHeight="true" outlineLevel="0" collapsed="false">
      <c r="A97" s="6"/>
      <c r="B97" s="6"/>
      <c r="C97" s="6"/>
      <c r="D97" s="24"/>
      <c r="E97" s="6"/>
      <c r="F97" s="6"/>
      <c r="G97" s="6"/>
      <c r="H97" s="6" t="str">
        <f aca="false">IF(OR(F97="",G97=""),"",F97*G97)</f>
        <v/>
      </c>
      <c r="I97" s="13" t="str">
        <f aca="false">IF(H97="","",IF(H97&gt;=15,"RED",IF(H97&gt;=8,"AMBER","GREEN")))</f>
        <v/>
      </c>
      <c r="J97" s="25"/>
      <c r="K97" s="6"/>
      <c r="L97" s="6"/>
      <c r="M97" s="24"/>
      <c r="N97" s="6"/>
      <c r="O97" s="25"/>
      <c r="P97" s="6" t="str">
        <f aca="true">IF(J97="","",IF(N97="Closed",IF(O97="","",O97-J97),TODAY()-J97))</f>
        <v/>
      </c>
      <c r="Q97" s="6"/>
    </row>
    <row r="98" customFormat="false" ht="15" hidden="false" customHeight="true" outlineLevel="0" collapsed="false">
      <c r="A98" s="6"/>
      <c r="B98" s="6"/>
      <c r="C98" s="6"/>
      <c r="D98" s="24"/>
      <c r="E98" s="6"/>
      <c r="F98" s="6"/>
      <c r="G98" s="6"/>
      <c r="H98" s="6" t="str">
        <f aca="false">IF(OR(F98="",G98=""),"",F98*G98)</f>
        <v/>
      </c>
      <c r="I98" s="13" t="str">
        <f aca="false">IF(H98="","",IF(H98&gt;=15,"RED",IF(H98&gt;=8,"AMBER","GREEN")))</f>
        <v/>
      </c>
      <c r="J98" s="25"/>
      <c r="K98" s="6"/>
      <c r="L98" s="6"/>
      <c r="M98" s="24"/>
      <c r="N98" s="6"/>
      <c r="O98" s="25"/>
      <c r="P98" s="6" t="str">
        <f aca="true">IF(J98="","",IF(N98="Closed",IF(O98="","",O98-J98),TODAY()-J98))</f>
        <v/>
      </c>
      <c r="Q98" s="6"/>
    </row>
    <row r="99" customFormat="false" ht="15" hidden="false" customHeight="true" outlineLevel="0" collapsed="false">
      <c r="A99" s="6"/>
      <c r="B99" s="6"/>
      <c r="C99" s="6"/>
      <c r="D99" s="24"/>
      <c r="E99" s="6"/>
      <c r="F99" s="6"/>
      <c r="G99" s="6"/>
      <c r="H99" s="6" t="str">
        <f aca="false">IF(OR(F99="",G99=""),"",F99*G99)</f>
        <v/>
      </c>
      <c r="I99" s="13" t="str">
        <f aca="false">IF(H99="","",IF(H99&gt;=15,"RED",IF(H99&gt;=8,"AMBER","GREEN")))</f>
        <v/>
      </c>
      <c r="J99" s="25"/>
      <c r="K99" s="6"/>
      <c r="L99" s="6"/>
      <c r="M99" s="24"/>
      <c r="N99" s="6"/>
      <c r="O99" s="25"/>
      <c r="P99" s="6" t="str">
        <f aca="true">IF(J99="","",IF(N99="Closed",IF(O99="","",O99-J99),TODAY()-J99))</f>
        <v/>
      </c>
      <c r="Q99" s="6"/>
    </row>
    <row r="100" customFormat="false" ht="15" hidden="false" customHeight="true" outlineLevel="0" collapsed="false">
      <c r="A100" s="6"/>
      <c r="B100" s="6"/>
      <c r="C100" s="6"/>
      <c r="D100" s="24"/>
      <c r="E100" s="6"/>
      <c r="F100" s="6"/>
      <c r="G100" s="6"/>
      <c r="H100" s="6" t="str">
        <f aca="false">IF(OR(F100="",G100=""),"",F100*G100)</f>
        <v/>
      </c>
      <c r="I100" s="13" t="str">
        <f aca="false">IF(H100="","",IF(H100&gt;=15,"RED",IF(H100&gt;=8,"AMBER","GREEN")))</f>
        <v/>
      </c>
      <c r="J100" s="25"/>
      <c r="K100" s="6"/>
      <c r="L100" s="6"/>
      <c r="M100" s="24"/>
      <c r="N100" s="6"/>
      <c r="O100" s="25"/>
      <c r="P100" s="6" t="str">
        <f aca="true">IF(J100="","",IF(N100="Closed",IF(O100="","",O100-J100),TODAY()-J100))</f>
        <v/>
      </c>
      <c r="Q100" s="6"/>
    </row>
    <row r="101" customFormat="false" ht="15" hidden="false" customHeight="true" outlineLevel="0" collapsed="false">
      <c r="A101" s="6"/>
      <c r="B101" s="6"/>
      <c r="C101" s="6"/>
      <c r="D101" s="24"/>
      <c r="E101" s="6"/>
      <c r="F101" s="6"/>
      <c r="G101" s="6"/>
      <c r="H101" s="6" t="str">
        <f aca="false">IF(OR(F101="",G101=""),"",F101*G101)</f>
        <v/>
      </c>
      <c r="I101" s="13" t="str">
        <f aca="false">IF(H101="","",IF(H101&gt;=15,"RED",IF(H101&gt;=8,"AMBER","GREEN")))</f>
        <v/>
      </c>
      <c r="J101" s="25"/>
      <c r="K101" s="6"/>
      <c r="L101" s="6"/>
      <c r="M101" s="24"/>
      <c r="N101" s="6"/>
      <c r="O101" s="25"/>
      <c r="P101" s="6" t="str">
        <f aca="true">IF(J101="","",IF(N101="Closed",IF(O101="","",O101-J101),TODAY()-J101))</f>
        <v/>
      </c>
      <c r="Q101" s="6"/>
    </row>
    <row r="102" customFormat="false" ht="15" hidden="false" customHeight="true" outlineLevel="0" collapsed="false">
      <c r="A102" s="6"/>
      <c r="B102" s="6"/>
      <c r="C102" s="6"/>
      <c r="D102" s="24"/>
      <c r="E102" s="6"/>
      <c r="F102" s="6"/>
      <c r="G102" s="6"/>
      <c r="H102" s="6" t="str">
        <f aca="false">IF(OR(F102="",G102=""),"",F102*G102)</f>
        <v/>
      </c>
      <c r="I102" s="13" t="str">
        <f aca="false">IF(H102="","",IF(H102&gt;=15,"RED",IF(H102&gt;=8,"AMBER","GREEN")))</f>
        <v/>
      </c>
      <c r="J102" s="25"/>
      <c r="K102" s="6"/>
      <c r="L102" s="6"/>
      <c r="M102" s="24"/>
      <c r="N102" s="6"/>
      <c r="O102" s="25"/>
      <c r="P102" s="6" t="str">
        <f aca="true">IF(J102="","",IF(N102="Closed",IF(O102="","",O102-J102),TODAY()-J102))</f>
        <v/>
      </c>
      <c r="Q102" s="6"/>
    </row>
    <row r="103" customFormat="false" ht="15" hidden="false" customHeight="true" outlineLevel="0" collapsed="false">
      <c r="A103" s="6"/>
      <c r="B103" s="6"/>
      <c r="C103" s="6"/>
      <c r="D103" s="24"/>
      <c r="E103" s="6"/>
      <c r="F103" s="6"/>
      <c r="G103" s="6"/>
      <c r="H103" s="6" t="str">
        <f aca="false">IF(OR(F103="",G103=""),"",F103*G103)</f>
        <v/>
      </c>
      <c r="I103" s="13" t="str">
        <f aca="false">IF(H103="","",IF(H103&gt;=15,"RED",IF(H103&gt;=8,"AMBER","GREEN")))</f>
        <v/>
      </c>
      <c r="J103" s="25"/>
      <c r="K103" s="6"/>
      <c r="L103" s="6"/>
      <c r="M103" s="24"/>
      <c r="N103" s="6"/>
      <c r="O103" s="25"/>
      <c r="P103" s="6" t="str">
        <f aca="true">IF(J103="","",IF(N103="Closed",IF(O103="","",O103-J103),TODAY()-J103))</f>
        <v/>
      </c>
      <c r="Q103" s="6"/>
    </row>
    <row r="104" customFormat="false" ht="15" hidden="false" customHeight="true" outlineLevel="0" collapsed="false">
      <c r="A104" s="6"/>
      <c r="B104" s="6"/>
      <c r="C104" s="6"/>
      <c r="D104" s="24"/>
      <c r="E104" s="6"/>
      <c r="F104" s="6"/>
      <c r="G104" s="6"/>
      <c r="H104" s="6" t="str">
        <f aca="false">IF(OR(F104="",G104=""),"",F104*G104)</f>
        <v/>
      </c>
      <c r="I104" s="13" t="str">
        <f aca="false">IF(H104="","",IF(H104&gt;=15,"RED",IF(H104&gt;=8,"AMBER","GREEN")))</f>
        <v/>
      </c>
      <c r="J104" s="25"/>
      <c r="K104" s="6"/>
      <c r="L104" s="6"/>
      <c r="M104" s="24"/>
      <c r="N104" s="6"/>
      <c r="O104" s="25"/>
      <c r="P104" s="6" t="str">
        <f aca="true">IF(J104="","",IF(N104="Closed",IF(O104="","",O104-J104),TODAY()-J104))</f>
        <v/>
      </c>
      <c r="Q104" s="6"/>
    </row>
    <row r="105" customFormat="false" ht="15" hidden="false" customHeight="true" outlineLevel="0" collapsed="false">
      <c r="A105" s="6"/>
      <c r="B105" s="6"/>
      <c r="C105" s="6"/>
      <c r="D105" s="24"/>
      <c r="E105" s="6"/>
      <c r="F105" s="6"/>
      <c r="G105" s="6"/>
      <c r="H105" s="6" t="str">
        <f aca="false">IF(OR(F105="",G105=""),"",F105*G105)</f>
        <v/>
      </c>
      <c r="I105" s="13" t="str">
        <f aca="false">IF(H105="","",IF(H105&gt;=15,"RED",IF(H105&gt;=8,"AMBER","GREEN")))</f>
        <v/>
      </c>
      <c r="J105" s="25"/>
      <c r="K105" s="6"/>
      <c r="L105" s="6"/>
      <c r="M105" s="24"/>
      <c r="N105" s="6"/>
      <c r="O105" s="25"/>
      <c r="P105" s="6" t="str">
        <f aca="true">IF(J105="","",IF(N105="Closed",IF(O105="","",O105-J105),TODAY()-J105))</f>
        <v/>
      </c>
      <c r="Q105" s="6"/>
    </row>
    <row r="106" customFormat="false" ht="15" hidden="false" customHeight="true" outlineLevel="0" collapsed="false">
      <c r="A106" s="6"/>
      <c r="B106" s="6"/>
      <c r="C106" s="6"/>
      <c r="D106" s="24"/>
      <c r="E106" s="6"/>
      <c r="F106" s="6"/>
      <c r="G106" s="6"/>
      <c r="H106" s="6" t="str">
        <f aca="false">IF(OR(F106="",G106=""),"",F106*G106)</f>
        <v/>
      </c>
      <c r="I106" s="13" t="str">
        <f aca="false">IF(H106="","",IF(H106&gt;=15,"RED",IF(H106&gt;=8,"AMBER","GREEN")))</f>
        <v/>
      </c>
      <c r="J106" s="25"/>
      <c r="K106" s="6"/>
      <c r="L106" s="6"/>
      <c r="M106" s="24"/>
      <c r="N106" s="6"/>
      <c r="O106" s="25"/>
      <c r="P106" s="6" t="str">
        <f aca="true">IF(J106="","",IF(N106="Closed",IF(O106="","",O106-J106),TODAY()-J106))</f>
        <v/>
      </c>
      <c r="Q106" s="6"/>
    </row>
    <row r="107" customFormat="false" ht="15" hidden="false" customHeight="true" outlineLevel="0" collapsed="false">
      <c r="A107" s="6"/>
      <c r="B107" s="6"/>
      <c r="C107" s="6"/>
      <c r="D107" s="24"/>
      <c r="E107" s="6"/>
      <c r="F107" s="6"/>
      <c r="G107" s="6"/>
      <c r="H107" s="6" t="str">
        <f aca="false">IF(OR(F107="",G107=""),"",F107*G107)</f>
        <v/>
      </c>
      <c r="I107" s="13" t="str">
        <f aca="false">IF(H107="","",IF(H107&gt;=15,"RED",IF(H107&gt;=8,"AMBER","GREEN")))</f>
        <v/>
      </c>
      <c r="J107" s="25"/>
      <c r="K107" s="6"/>
      <c r="L107" s="6"/>
      <c r="M107" s="24"/>
      <c r="N107" s="6"/>
      <c r="O107" s="25"/>
      <c r="P107" s="6" t="str">
        <f aca="true">IF(J107="","",IF(N107="Closed",IF(O107="","",O107-J107),TODAY()-J107))</f>
        <v/>
      </c>
      <c r="Q107" s="6"/>
    </row>
    <row r="108" customFormat="false" ht="15" hidden="false" customHeight="true" outlineLevel="0" collapsed="false">
      <c r="A108" s="6"/>
      <c r="B108" s="6"/>
      <c r="C108" s="6"/>
      <c r="D108" s="24"/>
      <c r="E108" s="6"/>
      <c r="F108" s="6"/>
      <c r="G108" s="6"/>
      <c r="H108" s="6" t="str">
        <f aca="false">IF(OR(F108="",G108=""),"",F108*G108)</f>
        <v/>
      </c>
      <c r="I108" s="13" t="str">
        <f aca="false">IF(H108="","",IF(H108&gt;=15,"RED",IF(H108&gt;=8,"AMBER","GREEN")))</f>
        <v/>
      </c>
      <c r="J108" s="25"/>
      <c r="K108" s="6"/>
      <c r="L108" s="6"/>
      <c r="M108" s="24"/>
      <c r="N108" s="6"/>
      <c r="O108" s="25"/>
      <c r="P108" s="6" t="str">
        <f aca="true">IF(J108="","",IF(N108="Closed",IF(O108="","",O108-J108),TODAY()-J108))</f>
        <v/>
      </c>
      <c r="Q108" s="6"/>
    </row>
    <row r="109" customFormat="false" ht="15" hidden="false" customHeight="true" outlineLevel="0" collapsed="false">
      <c r="A109" s="6"/>
      <c r="B109" s="6"/>
      <c r="C109" s="6"/>
      <c r="D109" s="24"/>
      <c r="E109" s="6"/>
      <c r="F109" s="6"/>
      <c r="G109" s="6"/>
      <c r="H109" s="6" t="str">
        <f aca="false">IF(OR(F109="",G109=""),"",F109*G109)</f>
        <v/>
      </c>
      <c r="I109" s="13" t="str">
        <f aca="false">IF(H109="","",IF(H109&gt;=15,"RED",IF(H109&gt;=8,"AMBER","GREEN")))</f>
        <v/>
      </c>
      <c r="J109" s="25"/>
      <c r="K109" s="6"/>
      <c r="L109" s="6"/>
      <c r="M109" s="24"/>
      <c r="N109" s="6"/>
      <c r="O109" s="25"/>
      <c r="P109" s="6" t="str">
        <f aca="true">IF(J109="","",IF(N109="Closed",IF(O109="","",O109-J109),TODAY()-J109))</f>
        <v/>
      </c>
      <c r="Q109" s="6"/>
    </row>
    <row r="110" customFormat="false" ht="15" hidden="false" customHeight="true" outlineLevel="0" collapsed="false">
      <c r="A110" s="6"/>
      <c r="B110" s="6"/>
      <c r="C110" s="6"/>
      <c r="D110" s="24"/>
      <c r="E110" s="6"/>
      <c r="F110" s="6"/>
      <c r="G110" s="6"/>
      <c r="H110" s="6" t="str">
        <f aca="false">IF(OR(F110="",G110=""),"",F110*G110)</f>
        <v/>
      </c>
      <c r="I110" s="13" t="str">
        <f aca="false">IF(H110="","",IF(H110&gt;=15,"RED",IF(H110&gt;=8,"AMBER","GREEN")))</f>
        <v/>
      </c>
      <c r="J110" s="25"/>
      <c r="K110" s="6"/>
      <c r="L110" s="6"/>
      <c r="M110" s="24"/>
      <c r="N110" s="6"/>
      <c r="O110" s="25"/>
      <c r="P110" s="6" t="str">
        <f aca="true">IF(J110="","",IF(N110="Closed",IF(O110="","",O110-J110),TODAY()-J110))</f>
        <v/>
      </c>
      <c r="Q110" s="6"/>
    </row>
    <row r="111" customFormat="false" ht="15" hidden="false" customHeight="true" outlineLevel="0" collapsed="false">
      <c r="A111" s="6"/>
      <c r="B111" s="6"/>
      <c r="C111" s="6"/>
      <c r="D111" s="24"/>
      <c r="E111" s="6"/>
      <c r="F111" s="6"/>
      <c r="G111" s="6"/>
      <c r="H111" s="6" t="str">
        <f aca="false">IF(OR(F111="",G111=""),"",F111*G111)</f>
        <v/>
      </c>
      <c r="I111" s="13" t="str">
        <f aca="false">IF(H111="","",IF(H111&gt;=15,"RED",IF(H111&gt;=8,"AMBER","GREEN")))</f>
        <v/>
      </c>
      <c r="J111" s="25"/>
      <c r="K111" s="6"/>
      <c r="L111" s="6"/>
      <c r="M111" s="24"/>
      <c r="N111" s="6"/>
      <c r="O111" s="25"/>
      <c r="P111" s="6" t="str">
        <f aca="true">IF(J111="","",IF(N111="Closed",IF(O111="","",O111-J111),TODAY()-J111))</f>
        <v/>
      </c>
      <c r="Q111" s="6"/>
    </row>
    <row r="112" customFormat="false" ht="15" hidden="false" customHeight="true" outlineLevel="0" collapsed="false">
      <c r="A112" s="6"/>
      <c r="B112" s="6"/>
      <c r="C112" s="6"/>
      <c r="D112" s="24"/>
      <c r="E112" s="6"/>
      <c r="F112" s="6"/>
      <c r="G112" s="6"/>
      <c r="H112" s="6" t="str">
        <f aca="false">IF(OR(F112="",G112=""),"",F112*G112)</f>
        <v/>
      </c>
      <c r="I112" s="13" t="str">
        <f aca="false">IF(H112="","",IF(H112&gt;=15,"RED",IF(H112&gt;=8,"AMBER","GREEN")))</f>
        <v/>
      </c>
      <c r="J112" s="25"/>
      <c r="K112" s="6"/>
      <c r="L112" s="6"/>
      <c r="M112" s="24"/>
      <c r="N112" s="6"/>
      <c r="O112" s="25"/>
      <c r="P112" s="6" t="str">
        <f aca="true">IF(J112="","",IF(N112="Closed",IF(O112="","",O112-J112),TODAY()-J112))</f>
        <v/>
      </c>
      <c r="Q112" s="6"/>
    </row>
    <row r="113" customFormat="false" ht="15" hidden="false" customHeight="true" outlineLevel="0" collapsed="false">
      <c r="A113" s="6"/>
      <c r="B113" s="6"/>
      <c r="C113" s="6"/>
      <c r="D113" s="24"/>
      <c r="E113" s="6"/>
      <c r="F113" s="6"/>
      <c r="G113" s="6"/>
      <c r="H113" s="6" t="str">
        <f aca="false">IF(OR(F113="",G113=""),"",F113*G113)</f>
        <v/>
      </c>
      <c r="I113" s="13" t="str">
        <f aca="false">IF(H113="","",IF(H113&gt;=15,"RED",IF(H113&gt;=8,"AMBER","GREEN")))</f>
        <v/>
      </c>
      <c r="J113" s="25"/>
      <c r="K113" s="6"/>
      <c r="L113" s="6"/>
      <c r="M113" s="24"/>
      <c r="N113" s="6"/>
      <c r="O113" s="25"/>
      <c r="P113" s="6" t="str">
        <f aca="true">IF(J113="","",IF(N113="Closed",IF(O113="","",O113-J113),TODAY()-J113))</f>
        <v/>
      </c>
      <c r="Q113" s="6"/>
    </row>
    <row r="114" customFormat="false" ht="15" hidden="false" customHeight="true" outlineLevel="0" collapsed="false">
      <c r="A114" s="6"/>
      <c r="B114" s="6"/>
      <c r="C114" s="6"/>
      <c r="D114" s="24"/>
      <c r="E114" s="6"/>
      <c r="F114" s="6"/>
      <c r="G114" s="6"/>
      <c r="H114" s="6" t="str">
        <f aca="false">IF(OR(F114="",G114=""),"",F114*G114)</f>
        <v/>
      </c>
      <c r="I114" s="13" t="str">
        <f aca="false">IF(H114="","",IF(H114&gt;=15,"RED",IF(H114&gt;=8,"AMBER","GREEN")))</f>
        <v/>
      </c>
      <c r="J114" s="25"/>
      <c r="K114" s="6"/>
      <c r="L114" s="6"/>
      <c r="M114" s="24"/>
      <c r="N114" s="6"/>
      <c r="O114" s="25"/>
      <c r="P114" s="6" t="str">
        <f aca="true">IF(J114="","",IF(N114="Closed",IF(O114="","",O114-J114),TODAY()-J114))</f>
        <v/>
      </c>
      <c r="Q114" s="6"/>
    </row>
    <row r="115" customFormat="false" ht="15" hidden="false" customHeight="true" outlineLevel="0" collapsed="false">
      <c r="A115" s="6"/>
      <c r="B115" s="6"/>
      <c r="C115" s="6"/>
      <c r="D115" s="24"/>
      <c r="E115" s="6"/>
      <c r="F115" s="6"/>
      <c r="G115" s="6"/>
      <c r="H115" s="6" t="str">
        <f aca="false">IF(OR(F115="",G115=""),"",F115*G115)</f>
        <v/>
      </c>
      <c r="I115" s="13" t="str">
        <f aca="false">IF(H115="","",IF(H115&gt;=15,"RED",IF(H115&gt;=8,"AMBER","GREEN")))</f>
        <v/>
      </c>
      <c r="J115" s="25"/>
      <c r="K115" s="6"/>
      <c r="L115" s="6"/>
      <c r="M115" s="24"/>
      <c r="N115" s="6"/>
      <c r="O115" s="25"/>
      <c r="P115" s="6" t="str">
        <f aca="true">IF(J115="","",IF(N115="Closed",IF(O115="","",O115-J115),TODAY()-J115))</f>
        <v/>
      </c>
      <c r="Q115" s="6"/>
    </row>
    <row r="116" customFormat="false" ht="15" hidden="false" customHeight="true" outlineLevel="0" collapsed="false">
      <c r="A116" s="6"/>
      <c r="B116" s="6"/>
      <c r="C116" s="6"/>
      <c r="D116" s="24"/>
      <c r="E116" s="6"/>
      <c r="F116" s="6"/>
      <c r="G116" s="6"/>
      <c r="H116" s="6" t="str">
        <f aca="false">IF(OR(F116="",G116=""),"",F116*G116)</f>
        <v/>
      </c>
      <c r="I116" s="13" t="str">
        <f aca="false">IF(H116="","",IF(H116&gt;=15,"RED",IF(H116&gt;=8,"AMBER","GREEN")))</f>
        <v/>
      </c>
      <c r="J116" s="25"/>
      <c r="K116" s="6"/>
      <c r="L116" s="6"/>
      <c r="M116" s="24"/>
      <c r="N116" s="6"/>
      <c r="O116" s="25"/>
      <c r="P116" s="6" t="str">
        <f aca="true">IF(J116="","",IF(N116="Closed",IF(O116="","",O116-J116),TODAY()-J116))</f>
        <v/>
      </c>
      <c r="Q116" s="6"/>
    </row>
    <row r="117" customFormat="false" ht="15" hidden="false" customHeight="true" outlineLevel="0" collapsed="false">
      <c r="A117" s="6"/>
      <c r="B117" s="6"/>
      <c r="C117" s="6"/>
      <c r="D117" s="24"/>
      <c r="E117" s="6"/>
      <c r="F117" s="6"/>
      <c r="G117" s="6"/>
      <c r="H117" s="6" t="str">
        <f aca="false">IF(OR(F117="",G117=""),"",F117*G117)</f>
        <v/>
      </c>
      <c r="I117" s="13" t="str">
        <f aca="false">IF(H117="","",IF(H117&gt;=15,"RED",IF(H117&gt;=8,"AMBER","GREEN")))</f>
        <v/>
      </c>
      <c r="J117" s="25"/>
      <c r="K117" s="6"/>
      <c r="L117" s="6"/>
      <c r="M117" s="24"/>
      <c r="N117" s="6"/>
      <c r="O117" s="25"/>
      <c r="P117" s="6" t="str">
        <f aca="true">IF(J117="","",IF(N117="Closed",IF(O117="","",O117-J117),TODAY()-J117))</f>
        <v/>
      </c>
      <c r="Q117" s="6"/>
    </row>
    <row r="118" customFormat="false" ht="15" hidden="false" customHeight="true" outlineLevel="0" collapsed="false">
      <c r="A118" s="6"/>
      <c r="B118" s="6"/>
      <c r="C118" s="6"/>
      <c r="D118" s="24"/>
      <c r="E118" s="6"/>
      <c r="F118" s="6"/>
      <c r="G118" s="6"/>
      <c r="H118" s="6" t="str">
        <f aca="false">IF(OR(F118="",G118=""),"",F118*G118)</f>
        <v/>
      </c>
      <c r="I118" s="13" t="str">
        <f aca="false">IF(H118="","",IF(H118&gt;=15,"RED",IF(H118&gt;=8,"AMBER","GREEN")))</f>
        <v/>
      </c>
      <c r="J118" s="25"/>
      <c r="K118" s="6"/>
      <c r="L118" s="6"/>
      <c r="M118" s="24"/>
      <c r="N118" s="6"/>
      <c r="O118" s="25"/>
      <c r="P118" s="6" t="str">
        <f aca="true">IF(J118="","",IF(N118="Closed",IF(O118="","",O118-J118),TODAY()-J118))</f>
        <v/>
      </c>
      <c r="Q118" s="6"/>
    </row>
    <row r="119" customFormat="false" ht="15" hidden="false" customHeight="true" outlineLevel="0" collapsed="false">
      <c r="A119" s="6"/>
      <c r="B119" s="6"/>
      <c r="C119" s="6"/>
      <c r="D119" s="24"/>
      <c r="E119" s="6"/>
      <c r="F119" s="6"/>
      <c r="G119" s="6"/>
      <c r="H119" s="6" t="str">
        <f aca="false">IF(OR(F119="",G119=""),"",F119*G119)</f>
        <v/>
      </c>
      <c r="I119" s="13" t="str">
        <f aca="false">IF(H119="","",IF(H119&gt;=15,"RED",IF(H119&gt;=8,"AMBER","GREEN")))</f>
        <v/>
      </c>
      <c r="J119" s="25"/>
      <c r="K119" s="6"/>
      <c r="L119" s="6"/>
      <c r="M119" s="24"/>
      <c r="N119" s="6"/>
      <c r="O119" s="25"/>
      <c r="P119" s="6" t="str">
        <f aca="true">IF(J119="","",IF(N119="Closed",IF(O119="","",O119-J119),TODAY()-J119))</f>
        <v/>
      </c>
      <c r="Q119" s="6"/>
    </row>
    <row r="120" customFormat="false" ht="15" hidden="false" customHeight="true" outlineLevel="0" collapsed="false">
      <c r="A120" s="6"/>
      <c r="B120" s="6"/>
      <c r="C120" s="6"/>
      <c r="D120" s="24"/>
      <c r="E120" s="6"/>
      <c r="F120" s="6"/>
      <c r="G120" s="6"/>
      <c r="H120" s="6" t="str">
        <f aca="false">IF(OR(F120="",G120=""),"",F120*G120)</f>
        <v/>
      </c>
      <c r="I120" s="13" t="str">
        <f aca="false">IF(H120="","",IF(H120&gt;=15,"RED",IF(H120&gt;=8,"AMBER","GREEN")))</f>
        <v/>
      </c>
      <c r="J120" s="25"/>
      <c r="K120" s="6"/>
      <c r="L120" s="6"/>
      <c r="M120" s="24"/>
      <c r="N120" s="6"/>
      <c r="O120" s="25"/>
      <c r="P120" s="6" t="str">
        <f aca="true">IF(J120="","",IF(N120="Closed",IF(O120="","",O120-J120),TODAY()-J120))</f>
        <v/>
      </c>
      <c r="Q120" s="6"/>
    </row>
    <row r="121" customFormat="false" ht="15" hidden="false" customHeight="true" outlineLevel="0" collapsed="false">
      <c r="A121" s="6"/>
      <c r="B121" s="6"/>
      <c r="C121" s="6"/>
      <c r="D121" s="24"/>
      <c r="E121" s="6"/>
      <c r="F121" s="6"/>
      <c r="G121" s="6"/>
      <c r="H121" s="6" t="str">
        <f aca="false">IF(OR(F121="",G121=""),"",F121*G121)</f>
        <v/>
      </c>
      <c r="I121" s="13" t="str">
        <f aca="false">IF(H121="","",IF(H121&gt;=15,"RED",IF(H121&gt;=8,"AMBER","GREEN")))</f>
        <v/>
      </c>
      <c r="J121" s="25"/>
      <c r="K121" s="6"/>
      <c r="L121" s="6"/>
      <c r="M121" s="24"/>
      <c r="N121" s="6"/>
      <c r="O121" s="25"/>
      <c r="P121" s="6" t="str">
        <f aca="true">IF(J121="","",IF(N121="Closed",IF(O121="","",O121-J121),TODAY()-J121))</f>
        <v/>
      </c>
      <c r="Q121" s="6"/>
    </row>
    <row r="122" customFormat="false" ht="15" hidden="false" customHeight="true" outlineLevel="0" collapsed="false">
      <c r="A122" s="6"/>
      <c r="B122" s="6"/>
      <c r="C122" s="6"/>
      <c r="D122" s="24"/>
      <c r="E122" s="6"/>
      <c r="F122" s="6"/>
      <c r="G122" s="6"/>
      <c r="H122" s="6" t="str">
        <f aca="false">IF(OR(F122="",G122=""),"",F122*G122)</f>
        <v/>
      </c>
      <c r="I122" s="13" t="str">
        <f aca="false">IF(H122="","",IF(H122&gt;=15,"RED",IF(H122&gt;=8,"AMBER","GREEN")))</f>
        <v/>
      </c>
      <c r="J122" s="25"/>
      <c r="K122" s="6"/>
      <c r="L122" s="6"/>
      <c r="M122" s="24"/>
      <c r="N122" s="6"/>
      <c r="O122" s="25"/>
      <c r="P122" s="6" t="str">
        <f aca="true">IF(J122="","",IF(N122="Closed",IF(O122="","",O122-J122),TODAY()-J122))</f>
        <v/>
      </c>
      <c r="Q122" s="6"/>
    </row>
    <row r="123" customFormat="false" ht="15" hidden="false" customHeight="true" outlineLevel="0" collapsed="false">
      <c r="A123" s="6"/>
      <c r="B123" s="6"/>
      <c r="C123" s="6"/>
      <c r="D123" s="24"/>
      <c r="E123" s="6"/>
      <c r="F123" s="6"/>
      <c r="G123" s="6"/>
      <c r="H123" s="6" t="str">
        <f aca="false">IF(OR(F123="",G123=""),"",F123*G123)</f>
        <v/>
      </c>
      <c r="I123" s="13" t="str">
        <f aca="false">IF(H123="","",IF(H123&gt;=15,"RED",IF(H123&gt;=8,"AMBER","GREEN")))</f>
        <v/>
      </c>
      <c r="J123" s="25"/>
      <c r="K123" s="6"/>
      <c r="L123" s="6"/>
      <c r="M123" s="24"/>
      <c r="N123" s="6"/>
      <c r="O123" s="25"/>
      <c r="P123" s="6" t="str">
        <f aca="true">IF(J123="","",IF(N123="Closed",IF(O123="","",O123-J123),TODAY()-J123))</f>
        <v/>
      </c>
      <c r="Q123" s="6"/>
    </row>
    <row r="124" customFormat="false" ht="15" hidden="false" customHeight="true" outlineLevel="0" collapsed="false">
      <c r="A124" s="6"/>
      <c r="B124" s="6"/>
      <c r="C124" s="6"/>
      <c r="D124" s="24"/>
      <c r="E124" s="6"/>
      <c r="F124" s="6"/>
      <c r="G124" s="6"/>
      <c r="H124" s="6" t="str">
        <f aca="false">IF(OR(F124="",G124=""),"",F124*G124)</f>
        <v/>
      </c>
      <c r="I124" s="13" t="str">
        <f aca="false">IF(H124="","",IF(H124&gt;=15,"RED",IF(H124&gt;=8,"AMBER","GREEN")))</f>
        <v/>
      </c>
      <c r="J124" s="25"/>
      <c r="K124" s="6"/>
      <c r="L124" s="6"/>
      <c r="M124" s="24"/>
      <c r="N124" s="6"/>
      <c r="O124" s="25"/>
      <c r="P124" s="6" t="str">
        <f aca="true">IF(J124="","",IF(N124="Closed",IF(O124="","",O124-J124),TODAY()-J124))</f>
        <v/>
      </c>
      <c r="Q124" s="6"/>
    </row>
    <row r="125" customFormat="false" ht="15" hidden="false" customHeight="true" outlineLevel="0" collapsed="false">
      <c r="A125" s="6"/>
      <c r="B125" s="6"/>
      <c r="C125" s="6"/>
      <c r="D125" s="24"/>
      <c r="E125" s="6"/>
      <c r="F125" s="6"/>
      <c r="G125" s="6"/>
      <c r="H125" s="6" t="str">
        <f aca="false">IF(OR(F125="",G125=""),"",F125*G125)</f>
        <v/>
      </c>
      <c r="I125" s="13" t="str">
        <f aca="false">IF(H125="","",IF(H125&gt;=15,"RED",IF(H125&gt;=8,"AMBER","GREEN")))</f>
        <v/>
      </c>
      <c r="J125" s="25"/>
      <c r="K125" s="6"/>
      <c r="L125" s="6"/>
      <c r="M125" s="24"/>
      <c r="N125" s="6"/>
      <c r="O125" s="25"/>
      <c r="P125" s="6" t="str">
        <f aca="true">IF(J125="","",IF(N125="Closed",IF(O125="","",O125-J125),TODAY()-J125))</f>
        <v/>
      </c>
      <c r="Q125" s="6"/>
    </row>
    <row r="126" customFormat="false" ht="15" hidden="false" customHeight="true" outlineLevel="0" collapsed="false">
      <c r="A126" s="6"/>
      <c r="B126" s="6"/>
      <c r="C126" s="6"/>
      <c r="D126" s="24"/>
      <c r="E126" s="6"/>
      <c r="F126" s="6"/>
      <c r="G126" s="6"/>
      <c r="H126" s="6" t="str">
        <f aca="false">IF(OR(F126="",G126=""),"",F126*G126)</f>
        <v/>
      </c>
      <c r="I126" s="13" t="str">
        <f aca="false">IF(H126="","",IF(H126&gt;=15,"RED",IF(H126&gt;=8,"AMBER","GREEN")))</f>
        <v/>
      </c>
      <c r="J126" s="25"/>
      <c r="K126" s="6"/>
      <c r="L126" s="6"/>
      <c r="M126" s="24"/>
      <c r="N126" s="6"/>
      <c r="O126" s="25"/>
      <c r="P126" s="6" t="str">
        <f aca="true">IF(J126="","",IF(N126="Closed",IF(O126="","",O126-J126),TODAY()-J126))</f>
        <v/>
      </c>
      <c r="Q126" s="6"/>
    </row>
    <row r="127" customFormat="false" ht="15" hidden="false" customHeight="true" outlineLevel="0" collapsed="false">
      <c r="A127" s="6"/>
      <c r="B127" s="6"/>
      <c r="C127" s="6"/>
      <c r="D127" s="24"/>
      <c r="E127" s="6"/>
      <c r="F127" s="6"/>
      <c r="G127" s="6"/>
      <c r="H127" s="6" t="str">
        <f aca="false">IF(OR(F127="",G127=""),"",F127*G127)</f>
        <v/>
      </c>
      <c r="I127" s="13" t="str">
        <f aca="false">IF(H127="","",IF(H127&gt;=15,"RED",IF(H127&gt;=8,"AMBER","GREEN")))</f>
        <v/>
      </c>
      <c r="J127" s="25"/>
      <c r="K127" s="6"/>
      <c r="L127" s="6"/>
      <c r="M127" s="24"/>
      <c r="N127" s="6"/>
      <c r="O127" s="25"/>
      <c r="P127" s="6" t="str">
        <f aca="true">IF(J127="","",IF(N127="Closed",IF(O127="","",O127-J127),TODAY()-J127))</f>
        <v/>
      </c>
      <c r="Q127" s="6"/>
    </row>
    <row r="128" customFormat="false" ht="15" hidden="false" customHeight="true" outlineLevel="0" collapsed="false">
      <c r="A128" s="6"/>
      <c r="B128" s="6"/>
      <c r="C128" s="6"/>
      <c r="D128" s="24"/>
      <c r="E128" s="6"/>
      <c r="F128" s="6"/>
      <c r="G128" s="6"/>
      <c r="H128" s="6" t="str">
        <f aca="false">IF(OR(F128="",G128=""),"",F128*G128)</f>
        <v/>
      </c>
      <c r="I128" s="13" t="str">
        <f aca="false">IF(H128="","",IF(H128&gt;=15,"RED",IF(H128&gt;=8,"AMBER","GREEN")))</f>
        <v/>
      </c>
      <c r="J128" s="25"/>
      <c r="K128" s="6"/>
      <c r="L128" s="6"/>
      <c r="M128" s="24"/>
      <c r="N128" s="6"/>
      <c r="O128" s="25"/>
      <c r="P128" s="6" t="str">
        <f aca="true">IF(J128="","",IF(N128="Closed",IF(O128="","",O128-J128),TODAY()-J128))</f>
        <v/>
      </c>
      <c r="Q128" s="6"/>
    </row>
    <row r="129" customFormat="false" ht="15" hidden="false" customHeight="true" outlineLevel="0" collapsed="false">
      <c r="A129" s="6"/>
      <c r="B129" s="6"/>
      <c r="C129" s="6"/>
      <c r="D129" s="24"/>
      <c r="E129" s="6"/>
      <c r="F129" s="6"/>
      <c r="G129" s="6"/>
      <c r="H129" s="6" t="str">
        <f aca="false">IF(OR(F129="",G129=""),"",F129*G129)</f>
        <v/>
      </c>
      <c r="I129" s="13" t="str">
        <f aca="false">IF(H129="","",IF(H129&gt;=15,"RED",IF(H129&gt;=8,"AMBER","GREEN")))</f>
        <v/>
      </c>
      <c r="J129" s="25"/>
      <c r="K129" s="6"/>
      <c r="L129" s="6"/>
      <c r="M129" s="24"/>
      <c r="N129" s="6"/>
      <c r="O129" s="25"/>
      <c r="P129" s="6" t="str">
        <f aca="true">IF(J129="","",IF(N129="Closed",IF(O129="","",O129-J129),TODAY()-J129))</f>
        <v/>
      </c>
      <c r="Q129" s="6"/>
    </row>
    <row r="130" customFormat="false" ht="15" hidden="false" customHeight="true" outlineLevel="0" collapsed="false">
      <c r="A130" s="6"/>
      <c r="B130" s="6"/>
      <c r="C130" s="6"/>
      <c r="D130" s="24"/>
      <c r="E130" s="6"/>
      <c r="F130" s="6"/>
      <c r="G130" s="6"/>
      <c r="H130" s="6" t="str">
        <f aca="false">IF(OR(F130="",G130=""),"",F130*G130)</f>
        <v/>
      </c>
      <c r="I130" s="13" t="str">
        <f aca="false">IF(H130="","",IF(H130&gt;=15,"RED",IF(H130&gt;=8,"AMBER","GREEN")))</f>
        <v/>
      </c>
      <c r="J130" s="25"/>
      <c r="K130" s="6"/>
      <c r="L130" s="6"/>
      <c r="M130" s="24"/>
      <c r="N130" s="6"/>
      <c r="O130" s="25"/>
      <c r="P130" s="6" t="str">
        <f aca="true">IF(J130="","",IF(N130="Closed",IF(O130="","",O130-J130),TODAY()-J130))</f>
        <v/>
      </c>
      <c r="Q130" s="6"/>
    </row>
    <row r="131" customFormat="false" ht="15" hidden="false" customHeight="true" outlineLevel="0" collapsed="false">
      <c r="A131" s="6"/>
      <c r="B131" s="6"/>
      <c r="C131" s="6"/>
      <c r="D131" s="24"/>
      <c r="E131" s="6"/>
      <c r="F131" s="6"/>
      <c r="G131" s="6"/>
      <c r="H131" s="6" t="str">
        <f aca="false">IF(OR(F131="",G131=""),"",F131*G131)</f>
        <v/>
      </c>
      <c r="I131" s="13" t="str">
        <f aca="false">IF(H131="","",IF(H131&gt;=15,"RED",IF(H131&gt;=8,"AMBER","GREEN")))</f>
        <v/>
      </c>
      <c r="J131" s="25"/>
      <c r="K131" s="6"/>
      <c r="L131" s="6"/>
      <c r="M131" s="24"/>
      <c r="N131" s="6"/>
      <c r="O131" s="25"/>
      <c r="P131" s="6" t="str">
        <f aca="true">IF(J131="","",IF(N131="Closed",IF(O131="","",O131-J131),TODAY()-J131))</f>
        <v/>
      </c>
      <c r="Q131" s="6"/>
    </row>
    <row r="132" customFormat="false" ht="15" hidden="false" customHeight="true" outlineLevel="0" collapsed="false">
      <c r="A132" s="6"/>
      <c r="B132" s="6"/>
      <c r="C132" s="6"/>
      <c r="D132" s="24"/>
      <c r="E132" s="6"/>
      <c r="F132" s="6"/>
      <c r="G132" s="6"/>
      <c r="H132" s="6" t="str">
        <f aca="false">IF(OR(F132="",G132=""),"",F132*G132)</f>
        <v/>
      </c>
      <c r="I132" s="13" t="str">
        <f aca="false">IF(H132="","",IF(H132&gt;=15,"RED",IF(H132&gt;=8,"AMBER","GREEN")))</f>
        <v/>
      </c>
      <c r="J132" s="25"/>
      <c r="K132" s="6"/>
      <c r="L132" s="6"/>
      <c r="M132" s="24"/>
      <c r="N132" s="6"/>
      <c r="O132" s="25"/>
      <c r="P132" s="6" t="str">
        <f aca="true">IF(J132="","",IF(N132="Closed",IF(O132="","",O132-J132),TODAY()-J132))</f>
        <v/>
      </c>
      <c r="Q132" s="6"/>
    </row>
    <row r="133" customFormat="false" ht="15" hidden="false" customHeight="true" outlineLevel="0" collapsed="false">
      <c r="A133" s="6"/>
      <c r="B133" s="6"/>
      <c r="C133" s="6"/>
      <c r="D133" s="24"/>
      <c r="E133" s="6"/>
      <c r="F133" s="6"/>
      <c r="G133" s="6"/>
      <c r="H133" s="6" t="str">
        <f aca="false">IF(OR(F133="",G133=""),"",F133*G133)</f>
        <v/>
      </c>
      <c r="I133" s="13" t="str">
        <f aca="false">IF(H133="","",IF(H133&gt;=15,"RED",IF(H133&gt;=8,"AMBER","GREEN")))</f>
        <v/>
      </c>
      <c r="J133" s="25"/>
      <c r="K133" s="6"/>
      <c r="L133" s="6"/>
      <c r="M133" s="24"/>
      <c r="N133" s="6"/>
      <c r="O133" s="25"/>
      <c r="P133" s="6" t="str">
        <f aca="true">IF(J133="","",IF(N133="Closed",IF(O133="","",O133-J133),TODAY()-J133))</f>
        <v/>
      </c>
      <c r="Q133" s="6"/>
    </row>
    <row r="134" customFormat="false" ht="15" hidden="false" customHeight="true" outlineLevel="0" collapsed="false">
      <c r="A134" s="6"/>
      <c r="B134" s="6"/>
      <c r="C134" s="6"/>
      <c r="D134" s="24"/>
      <c r="E134" s="6"/>
      <c r="F134" s="6"/>
      <c r="G134" s="6"/>
      <c r="H134" s="6" t="str">
        <f aca="false">IF(OR(F134="",G134=""),"",F134*G134)</f>
        <v/>
      </c>
      <c r="I134" s="13" t="str">
        <f aca="false">IF(H134="","",IF(H134&gt;=15,"RED",IF(H134&gt;=8,"AMBER","GREEN")))</f>
        <v/>
      </c>
      <c r="J134" s="25"/>
      <c r="K134" s="6"/>
      <c r="L134" s="6"/>
      <c r="M134" s="24"/>
      <c r="N134" s="6"/>
      <c r="O134" s="25"/>
      <c r="P134" s="6" t="str">
        <f aca="true">IF(J134="","",IF(N134="Closed",IF(O134="","",O134-J134),TODAY()-J134))</f>
        <v/>
      </c>
      <c r="Q134" s="6"/>
    </row>
    <row r="135" customFormat="false" ht="15" hidden="false" customHeight="true" outlineLevel="0" collapsed="false">
      <c r="A135" s="6"/>
      <c r="B135" s="6"/>
      <c r="C135" s="6"/>
      <c r="D135" s="24"/>
      <c r="E135" s="6"/>
      <c r="F135" s="6"/>
      <c r="G135" s="6"/>
      <c r="H135" s="6" t="str">
        <f aca="false">IF(OR(F135="",G135=""),"",F135*G135)</f>
        <v/>
      </c>
      <c r="I135" s="13" t="str">
        <f aca="false">IF(H135="","",IF(H135&gt;=15,"RED",IF(H135&gt;=8,"AMBER","GREEN")))</f>
        <v/>
      </c>
      <c r="J135" s="25"/>
      <c r="K135" s="6"/>
      <c r="L135" s="6"/>
      <c r="M135" s="24"/>
      <c r="N135" s="6"/>
      <c r="O135" s="25"/>
      <c r="P135" s="6" t="str">
        <f aca="true">IF(J135="","",IF(N135="Closed",IF(O135="","",O135-J135),TODAY()-J135))</f>
        <v/>
      </c>
      <c r="Q135" s="6"/>
    </row>
    <row r="136" customFormat="false" ht="15" hidden="false" customHeight="true" outlineLevel="0" collapsed="false">
      <c r="A136" s="6"/>
      <c r="B136" s="6"/>
      <c r="C136" s="6"/>
      <c r="D136" s="24"/>
      <c r="E136" s="6"/>
      <c r="F136" s="6"/>
      <c r="G136" s="6"/>
      <c r="H136" s="6" t="str">
        <f aca="false">IF(OR(F136="",G136=""),"",F136*G136)</f>
        <v/>
      </c>
      <c r="I136" s="13" t="str">
        <f aca="false">IF(H136="","",IF(H136&gt;=15,"RED",IF(H136&gt;=8,"AMBER","GREEN")))</f>
        <v/>
      </c>
      <c r="J136" s="25"/>
      <c r="K136" s="6"/>
      <c r="L136" s="6"/>
      <c r="M136" s="24"/>
      <c r="N136" s="6"/>
      <c r="O136" s="25"/>
      <c r="P136" s="6" t="str">
        <f aca="true">IF(J136="","",IF(N136="Closed",IF(O136="","",O136-J136),TODAY()-J136))</f>
        <v/>
      </c>
      <c r="Q136" s="6"/>
    </row>
    <row r="137" customFormat="false" ht="15" hidden="false" customHeight="true" outlineLevel="0" collapsed="false">
      <c r="A137" s="6"/>
      <c r="B137" s="6"/>
      <c r="C137" s="6"/>
      <c r="D137" s="24"/>
      <c r="E137" s="6"/>
      <c r="F137" s="6"/>
      <c r="G137" s="6"/>
      <c r="H137" s="6" t="str">
        <f aca="false">IF(OR(F137="",G137=""),"",F137*G137)</f>
        <v/>
      </c>
      <c r="I137" s="13" t="str">
        <f aca="false">IF(H137="","",IF(H137&gt;=15,"RED",IF(H137&gt;=8,"AMBER","GREEN")))</f>
        <v/>
      </c>
      <c r="J137" s="25"/>
      <c r="K137" s="6"/>
      <c r="L137" s="6"/>
      <c r="M137" s="24"/>
      <c r="N137" s="6"/>
      <c r="O137" s="25"/>
      <c r="P137" s="6" t="str">
        <f aca="true">IF(J137="","",IF(N137="Closed",IF(O137="","",O137-J137),TODAY()-J137))</f>
        <v/>
      </c>
      <c r="Q137" s="6"/>
    </row>
    <row r="138" customFormat="false" ht="15" hidden="false" customHeight="true" outlineLevel="0" collapsed="false">
      <c r="A138" s="6"/>
      <c r="B138" s="6"/>
      <c r="C138" s="6"/>
      <c r="D138" s="24"/>
      <c r="E138" s="6"/>
      <c r="F138" s="6"/>
      <c r="G138" s="6"/>
      <c r="H138" s="6" t="str">
        <f aca="false">IF(OR(F138="",G138=""),"",F138*G138)</f>
        <v/>
      </c>
      <c r="I138" s="13" t="str">
        <f aca="false">IF(H138="","",IF(H138&gt;=15,"RED",IF(H138&gt;=8,"AMBER","GREEN")))</f>
        <v/>
      </c>
      <c r="J138" s="25"/>
      <c r="K138" s="6"/>
      <c r="L138" s="6"/>
      <c r="M138" s="24"/>
      <c r="N138" s="6"/>
      <c r="O138" s="25"/>
      <c r="P138" s="6" t="str">
        <f aca="true">IF(J138="","",IF(N138="Closed",IF(O138="","",O138-J138),TODAY()-J138))</f>
        <v/>
      </c>
      <c r="Q138" s="6"/>
    </row>
    <row r="139" customFormat="false" ht="15" hidden="false" customHeight="true" outlineLevel="0" collapsed="false">
      <c r="A139" s="6"/>
      <c r="B139" s="6"/>
      <c r="C139" s="6"/>
      <c r="D139" s="24"/>
      <c r="E139" s="6"/>
      <c r="F139" s="6"/>
      <c r="G139" s="6"/>
      <c r="H139" s="6" t="str">
        <f aca="false">IF(OR(F139="",G139=""),"",F139*G139)</f>
        <v/>
      </c>
      <c r="I139" s="13" t="str">
        <f aca="false">IF(H139="","",IF(H139&gt;=15,"RED",IF(H139&gt;=8,"AMBER","GREEN")))</f>
        <v/>
      </c>
      <c r="J139" s="25"/>
      <c r="K139" s="6"/>
      <c r="L139" s="6"/>
      <c r="M139" s="24"/>
      <c r="N139" s="6"/>
      <c r="O139" s="25"/>
      <c r="P139" s="6" t="str">
        <f aca="true">IF(J139="","",IF(N139="Closed",IF(O139="","",O139-J139),TODAY()-J139))</f>
        <v/>
      </c>
      <c r="Q139" s="6"/>
    </row>
    <row r="140" customFormat="false" ht="15" hidden="false" customHeight="true" outlineLevel="0" collapsed="false">
      <c r="A140" s="6"/>
      <c r="B140" s="6"/>
      <c r="C140" s="6"/>
      <c r="D140" s="24"/>
      <c r="E140" s="6"/>
      <c r="F140" s="6"/>
      <c r="G140" s="6"/>
      <c r="H140" s="6" t="str">
        <f aca="false">IF(OR(F140="",G140=""),"",F140*G140)</f>
        <v/>
      </c>
      <c r="I140" s="13" t="str">
        <f aca="false">IF(H140="","",IF(H140&gt;=15,"RED",IF(H140&gt;=8,"AMBER","GREEN")))</f>
        <v/>
      </c>
      <c r="J140" s="25"/>
      <c r="K140" s="6"/>
      <c r="L140" s="6"/>
      <c r="M140" s="24"/>
      <c r="N140" s="6"/>
      <c r="O140" s="25"/>
      <c r="P140" s="6" t="str">
        <f aca="true">IF(J140="","",IF(N140="Closed",IF(O140="","",O140-J140),TODAY()-J140))</f>
        <v/>
      </c>
      <c r="Q140" s="6"/>
    </row>
    <row r="141" customFormat="false" ht="15" hidden="false" customHeight="true" outlineLevel="0" collapsed="false">
      <c r="A141" s="6"/>
      <c r="B141" s="6"/>
      <c r="C141" s="6"/>
      <c r="D141" s="24"/>
      <c r="E141" s="6"/>
      <c r="F141" s="6"/>
      <c r="G141" s="6"/>
      <c r="H141" s="6" t="str">
        <f aca="false">IF(OR(F141="",G141=""),"",F141*G141)</f>
        <v/>
      </c>
      <c r="I141" s="13" t="str">
        <f aca="false">IF(H141="","",IF(H141&gt;=15,"RED",IF(H141&gt;=8,"AMBER","GREEN")))</f>
        <v/>
      </c>
      <c r="J141" s="25"/>
      <c r="K141" s="6"/>
      <c r="L141" s="6"/>
      <c r="M141" s="24"/>
      <c r="N141" s="6"/>
      <c r="O141" s="25"/>
      <c r="P141" s="6" t="str">
        <f aca="true">IF(J141="","",IF(N141="Closed",IF(O141="","",O141-J141),TODAY()-J141))</f>
        <v/>
      </c>
      <c r="Q141" s="6"/>
    </row>
    <row r="142" customFormat="false" ht="15" hidden="false" customHeight="true" outlineLevel="0" collapsed="false">
      <c r="A142" s="6"/>
      <c r="B142" s="6"/>
      <c r="C142" s="6"/>
      <c r="D142" s="24"/>
      <c r="E142" s="6"/>
      <c r="F142" s="6"/>
      <c r="G142" s="6"/>
      <c r="H142" s="6" t="str">
        <f aca="false">IF(OR(F142="",G142=""),"",F142*G142)</f>
        <v/>
      </c>
      <c r="I142" s="13" t="str">
        <f aca="false">IF(H142="","",IF(H142&gt;=15,"RED",IF(H142&gt;=8,"AMBER","GREEN")))</f>
        <v/>
      </c>
      <c r="J142" s="25"/>
      <c r="K142" s="6"/>
      <c r="L142" s="6"/>
      <c r="M142" s="24"/>
      <c r="N142" s="6"/>
      <c r="O142" s="25"/>
      <c r="P142" s="6" t="str">
        <f aca="true">IF(J142="","",IF(N142="Closed",IF(O142="","",O142-J142),TODAY()-J142))</f>
        <v/>
      </c>
      <c r="Q142" s="6"/>
    </row>
    <row r="143" customFormat="false" ht="15" hidden="false" customHeight="true" outlineLevel="0" collapsed="false">
      <c r="A143" s="6"/>
      <c r="B143" s="6"/>
      <c r="C143" s="6"/>
      <c r="D143" s="24"/>
      <c r="E143" s="6"/>
      <c r="F143" s="6"/>
      <c r="G143" s="6"/>
      <c r="H143" s="6" t="str">
        <f aca="false">IF(OR(F143="",G143=""),"",F143*G143)</f>
        <v/>
      </c>
      <c r="I143" s="13" t="str">
        <f aca="false">IF(H143="","",IF(H143&gt;=15,"RED",IF(H143&gt;=8,"AMBER","GREEN")))</f>
        <v/>
      </c>
      <c r="J143" s="25"/>
      <c r="K143" s="6"/>
      <c r="L143" s="6"/>
      <c r="M143" s="24"/>
      <c r="N143" s="6"/>
      <c r="O143" s="25"/>
      <c r="P143" s="6" t="str">
        <f aca="true">IF(J143="","",IF(N143="Closed",IF(O143="","",O143-J143),TODAY()-J143))</f>
        <v/>
      </c>
      <c r="Q143" s="6"/>
    </row>
    <row r="144" customFormat="false" ht="15" hidden="false" customHeight="true" outlineLevel="0" collapsed="false">
      <c r="A144" s="6"/>
      <c r="B144" s="6"/>
      <c r="C144" s="6"/>
      <c r="D144" s="24"/>
      <c r="E144" s="6"/>
      <c r="F144" s="6"/>
      <c r="G144" s="6"/>
      <c r="H144" s="6" t="str">
        <f aca="false">IF(OR(F144="",G144=""),"",F144*G144)</f>
        <v/>
      </c>
      <c r="I144" s="13" t="str">
        <f aca="false">IF(H144="","",IF(H144&gt;=15,"RED",IF(H144&gt;=8,"AMBER","GREEN")))</f>
        <v/>
      </c>
      <c r="J144" s="25"/>
      <c r="K144" s="6"/>
      <c r="L144" s="6"/>
      <c r="M144" s="24"/>
      <c r="N144" s="6"/>
      <c r="O144" s="25"/>
      <c r="P144" s="6" t="str">
        <f aca="true">IF(J144="","",IF(N144="Closed",IF(O144="","",O144-J144),TODAY()-J144))</f>
        <v/>
      </c>
      <c r="Q144" s="6"/>
    </row>
    <row r="145" customFormat="false" ht="15" hidden="false" customHeight="true" outlineLevel="0" collapsed="false">
      <c r="A145" s="6"/>
      <c r="B145" s="6"/>
      <c r="C145" s="6"/>
      <c r="D145" s="24"/>
      <c r="E145" s="6"/>
      <c r="F145" s="6"/>
      <c r="G145" s="6"/>
      <c r="H145" s="6" t="str">
        <f aca="false">IF(OR(F145="",G145=""),"",F145*G145)</f>
        <v/>
      </c>
      <c r="I145" s="13" t="str">
        <f aca="false">IF(H145="","",IF(H145&gt;=15,"RED",IF(H145&gt;=8,"AMBER","GREEN")))</f>
        <v/>
      </c>
      <c r="J145" s="25"/>
      <c r="K145" s="6"/>
      <c r="L145" s="6"/>
      <c r="M145" s="24"/>
      <c r="N145" s="6"/>
      <c r="O145" s="25"/>
      <c r="P145" s="6" t="str">
        <f aca="true">IF(J145="","",IF(N145="Closed",IF(O145="","",O145-J145),TODAY()-J145))</f>
        <v/>
      </c>
      <c r="Q145" s="6"/>
    </row>
    <row r="146" customFormat="false" ht="15" hidden="false" customHeight="true" outlineLevel="0" collapsed="false">
      <c r="A146" s="6"/>
      <c r="B146" s="6"/>
      <c r="C146" s="6"/>
      <c r="D146" s="24"/>
      <c r="E146" s="6"/>
      <c r="F146" s="6"/>
      <c r="G146" s="6"/>
      <c r="H146" s="6" t="str">
        <f aca="false">IF(OR(F146="",G146=""),"",F146*G146)</f>
        <v/>
      </c>
      <c r="I146" s="13" t="str">
        <f aca="false">IF(H146="","",IF(H146&gt;=15,"RED",IF(H146&gt;=8,"AMBER","GREEN")))</f>
        <v/>
      </c>
      <c r="J146" s="25"/>
      <c r="K146" s="6"/>
      <c r="L146" s="6"/>
      <c r="M146" s="24"/>
      <c r="N146" s="6"/>
      <c r="O146" s="25"/>
      <c r="P146" s="6" t="str">
        <f aca="true">IF(J146="","",IF(N146="Closed",IF(O146="","",O146-J146),TODAY()-J146))</f>
        <v/>
      </c>
      <c r="Q146" s="6"/>
    </row>
    <row r="147" customFormat="false" ht="15" hidden="false" customHeight="true" outlineLevel="0" collapsed="false">
      <c r="A147" s="6"/>
      <c r="B147" s="6"/>
      <c r="C147" s="6"/>
      <c r="D147" s="24"/>
      <c r="E147" s="6"/>
      <c r="F147" s="6"/>
      <c r="G147" s="6"/>
      <c r="H147" s="6" t="str">
        <f aca="false">IF(OR(F147="",G147=""),"",F147*G147)</f>
        <v/>
      </c>
      <c r="I147" s="13" t="str">
        <f aca="false">IF(H147="","",IF(H147&gt;=15,"RED",IF(H147&gt;=8,"AMBER","GREEN")))</f>
        <v/>
      </c>
      <c r="J147" s="25"/>
      <c r="K147" s="6"/>
      <c r="L147" s="6"/>
      <c r="M147" s="24"/>
      <c r="N147" s="6"/>
      <c r="O147" s="25"/>
      <c r="P147" s="6" t="str">
        <f aca="true">IF(J147="","",IF(N147="Closed",IF(O147="","",O147-J147),TODAY()-J147))</f>
        <v/>
      </c>
      <c r="Q147" s="6"/>
    </row>
    <row r="148" customFormat="false" ht="15" hidden="false" customHeight="true" outlineLevel="0" collapsed="false">
      <c r="A148" s="6"/>
      <c r="B148" s="6"/>
      <c r="C148" s="6"/>
      <c r="D148" s="24"/>
      <c r="E148" s="6"/>
      <c r="F148" s="6"/>
      <c r="G148" s="6"/>
      <c r="H148" s="6" t="str">
        <f aca="false">IF(OR(F148="",G148=""),"",F148*G148)</f>
        <v/>
      </c>
      <c r="I148" s="13" t="str">
        <f aca="false">IF(H148="","",IF(H148&gt;=15,"RED",IF(H148&gt;=8,"AMBER","GREEN")))</f>
        <v/>
      </c>
      <c r="J148" s="25"/>
      <c r="K148" s="6"/>
      <c r="L148" s="6"/>
      <c r="M148" s="24"/>
      <c r="N148" s="6"/>
      <c r="O148" s="25"/>
      <c r="P148" s="6" t="str">
        <f aca="true">IF(J148="","",IF(N148="Closed",IF(O148="","",O148-J148),TODAY()-J148))</f>
        <v/>
      </c>
      <c r="Q148" s="6"/>
    </row>
    <row r="149" customFormat="false" ht="15" hidden="false" customHeight="true" outlineLevel="0" collapsed="false">
      <c r="A149" s="6"/>
      <c r="B149" s="6"/>
      <c r="C149" s="6"/>
      <c r="D149" s="24"/>
      <c r="E149" s="6"/>
      <c r="F149" s="6"/>
      <c r="G149" s="6"/>
      <c r="H149" s="6" t="str">
        <f aca="false">IF(OR(F149="",G149=""),"",F149*G149)</f>
        <v/>
      </c>
      <c r="I149" s="13" t="str">
        <f aca="false">IF(H149="","",IF(H149&gt;=15,"RED",IF(H149&gt;=8,"AMBER","GREEN")))</f>
        <v/>
      </c>
      <c r="J149" s="25"/>
      <c r="K149" s="6"/>
      <c r="L149" s="6"/>
      <c r="M149" s="24"/>
      <c r="N149" s="6"/>
      <c r="O149" s="25"/>
      <c r="P149" s="6" t="str">
        <f aca="true">IF(J149="","",IF(N149="Closed",IF(O149="","",O149-J149),TODAY()-J149))</f>
        <v/>
      </c>
      <c r="Q149" s="6"/>
    </row>
    <row r="150" customFormat="false" ht="15" hidden="false" customHeight="true" outlineLevel="0" collapsed="false">
      <c r="A150" s="6"/>
      <c r="B150" s="6"/>
      <c r="C150" s="6"/>
      <c r="D150" s="24"/>
      <c r="E150" s="6"/>
      <c r="F150" s="6"/>
      <c r="G150" s="6"/>
      <c r="H150" s="6" t="str">
        <f aca="false">IF(OR(F150="",G150=""),"",F150*G150)</f>
        <v/>
      </c>
      <c r="I150" s="13" t="str">
        <f aca="false">IF(H150="","",IF(H150&gt;=15,"RED",IF(H150&gt;=8,"AMBER","GREEN")))</f>
        <v/>
      </c>
      <c r="J150" s="25"/>
      <c r="K150" s="6"/>
      <c r="L150" s="6"/>
      <c r="M150" s="24"/>
      <c r="N150" s="6"/>
      <c r="O150" s="25"/>
      <c r="P150" s="6" t="str">
        <f aca="true">IF(J150="","",IF(N150="Closed",IF(O150="","",O150-J150),TODAY()-J150))</f>
        <v/>
      </c>
      <c r="Q150" s="6"/>
    </row>
    <row r="151" customFormat="false" ht="15" hidden="false" customHeight="true" outlineLevel="0" collapsed="false">
      <c r="A151" s="6"/>
      <c r="B151" s="6"/>
      <c r="C151" s="6"/>
      <c r="D151" s="24"/>
      <c r="E151" s="6"/>
      <c r="F151" s="6"/>
      <c r="G151" s="6"/>
      <c r="H151" s="6" t="str">
        <f aca="false">IF(OR(F151="",G151=""),"",F151*G151)</f>
        <v/>
      </c>
      <c r="I151" s="13" t="str">
        <f aca="false">IF(H151="","",IF(H151&gt;=15,"RED",IF(H151&gt;=8,"AMBER","GREEN")))</f>
        <v/>
      </c>
      <c r="J151" s="25"/>
      <c r="K151" s="6"/>
      <c r="L151" s="6"/>
      <c r="M151" s="24"/>
      <c r="N151" s="6"/>
      <c r="O151" s="25"/>
      <c r="P151" s="6" t="str">
        <f aca="true">IF(J151="","",IF(N151="Closed",IF(O151="","",O151-J151),TODAY()-J151))</f>
        <v/>
      </c>
      <c r="Q151" s="6"/>
    </row>
    <row r="152" customFormat="false" ht="15" hidden="false" customHeight="true" outlineLevel="0" collapsed="false">
      <c r="A152" s="6"/>
      <c r="B152" s="6"/>
      <c r="C152" s="6"/>
      <c r="D152" s="24"/>
      <c r="E152" s="6"/>
      <c r="F152" s="6"/>
      <c r="G152" s="6"/>
      <c r="H152" s="6" t="str">
        <f aca="false">IF(OR(F152="",G152=""),"",F152*G152)</f>
        <v/>
      </c>
      <c r="I152" s="13" t="str">
        <f aca="false">IF(H152="","",IF(H152&gt;=15,"RED",IF(H152&gt;=8,"AMBER","GREEN")))</f>
        <v/>
      </c>
      <c r="J152" s="25"/>
      <c r="K152" s="6"/>
      <c r="L152" s="6"/>
      <c r="M152" s="24"/>
      <c r="N152" s="6"/>
      <c r="O152" s="25"/>
      <c r="P152" s="6" t="str">
        <f aca="true">IF(J152="","",IF(N152="Closed",IF(O152="","",O152-J152),TODAY()-J152))</f>
        <v/>
      </c>
      <c r="Q152" s="6"/>
    </row>
    <row r="153" customFormat="false" ht="15" hidden="false" customHeight="true" outlineLevel="0" collapsed="false">
      <c r="A153" s="6"/>
      <c r="B153" s="6"/>
      <c r="C153" s="6"/>
      <c r="D153" s="24"/>
      <c r="E153" s="6"/>
      <c r="F153" s="6"/>
      <c r="G153" s="6"/>
      <c r="H153" s="6" t="str">
        <f aca="false">IF(OR(F153="",G153=""),"",F153*G153)</f>
        <v/>
      </c>
      <c r="I153" s="13" t="str">
        <f aca="false">IF(H153="","",IF(H153&gt;=15,"RED",IF(H153&gt;=8,"AMBER","GREEN")))</f>
        <v/>
      </c>
      <c r="J153" s="25"/>
      <c r="K153" s="6"/>
      <c r="L153" s="6"/>
      <c r="M153" s="24"/>
      <c r="N153" s="6"/>
      <c r="O153" s="25"/>
      <c r="P153" s="6" t="str">
        <f aca="true">IF(J153="","",IF(N153="Closed",IF(O153="","",O153-J153),TODAY()-J153))</f>
        <v/>
      </c>
      <c r="Q153" s="6"/>
    </row>
    <row r="154" customFormat="false" ht="15" hidden="false" customHeight="true" outlineLevel="0" collapsed="false">
      <c r="A154" s="6"/>
      <c r="B154" s="6"/>
      <c r="C154" s="6"/>
      <c r="D154" s="24"/>
      <c r="E154" s="6"/>
      <c r="F154" s="6"/>
      <c r="G154" s="6"/>
      <c r="H154" s="6" t="str">
        <f aca="false">IF(OR(F154="",G154=""),"",F154*G154)</f>
        <v/>
      </c>
      <c r="I154" s="13" t="str">
        <f aca="false">IF(H154="","",IF(H154&gt;=15,"RED",IF(H154&gt;=8,"AMBER","GREEN")))</f>
        <v/>
      </c>
      <c r="J154" s="25"/>
      <c r="K154" s="6"/>
      <c r="L154" s="6"/>
      <c r="M154" s="24"/>
      <c r="N154" s="6"/>
      <c r="O154" s="25"/>
      <c r="P154" s="6" t="str">
        <f aca="true">IF(J154="","",IF(N154="Closed",IF(O154="","",O154-J154),TODAY()-J154))</f>
        <v/>
      </c>
      <c r="Q154" s="6"/>
    </row>
    <row r="155" customFormat="false" ht="15" hidden="false" customHeight="true" outlineLevel="0" collapsed="false">
      <c r="A155" s="6"/>
      <c r="B155" s="6"/>
      <c r="C155" s="6"/>
      <c r="D155" s="24"/>
      <c r="E155" s="6"/>
      <c r="F155" s="6"/>
      <c r="G155" s="6"/>
      <c r="H155" s="6" t="str">
        <f aca="false">IF(OR(F155="",G155=""),"",F155*G155)</f>
        <v/>
      </c>
      <c r="I155" s="13" t="str">
        <f aca="false">IF(H155="","",IF(H155&gt;=15,"RED",IF(H155&gt;=8,"AMBER","GREEN")))</f>
        <v/>
      </c>
      <c r="J155" s="25"/>
      <c r="K155" s="6"/>
      <c r="L155" s="6"/>
      <c r="M155" s="24"/>
      <c r="N155" s="6"/>
      <c r="O155" s="25"/>
      <c r="P155" s="6" t="str">
        <f aca="true">IF(J155="","",IF(N155="Closed",IF(O155="","",O155-J155),TODAY()-J155))</f>
        <v/>
      </c>
      <c r="Q155" s="6"/>
    </row>
    <row r="156" customFormat="false" ht="15" hidden="false" customHeight="true" outlineLevel="0" collapsed="false">
      <c r="A156" s="6"/>
      <c r="B156" s="6"/>
      <c r="C156" s="6"/>
      <c r="D156" s="24"/>
      <c r="E156" s="6"/>
      <c r="F156" s="6"/>
      <c r="G156" s="6"/>
      <c r="H156" s="6" t="str">
        <f aca="false">IF(OR(F156="",G156=""),"",F156*G156)</f>
        <v/>
      </c>
      <c r="I156" s="13" t="str">
        <f aca="false">IF(H156="","",IF(H156&gt;=15,"RED",IF(H156&gt;=8,"AMBER","GREEN")))</f>
        <v/>
      </c>
      <c r="J156" s="25"/>
      <c r="K156" s="6"/>
      <c r="L156" s="6"/>
      <c r="M156" s="24"/>
      <c r="N156" s="6"/>
      <c r="O156" s="25"/>
      <c r="P156" s="6" t="str">
        <f aca="true">IF(J156="","",IF(N156="Closed",IF(O156="","",O156-J156),TODAY()-J156))</f>
        <v/>
      </c>
      <c r="Q156" s="6"/>
    </row>
    <row r="157" customFormat="false" ht="15" hidden="false" customHeight="true" outlineLevel="0" collapsed="false">
      <c r="A157" s="6"/>
      <c r="B157" s="6"/>
      <c r="C157" s="6"/>
      <c r="D157" s="24"/>
      <c r="E157" s="6"/>
      <c r="F157" s="6"/>
      <c r="G157" s="6"/>
      <c r="H157" s="6" t="str">
        <f aca="false">IF(OR(F157="",G157=""),"",F157*G157)</f>
        <v/>
      </c>
      <c r="I157" s="13" t="str">
        <f aca="false">IF(H157="","",IF(H157&gt;=15,"RED",IF(H157&gt;=8,"AMBER","GREEN")))</f>
        <v/>
      </c>
      <c r="J157" s="25"/>
      <c r="K157" s="6"/>
      <c r="L157" s="6"/>
      <c r="M157" s="24"/>
      <c r="N157" s="6"/>
      <c r="O157" s="25"/>
      <c r="P157" s="6" t="str">
        <f aca="true">IF(J157="","",IF(N157="Closed",IF(O157="","",O157-J157),TODAY()-J157))</f>
        <v/>
      </c>
      <c r="Q157" s="6"/>
    </row>
    <row r="158" customFormat="false" ht="15" hidden="false" customHeight="true" outlineLevel="0" collapsed="false">
      <c r="A158" s="6"/>
      <c r="B158" s="6"/>
      <c r="C158" s="6"/>
      <c r="D158" s="24"/>
      <c r="E158" s="6"/>
      <c r="F158" s="6"/>
      <c r="G158" s="6"/>
      <c r="H158" s="6" t="str">
        <f aca="false">IF(OR(F158="",G158=""),"",F158*G158)</f>
        <v/>
      </c>
      <c r="I158" s="13" t="str">
        <f aca="false">IF(H158="","",IF(H158&gt;=15,"RED",IF(H158&gt;=8,"AMBER","GREEN")))</f>
        <v/>
      </c>
      <c r="J158" s="25"/>
      <c r="K158" s="6"/>
      <c r="L158" s="6"/>
      <c r="M158" s="24"/>
      <c r="N158" s="6"/>
      <c r="O158" s="25"/>
      <c r="P158" s="6" t="str">
        <f aca="true">IF(J158="","",IF(N158="Closed",IF(O158="","",O158-J158),TODAY()-J158))</f>
        <v/>
      </c>
      <c r="Q158" s="6"/>
    </row>
    <row r="159" customFormat="false" ht="15" hidden="false" customHeight="true" outlineLevel="0" collapsed="false">
      <c r="A159" s="6"/>
      <c r="B159" s="6"/>
      <c r="C159" s="6"/>
      <c r="D159" s="24"/>
      <c r="E159" s="6"/>
      <c r="F159" s="6"/>
      <c r="G159" s="6"/>
      <c r="H159" s="6" t="str">
        <f aca="false">IF(OR(F159="",G159=""),"",F159*G159)</f>
        <v/>
      </c>
      <c r="I159" s="13" t="str">
        <f aca="false">IF(H159="","",IF(H159&gt;=15,"RED",IF(H159&gt;=8,"AMBER","GREEN")))</f>
        <v/>
      </c>
      <c r="J159" s="25"/>
      <c r="K159" s="6"/>
      <c r="L159" s="6"/>
      <c r="M159" s="24"/>
      <c r="N159" s="6"/>
      <c r="O159" s="25"/>
      <c r="P159" s="6" t="str">
        <f aca="true">IF(J159="","",IF(N159="Closed",IF(O159="","",O159-J159),TODAY()-J159))</f>
        <v/>
      </c>
      <c r="Q159" s="6"/>
    </row>
    <row r="160" customFormat="false" ht="15" hidden="false" customHeight="true" outlineLevel="0" collapsed="false">
      <c r="A160" s="6"/>
      <c r="B160" s="6"/>
      <c r="C160" s="6"/>
      <c r="D160" s="24"/>
      <c r="E160" s="6"/>
      <c r="F160" s="6"/>
      <c r="G160" s="6"/>
      <c r="H160" s="6" t="str">
        <f aca="false">IF(OR(F160="",G160=""),"",F160*G160)</f>
        <v/>
      </c>
      <c r="I160" s="13" t="str">
        <f aca="false">IF(H160="","",IF(H160&gt;=15,"RED",IF(H160&gt;=8,"AMBER","GREEN")))</f>
        <v/>
      </c>
      <c r="J160" s="25"/>
      <c r="K160" s="6"/>
      <c r="L160" s="6"/>
      <c r="M160" s="24"/>
      <c r="N160" s="6"/>
      <c r="O160" s="25"/>
      <c r="P160" s="6" t="str">
        <f aca="true">IF(J160="","",IF(N160="Closed",IF(O160="","",O160-J160),TODAY()-J160))</f>
        <v/>
      </c>
      <c r="Q160" s="6"/>
    </row>
    <row r="161" customFormat="false" ht="15" hidden="false" customHeight="true" outlineLevel="0" collapsed="false">
      <c r="A161" s="6"/>
      <c r="B161" s="6"/>
      <c r="C161" s="6"/>
      <c r="D161" s="24"/>
      <c r="E161" s="6"/>
      <c r="F161" s="6"/>
      <c r="G161" s="6"/>
      <c r="H161" s="6" t="str">
        <f aca="false">IF(OR(F161="",G161=""),"",F161*G161)</f>
        <v/>
      </c>
      <c r="I161" s="13" t="str">
        <f aca="false">IF(H161="","",IF(H161&gt;=15,"RED",IF(H161&gt;=8,"AMBER","GREEN")))</f>
        <v/>
      </c>
      <c r="J161" s="25"/>
      <c r="K161" s="6"/>
      <c r="L161" s="6"/>
      <c r="M161" s="24"/>
      <c r="N161" s="6"/>
      <c r="O161" s="25"/>
      <c r="P161" s="6" t="str">
        <f aca="true">IF(J161="","",IF(N161="Closed",IF(O161="","",O161-J161),TODAY()-J161))</f>
        <v/>
      </c>
      <c r="Q161" s="6"/>
    </row>
    <row r="162" customFormat="false" ht="15" hidden="false" customHeight="true" outlineLevel="0" collapsed="false">
      <c r="A162" s="6"/>
      <c r="B162" s="6"/>
      <c r="C162" s="6"/>
      <c r="D162" s="24"/>
      <c r="E162" s="6"/>
      <c r="F162" s="6"/>
      <c r="G162" s="6"/>
      <c r="H162" s="6" t="str">
        <f aca="false">IF(OR(F162="",G162=""),"",F162*G162)</f>
        <v/>
      </c>
      <c r="I162" s="13" t="str">
        <f aca="false">IF(H162="","",IF(H162&gt;=15,"RED",IF(H162&gt;=8,"AMBER","GREEN")))</f>
        <v/>
      </c>
      <c r="J162" s="25"/>
      <c r="K162" s="6"/>
      <c r="L162" s="6"/>
      <c r="M162" s="24"/>
      <c r="N162" s="6"/>
      <c r="O162" s="25"/>
      <c r="P162" s="6" t="str">
        <f aca="true">IF(J162="","",IF(N162="Closed",IF(O162="","",O162-J162),TODAY()-J162))</f>
        <v/>
      </c>
      <c r="Q162" s="6"/>
    </row>
    <row r="163" customFormat="false" ht="15" hidden="false" customHeight="true" outlineLevel="0" collapsed="false">
      <c r="A163" s="6"/>
      <c r="B163" s="6"/>
      <c r="C163" s="6"/>
      <c r="D163" s="24"/>
      <c r="E163" s="6"/>
      <c r="F163" s="6"/>
      <c r="G163" s="6"/>
      <c r="H163" s="6" t="str">
        <f aca="false">IF(OR(F163="",G163=""),"",F163*G163)</f>
        <v/>
      </c>
      <c r="I163" s="13" t="str">
        <f aca="false">IF(H163="","",IF(H163&gt;=15,"RED",IF(H163&gt;=8,"AMBER","GREEN")))</f>
        <v/>
      </c>
      <c r="J163" s="25"/>
      <c r="K163" s="6"/>
      <c r="L163" s="6"/>
      <c r="M163" s="24"/>
      <c r="N163" s="6"/>
      <c r="O163" s="25"/>
      <c r="P163" s="6" t="str">
        <f aca="true">IF(J163="","",IF(N163="Closed",IF(O163="","",O163-J163),TODAY()-J163))</f>
        <v/>
      </c>
      <c r="Q163" s="6"/>
    </row>
    <row r="164" customFormat="false" ht="15" hidden="false" customHeight="true" outlineLevel="0" collapsed="false">
      <c r="A164" s="6"/>
      <c r="B164" s="6"/>
      <c r="C164" s="6"/>
      <c r="D164" s="24"/>
      <c r="E164" s="6"/>
      <c r="F164" s="6"/>
      <c r="G164" s="6"/>
      <c r="H164" s="6" t="str">
        <f aca="false">IF(OR(F164="",G164=""),"",F164*G164)</f>
        <v/>
      </c>
      <c r="I164" s="13" t="str">
        <f aca="false">IF(H164="","",IF(H164&gt;=15,"RED",IF(H164&gt;=8,"AMBER","GREEN")))</f>
        <v/>
      </c>
      <c r="J164" s="25"/>
      <c r="K164" s="6"/>
      <c r="L164" s="6"/>
      <c r="M164" s="24"/>
      <c r="N164" s="6"/>
      <c r="O164" s="25"/>
      <c r="P164" s="6" t="str">
        <f aca="true">IF(J164="","",IF(N164="Closed",IF(O164="","",O164-J164),TODAY()-J164))</f>
        <v/>
      </c>
      <c r="Q164" s="6"/>
    </row>
    <row r="165" customFormat="false" ht="15" hidden="false" customHeight="true" outlineLevel="0" collapsed="false">
      <c r="A165" s="6"/>
      <c r="B165" s="6"/>
      <c r="C165" s="6"/>
      <c r="D165" s="24"/>
      <c r="E165" s="6"/>
      <c r="F165" s="6"/>
      <c r="G165" s="6"/>
      <c r="H165" s="6" t="str">
        <f aca="false">IF(OR(F165="",G165=""),"",F165*G165)</f>
        <v/>
      </c>
      <c r="I165" s="13" t="str">
        <f aca="false">IF(H165="","",IF(H165&gt;=15,"RED",IF(H165&gt;=8,"AMBER","GREEN")))</f>
        <v/>
      </c>
      <c r="J165" s="25"/>
      <c r="K165" s="6"/>
      <c r="L165" s="6"/>
      <c r="M165" s="24"/>
      <c r="N165" s="6"/>
      <c r="O165" s="25"/>
      <c r="P165" s="6" t="str">
        <f aca="true">IF(J165="","",IF(N165="Closed",IF(O165="","",O165-J165),TODAY()-J165))</f>
        <v/>
      </c>
      <c r="Q165" s="6"/>
    </row>
    <row r="166" customFormat="false" ht="15" hidden="false" customHeight="true" outlineLevel="0" collapsed="false">
      <c r="A166" s="6"/>
      <c r="B166" s="6"/>
      <c r="C166" s="6"/>
      <c r="D166" s="24"/>
      <c r="E166" s="6"/>
      <c r="F166" s="6"/>
      <c r="G166" s="6"/>
      <c r="H166" s="6" t="str">
        <f aca="false">IF(OR(F166="",G166=""),"",F166*G166)</f>
        <v/>
      </c>
      <c r="I166" s="13" t="str">
        <f aca="false">IF(H166="","",IF(H166&gt;=15,"RED",IF(H166&gt;=8,"AMBER","GREEN")))</f>
        <v/>
      </c>
      <c r="J166" s="25"/>
      <c r="K166" s="6"/>
      <c r="L166" s="6"/>
      <c r="M166" s="24"/>
      <c r="N166" s="6"/>
      <c r="O166" s="25"/>
      <c r="P166" s="6" t="str">
        <f aca="true">IF(J166="","",IF(N166="Closed",IF(O166="","",O166-J166),TODAY()-J166))</f>
        <v/>
      </c>
      <c r="Q166" s="6"/>
    </row>
    <row r="167" customFormat="false" ht="15" hidden="false" customHeight="true" outlineLevel="0" collapsed="false">
      <c r="A167" s="6"/>
      <c r="B167" s="6"/>
      <c r="C167" s="6"/>
      <c r="D167" s="24"/>
      <c r="E167" s="6"/>
      <c r="F167" s="6"/>
      <c r="G167" s="6"/>
      <c r="H167" s="6" t="str">
        <f aca="false">IF(OR(F167="",G167=""),"",F167*G167)</f>
        <v/>
      </c>
      <c r="I167" s="13" t="str">
        <f aca="false">IF(H167="","",IF(H167&gt;=15,"RED",IF(H167&gt;=8,"AMBER","GREEN")))</f>
        <v/>
      </c>
      <c r="J167" s="25"/>
      <c r="K167" s="6"/>
      <c r="L167" s="6"/>
      <c r="M167" s="24"/>
      <c r="N167" s="6"/>
      <c r="O167" s="25"/>
      <c r="P167" s="6" t="str">
        <f aca="true">IF(J167="","",IF(N167="Closed",IF(O167="","",O167-J167),TODAY()-J167))</f>
        <v/>
      </c>
      <c r="Q167" s="6"/>
    </row>
    <row r="168" customFormat="false" ht="15" hidden="false" customHeight="true" outlineLevel="0" collapsed="false">
      <c r="A168" s="6"/>
      <c r="B168" s="6"/>
      <c r="C168" s="6"/>
      <c r="D168" s="24"/>
      <c r="E168" s="6"/>
      <c r="F168" s="6"/>
      <c r="G168" s="6"/>
      <c r="H168" s="6" t="str">
        <f aca="false">IF(OR(F168="",G168=""),"",F168*G168)</f>
        <v/>
      </c>
      <c r="I168" s="13" t="str">
        <f aca="false">IF(H168="","",IF(H168&gt;=15,"RED",IF(H168&gt;=8,"AMBER","GREEN")))</f>
        <v/>
      </c>
      <c r="J168" s="25"/>
      <c r="K168" s="6"/>
      <c r="L168" s="6"/>
      <c r="M168" s="24"/>
      <c r="N168" s="6"/>
      <c r="O168" s="25"/>
      <c r="P168" s="6" t="str">
        <f aca="true">IF(J168="","",IF(N168="Closed",IF(O168="","",O168-J168),TODAY()-J168))</f>
        <v/>
      </c>
      <c r="Q168" s="6"/>
    </row>
    <row r="169" customFormat="false" ht="15" hidden="false" customHeight="true" outlineLevel="0" collapsed="false">
      <c r="A169" s="6"/>
      <c r="B169" s="6"/>
      <c r="C169" s="6"/>
      <c r="D169" s="24"/>
      <c r="E169" s="6"/>
      <c r="F169" s="6"/>
      <c r="G169" s="6"/>
      <c r="H169" s="6" t="str">
        <f aca="false">IF(OR(F169="",G169=""),"",F169*G169)</f>
        <v/>
      </c>
      <c r="I169" s="13" t="str">
        <f aca="false">IF(H169="","",IF(H169&gt;=15,"RED",IF(H169&gt;=8,"AMBER","GREEN")))</f>
        <v/>
      </c>
      <c r="J169" s="25"/>
      <c r="K169" s="6"/>
      <c r="L169" s="6"/>
      <c r="M169" s="24"/>
      <c r="N169" s="6"/>
      <c r="O169" s="25"/>
      <c r="P169" s="6" t="str">
        <f aca="true">IF(J169="","",IF(N169="Closed",IF(O169="","",O169-J169),TODAY()-J169))</f>
        <v/>
      </c>
      <c r="Q169" s="6"/>
    </row>
    <row r="170" customFormat="false" ht="15" hidden="false" customHeight="true" outlineLevel="0" collapsed="false">
      <c r="A170" s="6"/>
      <c r="B170" s="6"/>
      <c r="C170" s="6"/>
      <c r="D170" s="24"/>
      <c r="E170" s="6"/>
      <c r="F170" s="6"/>
      <c r="G170" s="6"/>
      <c r="H170" s="6" t="str">
        <f aca="false">IF(OR(F170="",G170=""),"",F170*G170)</f>
        <v/>
      </c>
      <c r="I170" s="13" t="str">
        <f aca="false">IF(H170="","",IF(H170&gt;=15,"RED",IF(H170&gt;=8,"AMBER","GREEN")))</f>
        <v/>
      </c>
      <c r="J170" s="25"/>
      <c r="K170" s="6"/>
      <c r="L170" s="6"/>
      <c r="M170" s="24"/>
      <c r="N170" s="6"/>
      <c r="O170" s="25"/>
      <c r="P170" s="6" t="str">
        <f aca="true">IF(J170="","",IF(N170="Closed",IF(O170="","",O170-J170),TODAY()-J170))</f>
        <v/>
      </c>
      <c r="Q170" s="6"/>
    </row>
    <row r="171" customFormat="false" ht="15" hidden="false" customHeight="true" outlineLevel="0" collapsed="false">
      <c r="A171" s="6"/>
      <c r="B171" s="6"/>
      <c r="C171" s="6"/>
      <c r="D171" s="24"/>
      <c r="E171" s="6"/>
      <c r="F171" s="6"/>
      <c r="G171" s="6"/>
      <c r="H171" s="6" t="str">
        <f aca="false">IF(OR(F171="",G171=""),"",F171*G171)</f>
        <v/>
      </c>
      <c r="I171" s="13" t="str">
        <f aca="false">IF(H171="","",IF(H171&gt;=15,"RED",IF(H171&gt;=8,"AMBER","GREEN")))</f>
        <v/>
      </c>
      <c r="J171" s="25"/>
      <c r="K171" s="6"/>
      <c r="L171" s="6"/>
      <c r="M171" s="24"/>
      <c r="N171" s="6"/>
      <c r="O171" s="25"/>
      <c r="P171" s="6" t="str">
        <f aca="true">IF(J171="","",IF(N171="Closed",IF(O171="","",O171-J171),TODAY()-J171))</f>
        <v/>
      </c>
      <c r="Q171" s="6"/>
    </row>
    <row r="172" customFormat="false" ht="15" hidden="false" customHeight="true" outlineLevel="0" collapsed="false">
      <c r="A172" s="6"/>
      <c r="B172" s="6"/>
      <c r="C172" s="6"/>
      <c r="D172" s="24"/>
      <c r="E172" s="6"/>
      <c r="F172" s="6"/>
      <c r="G172" s="6"/>
      <c r="H172" s="6" t="str">
        <f aca="false">IF(OR(F172="",G172=""),"",F172*G172)</f>
        <v/>
      </c>
      <c r="I172" s="13" t="str">
        <f aca="false">IF(H172="","",IF(H172&gt;=15,"RED",IF(H172&gt;=8,"AMBER","GREEN")))</f>
        <v/>
      </c>
      <c r="J172" s="25"/>
      <c r="K172" s="6"/>
      <c r="L172" s="6"/>
      <c r="M172" s="24"/>
      <c r="N172" s="6"/>
      <c r="O172" s="25"/>
      <c r="P172" s="6" t="str">
        <f aca="true">IF(J172="","",IF(N172="Closed",IF(O172="","",O172-J172),TODAY()-J172))</f>
        <v/>
      </c>
      <c r="Q172" s="6"/>
    </row>
    <row r="173" customFormat="false" ht="15" hidden="false" customHeight="true" outlineLevel="0" collapsed="false">
      <c r="A173" s="6"/>
      <c r="B173" s="6"/>
      <c r="C173" s="6"/>
      <c r="D173" s="24"/>
      <c r="E173" s="6"/>
      <c r="F173" s="6"/>
      <c r="G173" s="6"/>
      <c r="H173" s="6" t="str">
        <f aca="false">IF(OR(F173="",G173=""),"",F173*G173)</f>
        <v/>
      </c>
      <c r="I173" s="13" t="str">
        <f aca="false">IF(H173="","",IF(H173&gt;=15,"RED",IF(H173&gt;=8,"AMBER","GREEN")))</f>
        <v/>
      </c>
      <c r="J173" s="25"/>
      <c r="K173" s="6"/>
      <c r="L173" s="6"/>
      <c r="M173" s="24"/>
      <c r="N173" s="6"/>
      <c r="O173" s="25"/>
      <c r="P173" s="6" t="str">
        <f aca="true">IF(J173="","",IF(N173="Closed",IF(O173="","",O173-J173),TODAY()-J173))</f>
        <v/>
      </c>
      <c r="Q173" s="6"/>
    </row>
    <row r="174" customFormat="false" ht="15" hidden="false" customHeight="true" outlineLevel="0" collapsed="false">
      <c r="A174" s="6"/>
      <c r="B174" s="6"/>
      <c r="C174" s="6"/>
      <c r="D174" s="24"/>
      <c r="E174" s="6"/>
      <c r="F174" s="6"/>
      <c r="G174" s="6"/>
      <c r="H174" s="6" t="str">
        <f aca="false">IF(OR(F174="",G174=""),"",F174*G174)</f>
        <v/>
      </c>
      <c r="I174" s="13" t="str">
        <f aca="false">IF(H174="","",IF(H174&gt;=15,"RED",IF(H174&gt;=8,"AMBER","GREEN")))</f>
        <v/>
      </c>
      <c r="J174" s="25"/>
      <c r="K174" s="6"/>
      <c r="L174" s="6"/>
      <c r="M174" s="24"/>
      <c r="N174" s="6"/>
      <c r="O174" s="25"/>
      <c r="P174" s="6" t="str">
        <f aca="true">IF(J174="","",IF(N174="Closed",IF(O174="","",O174-J174),TODAY()-J174))</f>
        <v/>
      </c>
      <c r="Q174" s="6"/>
    </row>
    <row r="175" customFormat="false" ht="15" hidden="false" customHeight="true" outlineLevel="0" collapsed="false">
      <c r="A175" s="6"/>
      <c r="B175" s="6"/>
      <c r="C175" s="6"/>
      <c r="D175" s="24"/>
      <c r="E175" s="6"/>
      <c r="F175" s="6"/>
      <c r="G175" s="6"/>
      <c r="H175" s="6" t="str">
        <f aca="false">IF(OR(F175="",G175=""),"",F175*G175)</f>
        <v/>
      </c>
      <c r="I175" s="13" t="str">
        <f aca="false">IF(H175="","",IF(H175&gt;=15,"RED",IF(H175&gt;=8,"AMBER","GREEN")))</f>
        <v/>
      </c>
      <c r="J175" s="25"/>
      <c r="K175" s="6"/>
      <c r="L175" s="6"/>
      <c r="M175" s="24"/>
      <c r="N175" s="6"/>
      <c r="O175" s="25"/>
      <c r="P175" s="6" t="str">
        <f aca="true">IF(J175="","",IF(N175="Closed",IF(O175="","",O175-J175),TODAY()-J175))</f>
        <v/>
      </c>
      <c r="Q175" s="6"/>
    </row>
    <row r="176" customFormat="false" ht="15" hidden="false" customHeight="true" outlineLevel="0" collapsed="false">
      <c r="A176" s="6"/>
      <c r="B176" s="6"/>
      <c r="C176" s="6"/>
      <c r="D176" s="24"/>
      <c r="E176" s="6"/>
      <c r="F176" s="6"/>
      <c r="G176" s="6"/>
      <c r="H176" s="6" t="str">
        <f aca="false">IF(OR(F176="",G176=""),"",F176*G176)</f>
        <v/>
      </c>
      <c r="I176" s="13" t="str">
        <f aca="false">IF(H176="","",IF(H176&gt;=15,"RED",IF(H176&gt;=8,"AMBER","GREEN")))</f>
        <v/>
      </c>
      <c r="J176" s="25"/>
      <c r="K176" s="6"/>
      <c r="L176" s="6"/>
      <c r="M176" s="24"/>
      <c r="N176" s="6"/>
      <c r="O176" s="25"/>
      <c r="P176" s="6" t="str">
        <f aca="true">IF(J176="","",IF(N176="Closed",IF(O176="","",O176-J176),TODAY()-J176))</f>
        <v/>
      </c>
      <c r="Q176" s="6"/>
    </row>
    <row r="177" customFormat="false" ht="15" hidden="false" customHeight="true" outlineLevel="0" collapsed="false">
      <c r="A177" s="6"/>
      <c r="B177" s="6"/>
      <c r="C177" s="6"/>
      <c r="D177" s="24"/>
      <c r="E177" s="6"/>
      <c r="F177" s="6"/>
      <c r="G177" s="6"/>
      <c r="H177" s="6" t="str">
        <f aca="false">IF(OR(F177="",G177=""),"",F177*G177)</f>
        <v/>
      </c>
      <c r="I177" s="13" t="str">
        <f aca="false">IF(H177="","",IF(H177&gt;=15,"RED",IF(H177&gt;=8,"AMBER","GREEN")))</f>
        <v/>
      </c>
      <c r="J177" s="25"/>
      <c r="K177" s="6"/>
      <c r="L177" s="6"/>
      <c r="M177" s="24"/>
      <c r="N177" s="6"/>
      <c r="O177" s="25"/>
      <c r="P177" s="6" t="str">
        <f aca="true">IF(J177="","",IF(N177="Closed",IF(O177="","",O177-J177),TODAY()-J177))</f>
        <v/>
      </c>
      <c r="Q177" s="6"/>
    </row>
    <row r="178" customFormat="false" ht="15" hidden="false" customHeight="true" outlineLevel="0" collapsed="false">
      <c r="A178" s="6"/>
      <c r="B178" s="6"/>
      <c r="C178" s="6"/>
      <c r="D178" s="24"/>
      <c r="E178" s="6"/>
      <c r="F178" s="6"/>
      <c r="G178" s="6"/>
      <c r="H178" s="6" t="str">
        <f aca="false">IF(OR(F178="",G178=""),"",F178*G178)</f>
        <v/>
      </c>
      <c r="I178" s="13" t="str">
        <f aca="false">IF(H178="","",IF(H178&gt;=15,"RED",IF(H178&gt;=8,"AMBER","GREEN")))</f>
        <v/>
      </c>
      <c r="J178" s="25"/>
      <c r="K178" s="6"/>
      <c r="L178" s="6"/>
      <c r="M178" s="24"/>
      <c r="N178" s="6"/>
      <c r="O178" s="25"/>
      <c r="P178" s="6" t="str">
        <f aca="true">IF(J178="","",IF(N178="Closed",IF(O178="","",O178-J178),TODAY()-J178))</f>
        <v/>
      </c>
      <c r="Q178" s="6"/>
    </row>
    <row r="179" customFormat="false" ht="15" hidden="false" customHeight="true" outlineLevel="0" collapsed="false">
      <c r="A179" s="6"/>
      <c r="B179" s="6"/>
      <c r="C179" s="6"/>
      <c r="D179" s="24"/>
      <c r="E179" s="6"/>
      <c r="F179" s="6"/>
      <c r="G179" s="6"/>
      <c r="H179" s="6" t="str">
        <f aca="false">IF(OR(F179="",G179=""),"",F179*G179)</f>
        <v/>
      </c>
      <c r="I179" s="13" t="str">
        <f aca="false">IF(H179="","",IF(H179&gt;=15,"RED",IF(H179&gt;=8,"AMBER","GREEN")))</f>
        <v/>
      </c>
      <c r="J179" s="25"/>
      <c r="K179" s="6"/>
      <c r="L179" s="6"/>
      <c r="M179" s="24"/>
      <c r="N179" s="6"/>
      <c r="O179" s="25"/>
      <c r="P179" s="6" t="str">
        <f aca="true">IF(J179="","",IF(N179="Closed",IF(O179="","",O179-J179),TODAY()-J179))</f>
        <v/>
      </c>
      <c r="Q179" s="6"/>
    </row>
    <row r="180" customFormat="false" ht="15" hidden="false" customHeight="true" outlineLevel="0" collapsed="false">
      <c r="A180" s="6"/>
      <c r="B180" s="6"/>
      <c r="C180" s="6"/>
      <c r="D180" s="24"/>
      <c r="E180" s="6"/>
      <c r="F180" s="6"/>
      <c r="G180" s="6"/>
      <c r="H180" s="6" t="str">
        <f aca="false">IF(OR(F180="",G180=""),"",F180*G180)</f>
        <v/>
      </c>
      <c r="I180" s="13" t="str">
        <f aca="false">IF(H180="","",IF(H180&gt;=15,"RED",IF(H180&gt;=8,"AMBER","GREEN")))</f>
        <v/>
      </c>
      <c r="J180" s="25"/>
      <c r="K180" s="6"/>
      <c r="L180" s="6"/>
      <c r="M180" s="24"/>
      <c r="N180" s="6"/>
      <c r="O180" s="25"/>
      <c r="P180" s="6" t="str">
        <f aca="true">IF(J180="","",IF(N180="Closed",IF(O180="","",O180-J180),TODAY()-J180))</f>
        <v/>
      </c>
      <c r="Q180" s="6"/>
    </row>
    <row r="181" customFormat="false" ht="15" hidden="false" customHeight="true" outlineLevel="0" collapsed="false">
      <c r="A181" s="6"/>
      <c r="B181" s="6"/>
      <c r="C181" s="6"/>
      <c r="D181" s="24"/>
      <c r="E181" s="6"/>
      <c r="F181" s="6"/>
      <c r="G181" s="6"/>
      <c r="H181" s="6" t="str">
        <f aca="false">IF(OR(F181="",G181=""),"",F181*G181)</f>
        <v/>
      </c>
      <c r="I181" s="13" t="str">
        <f aca="false">IF(H181="","",IF(H181&gt;=15,"RED",IF(H181&gt;=8,"AMBER","GREEN")))</f>
        <v/>
      </c>
      <c r="J181" s="25"/>
      <c r="K181" s="6"/>
      <c r="L181" s="6"/>
      <c r="M181" s="24"/>
      <c r="N181" s="6"/>
      <c r="O181" s="25"/>
      <c r="P181" s="6" t="str">
        <f aca="true">IF(J181="","",IF(N181="Closed",IF(O181="","",O181-J181),TODAY()-J181))</f>
        <v/>
      </c>
      <c r="Q181" s="6"/>
    </row>
    <row r="182" customFormat="false" ht="15" hidden="false" customHeight="true" outlineLevel="0" collapsed="false">
      <c r="A182" s="6"/>
      <c r="B182" s="6"/>
      <c r="C182" s="6"/>
      <c r="D182" s="24"/>
      <c r="E182" s="6"/>
      <c r="F182" s="6"/>
      <c r="G182" s="6"/>
      <c r="H182" s="6" t="str">
        <f aca="false">IF(OR(F182="",G182=""),"",F182*G182)</f>
        <v/>
      </c>
      <c r="I182" s="13" t="str">
        <f aca="false">IF(H182="","",IF(H182&gt;=15,"RED",IF(H182&gt;=8,"AMBER","GREEN")))</f>
        <v/>
      </c>
      <c r="J182" s="25"/>
      <c r="K182" s="6"/>
      <c r="L182" s="6"/>
      <c r="M182" s="24"/>
      <c r="N182" s="6"/>
      <c r="O182" s="25"/>
      <c r="P182" s="6" t="str">
        <f aca="true">IF(J182="","",IF(N182="Closed",IF(O182="","",O182-J182),TODAY()-J182))</f>
        <v/>
      </c>
      <c r="Q182" s="6"/>
    </row>
    <row r="183" customFormat="false" ht="15" hidden="false" customHeight="true" outlineLevel="0" collapsed="false">
      <c r="A183" s="6"/>
      <c r="B183" s="6"/>
      <c r="C183" s="6"/>
      <c r="D183" s="24"/>
      <c r="E183" s="6"/>
      <c r="F183" s="6"/>
      <c r="G183" s="6"/>
      <c r="H183" s="6" t="str">
        <f aca="false">IF(OR(F183="",G183=""),"",F183*G183)</f>
        <v/>
      </c>
      <c r="I183" s="13" t="str">
        <f aca="false">IF(H183="","",IF(H183&gt;=15,"RED",IF(H183&gt;=8,"AMBER","GREEN")))</f>
        <v/>
      </c>
      <c r="J183" s="25"/>
      <c r="K183" s="6"/>
      <c r="L183" s="6"/>
      <c r="M183" s="24"/>
      <c r="N183" s="6"/>
      <c r="O183" s="25"/>
      <c r="P183" s="6" t="str">
        <f aca="true">IF(J183="","",IF(N183="Closed",IF(O183="","",O183-J183),TODAY()-J183))</f>
        <v/>
      </c>
      <c r="Q183" s="6"/>
    </row>
    <row r="184" customFormat="false" ht="15" hidden="false" customHeight="true" outlineLevel="0" collapsed="false">
      <c r="A184" s="6"/>
      <c r="B184" s="6"/>
      <c r="C184" s="6"/>
      <c r="D184" s="24"/>
      <c r="E184" s="6"/>
      <c r="F184" s="6"/>
      <c r="G184" s="6"/>
      <c r="H184" s="6" t="str">
        <f aca="false">IF(OR(F184="",G184=""),"",F184*G184)</f>
        <v/>
      </c>
      <c r="I184" s="13" t="str">
        <f aca="false">IF(H184="","",IF(H184&gt;=15,"RED",IF(H184&gt;=8,"AMBER","GREEN")))</f>
        <v/>
      </c>
      <c r="J184" s="25"/>
      <c r="K184" s="6"/>
      <c r="L184" s="6"/>
      <c r="M184" s="24"/>
      <c r="N184" s="6"/>
      <c r="O184" s="25"/>
      <c r="P184" s="6" t="str">
        <f aca="true">IF(J184="","",IF(N184="Closed",IF(O184="","",O184-J184),TODAY()-J184))</f>
        <v/>
      </c>
      <c r="Q184" s="6"/>
    </row>
    <row r="185" customFormat="false" ht="15" hidden="false" customHeight="true" outlineLevel="0" collapsed="false">
      <c r="A185" s="6"/>
      <c r="B185" s="6"/>
      <c r="C185" s="6"/>
      <c r="D185" s="24"/>
      <c r="E185" s="6"/>
      <c r="F185" s="6"/>
      <c r="G185" s="6"/>
      <c r="H185" s="6" t="str">
        <f aca="false">IF(OR(F185="",G185=""),"",F185*G185)</f>
        <v/>
      </c>
      <c r="I185" s="13" t="str">
        <f aca="false">IF(H185="","",IF(H185&gt;=15,"RED",IF(H185&gt;=8,"AMBER","GREEN")))</f>
        <v/>
      </c>
      <c r="J185" s="25"/>
      <c r="K185" s="6"/>
      <c r="L185" s="6"/>
      <c r="M185" s="24"/>
      <c r="N185" s="6"/>
      <c r="O185" s="25"/>
      <c r="P185" s="6" t="str">
        <f aca="true">IF(J185="","",IF(N185="Closed",IF(O185="","",O185-J185),TODAY()-J185))</f>
        <v/>
      </c>
      <c r="Q185" s="6"/>
    </row>
    <row r="186" customFormat="false" ht="15" hidden="false" customHeight="true" outlineLevel="0" collapsed="false">
      <c r="A186" s="6"/>
      <c r="B186" s="6"/>
      <c r="C186" s="6"/>
      <c r="D186" s="24"/>
      <c r="E186" s="6"/>
      <c r="F186" s="6"/>
      <c r="G186" s="6"/>
      <c r="H186" s="6" t="str">
        <f aca="false">IF(OR(F186="",G186=""),"",F186*G186)</f>
        <v/>
      </c>
      <c r="I186" s="13" t="str">
        <f aca="false">IF(H186="","",IF(H186&gt;=15,"RED",IF(H186&gt;=8,"AMBER","GREEN")))</f>
        <v/>
      </c>
      <c r="J186" s="25"/>
      <c r="K186" s="6"/>
      <c r="L186" s="6"/>
      <c r="M186" s="24"/>
      <c r="N186" s="6"/>
      <c r="O186" s="25"/>
      <c r="P186" s="6" t="str">
        <f aca="true">IF(J186="","",IF(N186="Closed",IF(O186="","",O186-J186),TODAY()-J186))</f>
        <v/>
      </c>
      <c r="Q186" s="6"/>
    </row>
    <row r="187" customFormat="false" ht="15" hidden="false" customHeight="true" outlineLevel="0" collapsed="false">
      <c r="A187" s="6"/>
      <c r="B187" s="6"/>
      <c r="C187" s="6"/>
      <c r="D187" s="24"/>
      <c r="E187" s="6"/>
      <c r="F187" s="6"/>
      <c r="G187" s="6"/>
      <c r="H187" s="6" t="str">
        <f aca="false">IF(OR(F187="",G187=""),"",F187*G187)</f>
        <v/>
      </c>
      <c r="I187" s="13" t="str">
        <f aca="false">IF(H187="","",IF(H187&gt;=15,"RED",IF(H187&gt;=8,"AMBER","GREEN")))</f>
        <v/>
      </c>
      <c r="J187" s="25"/>
      <c r="K187" s="6"/>
      <c r="L187" s="6"/>
      <c r="M187" s="24"/>
      <c r="N187" s="6"/>
      <c r="O187" s="25"/>
      <c r="P187" s="6" t="str">
        <f aca="true">IF(J187="","",IF(N187="Closed",IF(O187="","",O187-J187),TODAY()-J187))</f>
        <v/>
      </c>
      <c r="Q187" s="6"/>
    </row>
    <row r="188" customFormat="false" ht="15" hidden="false" customHeight="true" outlineLevel="0" collapsed="false">
      <c r="A188" s="6"/>
      <c r="B188" s="6"/>
      <c r="C188" s="6"/>
      <c r="D188" s="24"/>
      <c r="E188" s="6"/>
      <c r="F188" s="6"/>
      <c r="G188" s="6"/>
      <c r="H188" s="6" t="str">
        <f aca="false">IF(OR(F188="",G188=""),"",F188*G188)</f>
        <v/>
      </c>
      <c r="I188" s="13" t="str">
        <f aca="false">IF(H188="","",IF(H188&gt;=15,"RED",IF(H188&gt;=8,"AMBER","GREEN")))</f>
        <v/>
      </c>
      <c r="J188" s="25"/>
      <c r="K188" s="6"/>
      <c r="L188" s="6"/>
      <c r="M188" s="24"/>
      <c r="N188" s="6"/>
      <c r="O188" s="25"/>
      <c r="P188" s="6" t="str">
        <f aca="true">IF(J188="","",IF(N188="Closed",IF(O188="","",O188-J188),TODAY()-J188))</f>
        <v/>
      </c>
      <c r="Q188" s="6"/>
    </row>
    <row r="189" customFormat="false" ht="15" hidden="false" customHeight="true" outlineLevel="0" collapsed="false">
      <c r="A189" s="6"/>
      <c r="B189" s="6"/>
      <c r="C189" s="6"/>
      <c r="D189" s="24"/>
      <c r="E189" s="6"/>
      <c r="F189" s="6"/>
      <c r="G189" s="6"/>
      <c r="H189" s="6" t="str">
        <f aca="false">IF(OR(F189="",G189=""),"",F189*G189)</f>
        <v/>
      </c>
      <c r="I189" s="13" t="str">
        <f aca="false">IF(H189="","",IF(H189&gt;=15,"RED",IF(H189&gt;=8,"AMBER","GREEN")))</f>
        <v/>
      </c>
      <c r="J189" s="25"/>
      <c r="K189" s="6"/>
      <c r="L189" s="6"/>
      <c r="M189" s="24"/>
      <c r="N189" s="6"/>
      <c r="O189" s="25"/>
      <c r="P189" s="6" t="str">
        <f aca="true">IF(J189="","",IF(N189="Closed",IF(O189="","",O189-J189),TODAY()-J189))</f>
        <v/>
      </c>
      <c r="Q189" s="6"/>
    </row>
    <row r="190" customFormat="false" ht="15" hidden="false" customHeight="true" outlineLevel="0" collapsed="false">
      <c r="A190" s="6"/>
      <c r="B190" s="6"/>
      <c r="C190" s="6"/>
      <c r="D190" s="24"/>
      <c r="E190" s="6"/>
      <c r="F190" s="6"/>
      <c r="G190" s="6"/>
      <c r="H190" s="6" t="str">
        <f aca="false">IF(OR(F190="",G190=""),"",F190*G190)</f>
        <v/>
      </c>
      <c r="I190" s="13" t="str">
        <f aca="false">IF(H190="","",IF(H190&gt;=15,"RED",IF(H190&gt;=8,"AMBER","GREEN")))</f>
        <v/>
      </c>
      <c r="J190" s="25"/>
      <c r="K190" s="6"/>
      <c r="L190" s="6"/>
      <c r="M190" s="24"/>
      <c r="N190" s="6"/>
      <c r="O190" s="25"/>
      <c r="P190" s="6" t="str">
        <f aca="true">IF(J190="","",IF(N190="Closed",IF(O190="","",O190-J190),TODAY()-J190))</f>
        <v/>
      </c>
      <c r="Q190" s="6"/>
    </row>
    <row r="191" customFormat="false" ht="15" hidden="false" customHeight="true" outlineLevel="0" collapsed="false">
      <c r="A191" s="6"/>
      <c r="B191" s="6"/>
      <c r="C191" s="6"/>
      <c r="D191" s="24"/>
      <c r="E191" s="6"/>
      <c r="F191" s="6"/>
      <c r="G191" s="6"/>
      <c r="H191" s="6" t="str">
        <f aca="false">IF(OR(F191="",G191=""),"",F191*G191)</f>
        <v/>
      </c>
      <c r="I191" s="13" t="str">
        <f aca="false">IF(H191="","",IF(H191&gt;=15,"RED",IF(H191&gt;=8,"AMBER","GREEN")))</f>
        <v/>
      </c>
      <c r="J191" s="25"/>
      <c r="K191" s="6"/>
      <c r="L191" s="6"/>
      <c r="M191" s="24"/>
      <c r="N191" s="6"/>
      <c r="O191" s="25"/>
      <c r="P191" s="6" t="str">
        <f aca="true">IF(J191="","",IF(N191="Closed",IF(O191="","",O191-J191),TODAY()-J191))</f>
        <v/>
      </c>
      <c r="Q191" s="6"/>
    </row>
    <row r="192" customFormat="false" ht="15" hidden="false" customHeight="true" outlineLevel="0" collapsed="false">
      <c r="A192" s="6"/>
      <c r="B192" s="6"/>
      <c r="C192" s="6"/>
      <c r="D192" s="24"/>
      <c r="E192" s="6"/>
      <c r="F192" s="6"/>
      <c r="G192" s="6"/>
      <c r="H192" s="6" t="str">
        <f aca="false">IF(OR(F192="",G192=""),"",F192*G192)</f>
        <v/>
      </c>
      <c r="I192" s="13" t="str">
        <f aca="false">IF(H192="","",IF(H192&gt;=15,"RED",IF(H192&gt;=8,"AMBER","GREEN")))</f>
        <v/>
      </c>
      <c r="J192" s="25"/>
      <c r="K192" s="6"/>
      <c r="L192" s="6"/>
      <c r="M192" s="24"/>
      <c r="N192" s="6"/>
      <c r="O192" s="25"/>
      <c r="P192" s="6" t="str">
        <f aca="true">IF(J192="","",IF(N192="Closed",IF(O192="","",O192-J192),TODAY()-J192))</f>
        <v/>
      </c>
      <c r="Q192" s="6"/>
    </row>
    <row r="193" customFormat="false" ht="15" hidden="false" customHeight="true" outlineLevel="0" collapsed="false">
      <c r="A193" s="6"/>
      <c r="B193" s="6"/>
      <c r="C193" s="6"/>
      <c r="D193" s="24"/>
      <c r="E193" s="6"/>
      <c r="F193" s="6"/>
      <c r="G193" s="6"/>
      <c r="H193" s="6" t="str">
        <f aca="false">IF(OR(F193="",G193=""),"",F193*G193)</f>
        <v/>
      </c>
      <c r="I193" s="13" t="str">
        <f aca="false">IF(H193="","",IF(H193&gt;=15,"RED",IF(H193&gt;=8,"AMBER","GREEN")))</f>
        <v/>
      </c>
      <c r="J193" s="25"/>
      <c r="K193" s="6"/>
      <c r="L193" s="6"/>
      <c r="M193" s="24"/>
      <c r="N193" s="6"/>
      <c r="O193" s="25"/>
      <c r="P193" s="6" t="str">
        <f aca="true">IF(J193="","",IF(N193="Closed",IF(O193="","",O193-J193),TODAY()-J193))</f>
        <v/>
      </c>
      <c r="Q193" s="6"/>
    </row>
    <row r="194" customFormat="false" ht="15" hidden="false" customHeight="true" outlineLevel="0" collapsed="false">
      <c r="A194" s="6"/>
      <c r="B194" s="6"/>
      <c r="C194" s="6"/>
      <c r="D194" s="24"/>
      <c r="E194" s="6"/>
      <c r="F194" s="6"/>
      <c r="G194" s="6"/>
      <c r="H194" s="6" t="str">
        <f aca="false">IF(OR(F194="",G194=""),"",F194*G194)</f>
        <v/>
      </c>
      <c r="I194" s="13" t="str">
        <f aca="false">IF(H194="","",IF(H194&gt;=15,"RED",IF(H194&gt;=8,"AMBER","GREEN")))</f>
        <v/>
      </c>
      <c r="J194" s="25"/>
      <c r="K194" s="6"/>
      <c r="L194" s="6"/>
      <c r="M194" s="24"/>
      <c r="N194" s="6"/>
      <c r="O194" s="25"/>
      <c r="P194" s="6" t="str">
        <f aca="true">IF(J194="","",IF(N194="Closed",IF(O194="","",O194-J194),TODAY()-J194))</f>
        <v/>
      </c>
      <c r="Q194" s="6"/>
    </row>
    <row r="195" customFormat="false" ht="15" hidden="false" customHeight="true" outlineLevel="0" collapsed="false">
      <c r="A195" s="6"/>
      <c r="B195" s="6"/>
      <c r="C195" s="6"/>
      <c r="D195" s="24"/>
      <c r="E195" s="6"/>
      <c r="F195" s="6"/>
      <c r="G195" s="6"/>
      <c r="H195" s="6" t="str">
        <f aca="false">IF(OR(F195="",G195=""),"",F195*G195)</f>
        <v/>
      </c>
      <c r="I195" s="13" t="str">
        <f aca="false">IF(H195="","",IF(H195&gt;=15,"RED",IF(H195&gt;=8,"AMBER","GREEN")))</f>
        <v/>
      </c>
      <c r="J195" s="25"/>
      <c r="K195" s="6"/>
      <c r="L195" s="6"/>
      <c r="M195" s="24"/>
      <c r="N195" s="6"/>
      <c r="O195" s="25"/>
      <c r="P195" s="6" t="str">
        <f aca="true">IF(J195="","",IF(N195="Closed",IF(O195="","",O195-J195),TODAY()-J195))</f>
        <v/>
      </c>
      <c r="Q195" s="6"/>
    </row>
    <row r="196" customFormat="false" ht="15" hidden="false" customHeight="true" outlineLevel="0" collapsed="false">
      <c r="A196" s="6"/>
      <c r="B196" s="6"/>
      <c r="C196" s="6"/>
      <c r="D196" s="24"/>
      <c r="E196" s="6"/>
      <c r="F196" s="6"/>
      <c r="G196" s="6"/>
      <c r="H196" s="6" t="str">
        <f aca="false">IF(OR(F196="",G196=""),"",F196*G196)</f>
        <v/>
      </c>
      <c r="I196" s="13" t="str">
        <f aca="false">IF(H196="","",IF(H196&gt;=15,"RED",IF(H196&gt;=8,"AMBER","GREEN")))</f>
        <v/>
      </c>
      <c r="J196" s="25"/>
      <c r="K196" s="6"/>
      <c r="L196" s="6"/>
      <c r="M196" s="24"/>
      <c r="N196" s="6"/>
      <c r="O196" s="25"/>
      <c r="P196" s="6" t="str">
        <f aca="true">IF(J196="","",IF(N196="Closed",IF(O196="","",O196-J196),TODAY()-J196))</f>
        <v/>
      </c>
      <c r="Q196" s="6"/>
    </row>
    <row r="197" customFormat="false" ht="15" hidden="false" customHeight="true" outlineLevel="0" collapsed="false">
      <c r="A197" s="6"/>
      <c r="B197" s="6"/>
      <c r="C197" s="6"/>
      <c r="D197" s="24"/>
      <c r="E197" s="6"/>
      <c r="F197" s="6"/>
      <c r="G197" s="6"/>
      <c r="H197" s="6" t="str">
        <f aca="false">IF(OR(F197="",G197=""),"",F197*G197)</f>
        <v/>
      </c>
      <c r="I197" s="13" t="str">
        <f aca="false">IF(H197="","",IF(H197&gt;=15,"RED",IF(H197&gt;=8,"AMBER","GREEN")))</f>
        <v/>
      </c>
      <c r="J197" s="25"/>
      <c r="K197" s="6"/>
      <c r="L197" s="6"/>
      <c r="M197" s="24"/>
      <c r="N197" s="6"/>
      <c r="O197" s="25"/>
      <c r="P197" s="6" t="str">
        <f aca="true">IF(J197="","",IF(N197="Closed",IF(O197="","",O197-J197),TODAY()-J197))</f>
        <v/>
      </c>
      <c r="Q197" s="6"/>
    </row>
    <row r="198" customFormat="false" ht="15" hidden="false" customHeight="true" outlineLevel="0" collapsed="false">
      <c r="A198" s="6"/>
      <c r="B198" s="6"/>
      <c r="C198" s="6"/>
      <c r="D198" s="24"/>
      <c r="E198" s="6"/>
      <c r="F198" s="6"/>
      <c r="G198" s="6"/>
      <c r="H198" s="6" t="str">
        <f aca="false">IF(OR(F198="",G198=""),"",F198*G198)</f>
        <v/>
      </c>
      <c r="I198" s="13" t="str">
        <f aca="false">IF(H198="","",IF(H198&gt;=15,"RED",IF(H198&gt;=8,"AMBER","GREEN")))</f>
        <v/>
      </c>
      <c r="J198" s="25"/>
      <c r="K198" s="6"/>
      <c r="L198" s="6"/>
      <c r="M198" s="24"/>
      <c r="N198" s="6"/>
      <c r="O198" s="25"/>
      <c r="P198" s="6" t="str">
        <f aca="true">IF(J198="","",IF(N198="Closed",IF(O198="","",O198-J198),TODAY()-J198))</f>
        <v/>
      </c>
      <c r="Q198" s="6"/>
    </row>
    <row r="199" customFormat="false" ht="15" hidden="false" customHeight="true" outlineLevel="0" collapsed="false">
      <c r="A199" s="6"/>
      <c r="B199" s="6"/>
      <c r="C199" s="6"/>
      <c r="D199" s="24"/>
      <c r="E199" s="6"/>
      <c r="F199" s="6"/>
      <c r="G199" s="6"/>
      <c r="H199" s="6" t="str">
        <f aca="false">IF(OR(F199="",G199=""),"",F199*G199)</f>
        <v/>
      </c>
      <c r="I199" s="13" t="str">
        <f aca="false">IF(H199="","",IF(H199&gt;=15,"RED",IF(H199&gt;=8,"AMBER","GREEN")))</f>
        <v/>
      </c>
      <c r="J199" s="25"/>
      <c r="K199" s="6"/>
      <c r="L199" s="6"/>
      <c r="M199" s="24"/>
      <c r="N199" s="6"/>
      <c r="O199" s="25"/>
      <c r="P199" s="6" t="str">
        <f aca="true">IF(J199="","",IF(N199="Closed",IF(O199="","",O199-J199),TODAY()-J199))</f>
        <v/>
      </c>
      <c r="Q199" s="6"/>
    </row>
    <row r="200" customFormat="false" ht="15" hidden="false" customHeight="true" outlineLevel="0" collapsed="false">
      <c r="A200" s="6"/>
      <c r="B200" s="6"/>
      <c r="C200" s="6"/>
      <c r="D200" s="24"/>
      <c r="E200" s="6"/>
      <c r="F200" s="6"/>
      <c r="G200" s="6"/>
      <c r="H200" s="6" t="str">
        <f aca="false">IF(OR(F200="",G200=""),"",F200*G200)</f>
        <v/>
      </c>
      <c r="I200" s="13" t="str">
        <f aca="false">IF(H200="","",IF(H200&gt;=15,"RED",IF(H200&gt;=8,"AMBER","GREEN")))</f>
        <v/>
      </c>
      <c r="J200" s="25"/>
      <c r="K200" s="6"/>
      <c r="L200" s="6"/>
      <c r="M200" s="24"/>
      <c r="N200" s="6"/>
      <c r="O200" s="25"/>
      <c r="P200" s="6" t="str">
        <f aca="true">IF(J200="","",IF(N200="Closed",IF(O200="","",O200-J200),TODAY()-J200))</f>
        <v/>
      </c>
      <c r="Q200" s="6"/>
    </row>
    <row r="201" customFormat="false" ht="15" hidden="false" customHeight="true" outlineLevel="0" collapsed="false">
      <c r="A201" s="6"/>
      <c r="B201" s="6"/>
      <c r="C201" s="6"/>
      <c r="D201" s="24"/>
      <c r="E201" s="6"/>
      <c r="F201" s="6"/>
      <c r="G201" s="6"/>
      <c r="H201" s="6" t="str">
        <f aca="false">IF(OR(F201="",G201=""),"",F201*G201)</f>
        <v/>
      </c>
      <c r="I201" s="13" t="str">
        <f aca="false">IF(H201="","",IF(H201&gt;=15,"RED",IF(H201&gt;=8,"AMBER","GREEN")))</f>
        <v/>
      </c>
      <c r="J201" s="25"/>
      <c r="K201" s="6"/>
      <c r="L201" s="6"/>
      <c r="M201" s="24"/>
      <c r="N201" s="6"/>
      <c r="O201" s="25"/>
      <c r="P201" s="6" t="str">
        <f aca="true">IF(J201="","",IF(N201="Closed",IF(O201="","",O201-J201),TODAY()-J201))</f>
        <v/>
      </c>
      <c r="Q201" s="6"/>
    </row>
    <row r="202" customFormat="false" ht="15" hidden="false" customHeight="true" outlineLevel="0" collapsed="false">
      <c r="A202" s="6"/>
      <c r="B202" s="6"/>
      <c r="C202" s="6"/>
      <c r="D202" s="24"/>
      <c r="E202" s="6"/>
      <c r="F202" s="6"/>
      <c r="G202" s="6"/>
      <c r="H202" s="6" t="str">
        <f aca="false">IF(OR(F202="",G202=""),"",F202*G202)</f>
        <v/>
      </c>
      <c r="I202" s="13" t="str">
        <f aca="false">IF(H202="","",IF(H202&gt;=15,"RED",IF(H202&gt;=8,"AMBER","GREEN")))</f>
        <v/>
      </c>
      <c r="J202" s="25"/>
      <c r="K202" s="6"/>
      <c r="L202" s="6"/>
      <c r="M202" s="24"/>
      <c r="N202" s="6"/>
      <c r="O202" s="25"/>
      <c r="P202" s="6" t="str">
        <f aca="true">IF(J202="","",IF(N202="Closed",IF(O202="","",O202-J202),TODAY()-J202))</f>
        <v/>
      </c>
      <c r="Q202" s="6"/>
    </row>
  </sheetData>
  <mergeCells count="1">
    <mergeCell ref="A1:Q1"/>
  </mergeCells>
  <dataValidations count="4">
    <dataValidation allowBlank="true" errorStyle="stop" operator="between" showDropDown="false" showErrorMessage="false" showInputMessage="false" sqref="C3:C202" type="list">
      <formula1>"Operational,Compliance,Performance"</formula1>
      <formula2>0</formula2>
    </dataValidation>
    <dataValidation allowBlank="true" errorStyle="stop" operator="between" showDropDown="false" showErrorMessage="false" showInputMessage="false" sqref="L3:L202" type="list">
      <formula1>"Decide,Recommend,Escalate"</formula1>
      <formula2>0</formula2>
    </dataValidation>
    <dataValidation allowBlank="true" errorStyle="stop" operator="between" showDropDown="false" showErrorMessage="false" showInputMessage="false" sqref="N3:N202" type="list">
      <formula1>"Open,In Progress,Closed"</formula1>
      <formula2>0</formula2>
    </dataValidation>
    <dataValidation allowBlank="true" errorStyle="stop" operator="between" showDropDown="false" showErrorMessage="false" showInputMessage="false" sqref="Q3:Q2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24" hidden="false" customHeight="true" outlineLevel="0" collapsed="false">
      <c r="A1" s="2" t="s">
        <v>361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362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12" t="s">
        <v>363</v>
      </c>
      <c r="B3" s="12" t="s">
        <v>364</v>
      </c>
      <c r="C3" s="12" t="s">
        <v>365</v>
      </c>
      <c r="D3" s="12" t="s">
        <v>366</v>
      </c>
      <c r="E3" s="12" t="s">
        <v>367</v>
      </c>
      <c r="F3" s="12" t="s">
        <v>368</v>
      </c>
    </row>
    <row r="4" customFormat="false" ht="15" hidden="false" customHeight="true" outlineLevel="0" collapsed="false">
      <c r="A4" s="5" t="s">
        <v>369</v>
      </c>
      <c r="B4" s="28" t="n">
        <f aca="false">Parameters!$C$10*Parameters!$C$23*Parameters!$C$8</f>
        <v>0</v>
      </c>
      <c r="C4" s="28" t="n">
        <f aca="false">Parameters!$C$9*Parameters!$C$29</f>
        <v>80</v>
      </c>
      <c r="D4" s="6" t="n">
        <f aca="false">B4-C4</f>
        <v>-80</v>
      </c>
      <c r="E4" s="29" t="str">
        <f aca="false">IF(B4=0,"",C4/B4)</f>
        <v/>
      </c>
      <c r="F4" s="5" t="str">
        <f aca="false">IF(B4=0,"Enter headcount",IF(B4&gt;=C4,"OK — capacity sufficient","DEFICIT — model infeasible"))</f>
        <v>Enter headcount</v>
      </c>
    </row>
    <row r="5" customFormat="false" ht="15" hidden="false" customHeight="true" outlineLevel="0" collapsed="false">
      <c r="A5" s="5" t="s">
        <v>370</v>
      </c>
      <c r="B5" s="28" t="n">
        <f aca="false">Parameters!$C$10*Parameters!$C$24*Parameters!$C$8</f>
        <v>0</v>
      </c>
      <c r="C5" s="28" t="n">
        <f aca="false">Parameters!$C$9*Parameters!$C$30</f>
        <v>80</v>
      </c>
      <c r="D5" s="6" t="n">
        <f aca="false">B5-C5</f>
        <v>-80</v>
      </c>
      <c r="E5" s="29" t="str">
        <f aca="false">IF(B5=0,"",C5/B5)</f>
        <v/>
      </c>
      <c r="F5" s="5" t="str">
        <f aca="false">IF(B5=0,"Enter headcount",IF(B5&gt;=C5,"OK — capacity sufficient","DEFICIT — model infeasible"))</f>
        <v>Enter headcount</v>
      </c>
    </row>
    <row r="6" customFormat="false" ht="15" hidden="false" customHeight="true" outlineLevel="0" collapsed="false">
      <c r="A6" s="5" t="s">
        <v>371</v>
      </c>
      <c r="B6" s="28" t="n">
        <f aca="false">Parameters!$C$10*Parameters!$C$25*Parameters!$C$8</f>
        <v>0</v>
      </c>
      <c r="C6" s="28" t="n">
        <f aca="false">Parameters!$C$9*Parameters!$C$31</f>
        <v>960</v>
      </c>
      <c r="D6" s="6" t="n">
        <f aca="false">B6-C6</f>
        <v>-960</v>
      </c>
      <c r="E6" s="29" t="str">
        <f aca="false">IF(B6=0,"",C6/B6)</f>
        <v/>
      </c>
      <c r="F6" s="5" t="str">
        <f aca="false">IF(B6=0,"Enter headcount",IF(B6&gt;=C6,"OK — capacity sufficient","DEFICIT — model infeasible"))</f>
        <v>Enter headcount</v>
      </c>
    </row>
    <row r="7" customFormat="false" ht="15" hidden="false" customHeight="true" outlineLevel="0" collapsed="false">
      <c r="A7" s="5" t="s">
        <v>372</v>
      </c>
      <c r="B7" s="28" t="n">
        <f aca="false">Parameters!$C$11*Parameters!$C$26*Parameters!$C$8</f>
        <v>0</v>
      </c>
      <c r="C7" s="28" t="n">
        <f aca="false">Parameters!$C$9*Parameters!$C$32</f>
        <v>320</v>
      </c>
      <c r="D7" s="6" t="n">
        <f aca="false">B7-C7</f>
        <v>-320</v>
      </c>
      <c r="E7" s="29" t="str">
        <f aca="false">IF(B7=0,"",C7/B7)</f>
        <v/>
      </c>
      <c r="F7" s="5" t="str">
        <f aca="false">IF(B7=0,"Enter headcount",IF(B7&gt;=C7,"OK — capacity sufficient","DEFICIT — model infeasible"))</f>
        <v>Enter headcount</v>
      </c>
    </row>
    <row r="9" customFormat="false" ht="15" hidden="false" customHeight="true" outlineLevel="0" collapsed="false">
      <c r="A9" s="3" t="s">
        <v>373</v>
      </c>
      <c r="B9" s="3"/>
      <c r="C9" s="3"/>
      <c r="D9" s="3"/>
      <c r="E9" s="3"/>
      <c r="F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</row>
  </sheetData>
  <mergeCells count="3">
    <mergeCell ref="A1:F1"/>
    <mergeCell ref="A2:F2"/>
    <mergeCell ref="A9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24" hidden="false" customHeight="true" outlineLevel="0" collapsed="false">
      <c r="A1" s="2" t="s">
        <v>374</v>
      </c>
      <c r="B1" s="2"/>
      <c r="C1" s="2"/>
      <c r="D1" s="2"/>
    </row>
    <row r="2" customFormat="false" ht="30" hidden="false" customHeight="true" outlineLevel="0" collapsed="false">
      <c r="A2" s="12" t="s">
        <v>375</v>
      </c>
      <c r="B2" s="12" t="s">
        <v>376</v>
      </c>
      <c r="C2" s="12" t="s">
        <v>377</v>
      </c>
      <c r="D2" s="12" t="s">
        <v>378</v>
      </c>
    </row>
    <row r="3" customFormat="false" ht="25.5" hidden="false" customHeight="true" outlineLevel="0" collapsed="false">
      <c r="A3" s="5" t="s">
        <v>379</v>
      </c>
      <c r="B3" s="6" t="n">
        <f aca="false">SUMPRODUCT(('Master SME Registry'!$G$3:$G$82&lt;&gt;"")*('Master SME Registry'!$G$3:$G$82&lt;&gt;"Not Started"))</f>
        <v>8</v>
      </c>
      <c r="C3" s="30" t="n">
        <f aca="false">Parameters!$C$9</f>
        <v>80</v>
      </c>
      <c r="D3" s="8" t="s">
        <v>380</v>
      </c>
    </row>
    <row r="4" customFormat="false" ht="25.5" hidden="false" customHeight="true" outlineLevel="0" collapsed="false">
      <c r="A4" s="5" t="s">
        <v>381</v>
      </c>
      <c r="B4" s="6" t="n">
        <f aca="false">COUNTIF('Master SME Registry'!$G$3:$G$82,"Complete")</f>
        <v>1</v>
      </c>
      <c r="C4" s="30" t="s">
        <v>382</v>
      </c>
      <c r="D4" s="8" t="s">
        <v>383</v>
      </c>
    </row>
    <row r="5" customFormat="false" ht="25.5" hidden="false" customHeight="true" outlineLevel="0" collapsed="false">
      <c r="A5" s="5" t="s">
        <v>384</v>
      </c>
      <c r="B5" s="26" t="n">
        <f aca="false">IFERROR(SUMPRODUCT(('Master SME Registry'!$G$3:$G$82&lt;&gt;"")*('Master SME Registry'!$G$3:$G$82&lt;&gt;"Not Started")*('Master SME Registry'!$G$3:$G$82&lt;&gt;"Diagnostic"))/SUMPRODUCT(('Master SME Registry'!$G$3:$G$82&lt;&gt;"")*('Master SME Registry'!$G$3:$G$82&lt;&gt;"Not Started")),0)</f>
        <v>0.75</v>
      </c>
      <c r="C5" s="31" t="n">
        <v>0.7</v>
      </c>
      <c r="D5" s="8" t="s">
        <v>385</v>
      </c>
    </row>
    <row r="6" customFormat="false" ht="25.5" hidden="false" customHeight="true" outlineLevel="0" collapsed="false">
      <c r="A6" s="5" t="s">
        <v>386</v>
      </c>
      <c r="B6" s="6" t="n">
        <f aca="false">COUNTIF('Master SME Registry'!$K$3:$K$82,"YES")</f>
        <v>0</v>
      </c>
      <c r="C6" s="30" t="n">
        <v>0</v>
      </c>
      <c r="D6" s="8" t="s">
        <v>387</v>
      </c>
    </row>
    <row r="7" customFormat="false" ht="25.5" hidden="false" customHeight="true" outlineLevel="0" collapsed="false">
      <c r="A7" s="5" t="s">
        <v>388</v>
      </c>
      <c r="B7" s="26" t="n">
        <f aca="false">IFERROR(COUNTIFS('Activity &amp; Calendar Log'!$E$3:$E$202,"Coaching",'Activity &amp; Calendar Log'!$I$3:$I$202,"Done")/COUNTIFS('Activity &amp; Calendar Log'!$E$3:$E$202,"Coaching",'Activity &amp; Calendar Log'!$I$3:$I$202,"&lt;&gt;"),0)</f>
        <v>0</v>
      </c>
      <c r="C7" s="31" t="n">
        <v>0.9</v>
      </c>
      <c r="D7" s="8" t="s">
        <v>389</v>
      </c>
    </row>
    <row r="8" customFormat="false" ht="25.5" hidden="false" customHeight="true" outlineLevel="0" collapsed="false">
      <c r="A8" s="5" t="s">
        <v>390</v>
      </c>
      <c r="B8" s="26" t="n">
        <f aca="false">IFERROR(COUNTIFS('Activity &amp; Calendar Log'!$E$3:$E$202,"Field Visit",'Activity &amp; Calendar Log'!$I$3:$I$202,"Done")/COUNTIFS('Activity &amp; Calendar Log'!$E$3:$E$202,"Field Visit",'Activity &amp; Calendar Log'!$I$3:$I$202,"&lt;&gt;"),0)</f>
        <v>1</v>
      </c>
      <c r="C8" s="31" t="n">
        <v>0.9</v>
      </c>
      <c r="D8" s="8" t="s">
        <v>391</v>
      </c>
    </row>
    <row r="9" customFormat="false" ht="25.5" hidden="false" customHeight="true" outlineLevel="0" collapsed="false">
      <c r="A9" s="5" t="s">
        <v>392</v>
      </c>
      <c r="B9" s="26" t="n">
        <f aca="false">IFERROR(COUNTIF('Master SME Registry'!$T$3:$T$82,"Y")/SUMPRODUCT(('Master SME Registry'!$G$3:$G$82&lt;&gt;"")*('Master SME Registry'!$G$3:$G$82&lt;&gt;"Not Started")),0)</f>
        <v>0.625</v>
      </c>
      <c r="C9" s="31" t="n">
        <v>0.8</v>
      </c>
      <c r="D9" s="8" t="s">
        <v>393</v>
      </c>
    </row>
    <row r="10" customFormat="false" ht="25.5" hidden="false" customHeight="true" outlineLevel="0" collapsed="false">
      <c r="A10" s="5" t="s">
        <v>394</v>
      </c>
      <c r="B10" s="26" t="n">
        <f aca="false">IFERROR(AVERAGEIF('Master SME Registry'!$Y$3:$Y$82,"&gt;=0"),0)</f>
        <v>0.4375</v>
      </c>
      <c r="C10" s="31" t="n">
        <v>0.8</v>
      </c>
      <c r="D10" s="8" t="s">
        <v>395</v>
      </c>
    </row>
    <row r="11" customFormat="false" ht="25.5" hidden="false" customHeight="true" outlineLevel="0" collapsed="false">
      <c r="A11" s="5" t="s">
        <v>396</v>
      </c>
      <c r="B11" s="6" t="n">
        <f aca="false">COUNTIF('Risk &amp; Issues Register'!$N$3:$N$202,"Open")+COUNTIF('Risk &amp; Issues Register'!$N$3:$N$202,"In Progress")</f>
        <v>4</v>
      </c>
      <c r="C11" s="30" t="s">
        <v>382</v>
      </c>
      <c r="D11" s="8" t="s">
        <v>397</v>
      </c>
    </row>
    <row r="12" customFormat="false" ht="25.5" hidden="false" customHeight="true" outlineLevel="0" collapsed="false">
      <c r="A12" s="5" t="s">
        <v>398</v>
      </c>
      <c r="B12" s="6" t="n">
        <f aca="false">COUNTIFS('Risk &amp; Issues Register'!$I$3:$I$202,"RED",'Risk &amp; Issues Register'!$N$3:$N$202,"&lt;&gt;Closed")</f>
        <v>2</v>
      </c>
      <c r="C12" s="30" t="n">
        <v>0</v>
      </c>
      <c r="D12" s="8" t="s">
        <v>399</v>
      </c>
    </row>
    <row r="13" customFormat="false" ht="25.5" hidden="false" customHeight="true" outlineLevel="0" collapsed="false">
      <c r="A13" s="5" t="s">
        <v>400</v>
      </c>
      <c r="B13" s="6" t="n">
        <f aca="false">IFERROR(maxifs('Risk &amp; Issues Register'!$P$3:$P$202,'Risk &amp; Issues Register'!$N$3:$N$202,"&lt;&gt;Closed"),0)</f>
        <v>0</v>
      </c>
      <c r="C13" s="30" t="s">
        <v>401</v>
      </c>
      <c r="D13" s="8" t="s">
        <v>402</v>
      </c>
    </row>
    <row r="14" customFormat="false" ht="25.5" hidden="false" customHeight="true" outlineLevel="0" collapsed="false">
      <c r="A14" s="5" t="s">
        <v>403</v>
      </c>
      <c r="B14" s="26" t="n">
        <f aca="false">IFERROR(AVERAGEIF('Master SME Registry'!$AC$3:$AC$82,"&gt;=0"),0)</f>
        <v>0.417266414141414</v>
      </c>
      <c r="C14" s="30" t="s">
        <v>382</v>
      </c>
      <c r="D14" s="8" t="s">
        <v>404</v>
      </c>
    </row>
    <row r="16" customFormat="false" ht="15" hidden="false" customHeight="true" outlineLevel="0" collapsed="false">
      <c r="A16" s="4" t="s">
        <v>405</v>
      </c>
      <c r="B16" s="4"/>
      <c r="C16" s="4"/>
      <c r="D16" s="4"/>
    </row>
    <row r="17" customFormat="false" ht="30" hidden="false" customHeight="true" outlineLevel="0" collapsed="false">
      <c r="A17" s="12" t="s">
        <v>406</v>
      </c>
      <c r="B17" s="12" t="s">
        <v>407</v>
      </c>
      <c r="C17" s="12" t="s">
        <v>408</v>
      </c>
      <c r="D17" s="12" t="s">
        <v>409</v>
      </c>
    </row>
    <row r="18" customFormat="false" ht="15" hidden="false" customHeight="true" outlineLevel="0" collapsed="false">
      <c r="A18" s="32" t="s">
        <v>190</v>
      </c>
      <c r="B18" s="6" t="n">
        <f aca="false">IF($A18="","",SUMPRODUCT(('Master SME Registry'!$E$3:$E$82=$A18)*('Master SME Registry'!$G$3:$G$82&lt;&gt;"")*('Master SME Registry'!$G$3:$G$82&lt;&gt;"Not Started")))</f>
        <v>3</v>
      </c>
      <c r="C18" s="33" t="n">
        <f aca="false">IF($A18="","",IFERROR(AVERAGEIF($B$18:$B$25,"&gt;=0"),0))</f>
        <v>3</v>
      </c>
      <c r="D18" s="13" t="str">
        <f aca="false">IF($A18="","",IF(B18&gt;C18*1.25,"OVERLOADED",IF(B18&lt;C18*0.75,"light","balanced")))</f>
        <v>balanced</v>
      </c>
    </row>
    <row r="19" customFormat="false" ht="15" hidden="false" customHeight="true" outlineLevel="0" collapsed="false">
      <c r="A19" s="32"/>
      <c r="B19" s="6" t="str">
        <f aca="false">IF($A19="","",SUMPRODUCT(('Master SME Registry'!$E$3:$E$82=$A19)*('Master SME Registry'!$G$3:$G$82&lt;&gt;"")*('Master SME Registry'!$G$3:$G$82&lt;&gt;"Not Started")))</f>
        <v/>
      </c>
      <c r="C19" s="33" t="str">
        <f aca="false">IF($A19="","",IFERROR(AVERAGEIF($B$18:$B$25,"&gt;=0"),0))</f>
        <v/>
      </c>
      <c r="D19" s="13" t="str">
        <f aca="false">IF($A19="","",IF(B19&gt;C19*1.25,"OVERLOADED",IF(B19&lt;C19*0.75,"light","balanced")))</f>
        <v/>
      </c>
    </row>
    <row r="20" customFormat="false" ht="15" hidden="false" customHeight="true" outlineLevel="0" collapsed="false">
      <c r="A20" s="32"/>
      <c r="B20" s="6" t="str">
        <f aca="false">IF($A20="","",SUMPRODUCT(('Master SME Registry'!$E$3:$E$82=$A20)*('Master SME Registry'!$G$3:$G$82&lt;&gt;"")*('Master SME Registry'!$G$3:$G$82&lt;&gt;"Not Started")))</f>
        <v/>
      </c>
      <c r="C20" s="33" t="str">
        <f aca="false">IF($A20="","",IFERROR(AVERAGEIF($B$18:$B$25,"&gt;=0"),0))</f>
        <v/>
      </c>
      <c r="D20" s="13" t="str">
        <f aca="false">IF($A20="","",IF(B20&gt;C20*1.25,"OVERLOADED",IF(B20&lt;C20*0.75,"light","balanced")))</f>
        <v/>
      </c>
    </row>
    <row r="21" customFormat="false" ht="15" hidden="false" customHeight="true" outlineLevel="0" collapsed="false">
      <c r="A21" s="32"/>
      <c r="B21" s="6" t="str">
        <f aca="false">IF($A21="","",SUMPRODUCT(('Master SME Registry'!$E$3:$E$82=$A21)*('Master SME Registry'!$G$3:$G$82&lt;&gt;"")*('Master SME Registry'!$G$3:$G$82&lt;&gt;"Not Started")))</f>
        <v/>
      </c>
      <c r="C21" s="33" t="str">
        <f aca="false">IF($A21="","",IFERROR(AVERAGEIF($B$18:$B$25,"&gt;=0"),0))</f>
        <v/>
      </c>
      <c r="D21" s="13" t="str">
        <f aca="false">IF($A21="","",IF(B21&gt;C21*1.25,"OVERLOADED",IF(B21&lt;C21*0.75,"light","balanced")))</f>
        <v/>
      </c>
    </row>
    <row r="22" customFormat="false" ht="15" hidden="false" customHeight="true" outlineLevel="0" collapsed="false">
      <c r="A22" s="32"/>
      <c r="B22" s="6" t="str">
        <f aca="false">IF($A22="","",SUMPRODUCT(('Master SME Registry'!$E$3:$E$82=$A22)*('Master SME Registry'!$G$3:$G$82&lt;&gt;"")*('Master SME Registry'!$G$3:$G$82&lt;&gt;"Not Started")))</f>
        <v/>
      </c>
      <c r="C22" s="33" t="str">
        <f aca="false">IF($A22="","",IFERROR(AVERAGEIF($B$18:$B$25,"&gt;=0"),0))</f>
        <v/>
      </c>
      <c r="D22" s="13" t="str">
        <f aca="false">IF($A22="","",IF(B22&gt;C22*1.25,"OVERLOADED",IF(B22&lt;C22*0.75,"light","balanced")))</f>
        <v/>
      </c>
    </row>
    <row r="23" customFormat="false" ht="15" hidden="false" customHeight="true" outlineLevel="0" collapsed="false">
      <c r="A23" s="32"/>
      <c r="B23" s="6" t="str">
        <f aca="false">IF($A23="","",SUMPRODUCT(('Master SME Registry'!$E$3:$E$82=$A23)*('Master SME Registry'!$G$3:$G$82&lt;&gt;"")*('Master SME Registry'!$G$3:$G$82&lt;&gt;"Not Started")))</f>
        <v/>
      </c>
      <c r="C23" s="33" t="str">
        <f aca="false">IF($A23="","",IFERROR(AVERAGEIF($B$18:$B$25,"&gt;=0"),0))</f>
        <v/>
      </c>
      <c r="D23" s="13" t="str">
        <f aca="false">IF($A23="","",IF(B23&gt;C23*1.25,"OVERLOADED",IF(B23&lt;C23*0.75,"light","balanced")))</f>
        <v/>
      </c>
    </row>
    <row r="24" customFormat="false" ht="15" hidden="false" customHeight="true" outlineLevel="0" collapsed="false">
      <c r="A24" s="32"/>
      <c r="B24" s="6" t="str">
        <f aca="false">IF($A24="","",SUMPRODUCT(('Master SME Registry'!$E$3:$E$82=$A24)*('Master SME Registry'!$G$3:$G$82&lt;&gt;"")*('Master SME Registry'!$G$3:$G$82&lt;&gt;"Not Started")))</f>
        <v/>
      </c>
      <c r="C24" s="33" t="str">
        <f aca="false">IF($A24="","",IFERROR(AVERAGEIF($B$18:$B$25,"&gt;=0"),0))</f>
        <v/>
      </c>
      <c r="D24" s="13" t="str">
        <f aca="false">IF($A24="","",IF(B24&gt;C24*1.25,"OVERLOADED",IF(B24&lt;C24*0.75,"light","balanced")))</f>
        <v/>
      </c>
    </row>
    <row r="25" customFormat="false" ht="15" hidden="false" customHeight="true" outlineLevel="0" collapsed="false">
      <c r="A25" s="32"/>
      <c r="B25" s="6" t="str">
        <f aca="false">IF($A25="","",SUMPRODUCT(('Master SME Registry'!$E$3:$E$82=$A25)*('Master SME Registry'!$G$3:$G$82&lt;&gt;"")*('Master SME Registry'!$G$3:$G$82&lt;&gt;"Not Started")))</f>
        <v/>
      </c>
      <c r="C25" s="33" t="str">
        <f aca="false">IF($A25="","",IFERROR(AVERAGEIF($B$18:$B$25,"&gt;=0"),0))</f>
        <v/>
      </c>
      <c r="D25" s="13" t="str">
        <f aca="false">IF($A25="","",IF(B25&gt;C25*1.25,"OVERLOADED",IF(B25&lt;C25*0.75,"light","balanced")))</f>
        <v/>
      </c>
    </row>
  </sheetData>
  <mergeCells count="2">
    <mergeCell ref="A1:D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7"/>
    <col collapsed="false" customWidth="true" hidden="false" outlineLevel="0" max="11" min="3" style="0" width="15"/>
    <col collapsed="false" customWidth="true" hidden="false" outlineLevel="0" max="12" min="12" style="0" width="3"/>
  </cols>
  <sheetData>
    <row r="1" customFormat="false" ht="30" hidden="false" customHeight="true" outlineLevel="0" collapsed="false">
      <c r="B1" s="34" t="s">
        <v>410</v>
      </c>
      <c r="C1" s="34"/>
      <c r="D1" s="34"/>
      <c r="E1" s="34"/>
      <c r="F1" s="34"/>
      <c r="G1" s="34"/>
      <c r="H1" s="34"/>
      <c r="I1" s="34"/>
      <c r="J1" s="34"/>
      <c r="K1" s="34"/>
    </row>
    <row r="2" customFormat="false" ht="18" hidden="false" customHeight="true" outlineLevel="0" collapsed="false">
      <c r="B2" s="3" t="s">
        <v>411</v>
      </c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B4" s="35" t="s">
        <v>412</v>
      </c>
      <c r="C4" s="35"/>
      <c r="D4" s="35" t="s">
        <v>413</v>
      </c>
      <c r="E4" s="35"/>
      <c r="F4" s="35" t="s">
        <v>414</v>
      </c>
      <c r="G4" s="35"/>
      <c r="H4" s="35" t="s">
        <v>415</v>
      </c>
      <c r="I4" s="35"/>
      <c r="J4" s="35" t="s">
        <v>416</v>
      </c>
      <c r="K4" s="35"/>
    </row>
    <row r="5" customFormat="false" ht="21.75" hidden="false" customHeight="true" outlineLevel="0" collapsed="false">
      <c r="B5" s="36" t="n">
        <f aca="false">'KPI Scorecard'!$B$3</f>
        <v>8</v>
      </c>
      <c r="C5" s="36"/>
      <c r="D5" s="36" t="n">
        <f aca="false">'KPI Scorecard'!$B$4</f>
        <v>1</v>
      </c>
      <c r="E5" s="36"/>
      <c r="F5" s="36" t="n">
        <f aca="false">'KPI Scorecard'!$B$6</f>
        <v>0</v>
      </c>
      <c r="G5" s="36"/>
      <c r="H5" s="36" t="n">
        <f aca="false">'KPI Scorecard'!$B$11</f>
        <v>4</v>
      </c>
      <c r="I5" s="36"/>
      <c r="J5" s="36" t="n">
        <f aca="false">'KPI Scorecard'!$B$12</f>
        <v>2</v>
      </c>
      <c r="K5" s="36"/>
    </row>
    <row r="6" customFormat="false" ht="21.75" hidden="false" customHeight="true" outlineLevel="0" collapsed="false">
      <c r="B6" s="36"/>
      <c r="C6" s="36"/>
      <c r="D6" s="36"/>
      <c r="E6" s="36"/>
      <c r="F6" s="36"/>
      <c r="G6" s="36"/>
      <c r="H6" s="36"/>
      <c r="I6" s="36"/>
      <c r="J6" s="36"/>
      <c r="K6" s="36"/>
    </row>
    <row r="8" customFormat="false" ht="15" hidden="false" customHeight="true" outlineLevel="0" collapsed="false">
      <c r="B8" s="4" t="s">
        <v>417</v>
      </c>
      <c r="C8" s="4"/>
      <c r="D8" s="4"/>
      <c r="E8" s="4"/>
      <c r="F8" s="4"/>
      <c r="H8" s="4" t="s">
        <v>418</v>
      </c>
      <c r="I8" s="4"/>
      <c r="J8" s="4"/>
      <c r="K8" s="4"/>
    </row>
    <row r="21" customFormat="false" ht="15" hidden="false" customHeight="true" outlineLevel="0" collapsed="false">
      <c r="B21" s="4" t="s">
        <v>419</v>
      </c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9.5" hidden="false" customHeight="true" outlineLevel="0" collapsed="false">
      <c r="B22" s="37" t="str">
        <f aca="false">CONCATENATE("Risks flagged for escalation (open): ",COUNTIFS('Risk &amp; Issues Register'!$L$3:$L$202,"Escalate",'Risk &amp; Issues Register'!$N$3:$N$202,"&lt;&gt;Closed"),"   |   Red risks: ",'KPI Scorecard'!$B$12,"   |   See Risk &amp; Issues Register, filter Decision Right = Escalate.")</f>
        <v>Risks flagged for escalation (open): 3   |   Red risks: 2   |   See Risk &amp; Issues Register, filter Decision Right = Escalate.</v>
      </c>
      <c r="C22" s="37"/>
      <c r="D22" s="37"/>
      <c r="E22" s="37"/>
      <c r="F22" s="37"/>
      <c r="G22" s="37"/>
      <c r="H22" s="37"/>
      <c r="I22" s="37"/>
      <c r="J22" s="37"/>
      <c r="K22" s="37"/>
    </row>
    <row r="24" customFormat="false" ht="15" hidden="false" customHeight="true" outlineLevel="0" collapsed="false">
      <c r="B24" s="4" t="s">
        <v>420</v>
      </c>
      <c r="C24" s="4"/>
      <c r="D24" s="4"/>
      <c r="E24" s="4"/>
      <c r="F24" s="4"/>
      <c r="H24" s="4" t="s">
        <v>421</v>
      </c>
      <c r="I24" s="4"/>
      <c r="J24" s="4"/>
      <c r="K24" s="4"/>
    </row>
    <row r="30" customFormat="false" ht="15" hidden="false" customHeight="false" outlineLevel="0" collapsed="false">
      <c r="B30" s="38" t="s">
        <v>422</v>
      </c>
    </row>
    <row r="31" customFormat="false" ht="15" hidden="false" customHeight="false" outlineLevel="0" collapsed="false">
      <c r="B31" s="39" t="s">
        <v>56</v>
      </c>
      <c r="C31" s="39" t="n">
        <f aca="false">COUNTIF('Master SME Registry'!$G$3:$G$82,"Not Started")</f>
        <v>0</v>
      </c>
      <c r="E31" s="39" t="s">
        <v>188</v>
      </c>
      <c r="F31" s="39" t="n">
        <f aca="false">COUNTIF('Master SME Registry'!$C$3:$C$82,"Kassala")</f>
        <v>3</v>
      </c>
      <c r="H31" s="39" t="s">
        <v>423</v>
      </c>
      <c r="I31" s="39" t="n">
        <f aca="false">COUNTIF('Master SME Registry'!$AF$3:$AF$82,"GREEN")</f>
        <v>2</v>
      </c>
    </row>
    <row r="32" customFormat="false" ht="15" hidden="false" customHeight="false" outlineLevel="0" collapsed="false">
      <c r="B32" s="39" t="s">
        <v>62</v>
      </c>
      <c r="C32" s="39" t="n">
        <f aca="false">COUNTIF('Master SME Registry'!$G$3:$G$82,"Diagnostic")</f>
        <v>2</v>
      </c>
      <c r="E32" s="39" t="s">
        <v>199</v>
      </c>
      <c r="F32" s="39" t="n">
        <f aca="false">COUNTIF('Master SME Registry'!$C$3:$C$82,"River Nile")</f>
        <v>3</v>
      </c>
      <c r="H32" s="39" t="s">
        <v>126</v>
      </c>
      <c r="I32" s="39" t="n">
        <f aca="false">COUNTIF('Master SME Registry'!$AF$3:$AF$82,"AMBER")</f>
        <v>4</v>
      </c>
    </row>
    <row r="33" customFormat="false" ht="15" hidden="false" customHeight="false" outlineLevel="0" collapsed="false">
      <c r="B33" s="39" t="s">
        <v>68</v>
      </c>
      <c r="C33" s="39" t="n">
        <f aca="false">COUNTIF('Master SME Registry'!$G$3:$G$82,"Business Development Plan")</f>
        <v>1</v>
      </c>
      <c r="E33" s="39" t="s">
        <v>212</v>
      </c>
      <c r="F33" s="39" t="n">
        <f aca="false">COUNTIF('Master SME Registry'!$C$3:$C$82,"Northern")</f>
        <v>2</v>
      </c>
      <c r="H33" s="39" t="s">
        <v>130</v>
      </c>
      <c r="I33" s="39" t="n">
        <f aca="false">COUNTIF('Master SME Registry'!$AF$3:$AF$82,"RED")</f>
        <v>2</v>
      </c>
    </row>
    <row r="34" customFormat="false" ht="15" hidden="false" customHeight="false" outlineLevel="0" collapsed="false">
      <c r="B34" s="39" t="s">
        <v>73</v>
      </c>
      <c r="C34" s="39" t="n">
        <f aca="false">COUNTIF('Master SME Registry'!$G$3:$G$82,"Coaching")</f>
        <v>3</v>
      </c>
    </row>
    <row r="35" customFormat="false" ht="15" hidden="false" customHeight="false" outlineLevel="0" collapsed="false">
      <c r="B35" s="39" t="s">
        <v>78</v>
      </c>
      <c r="C35" s="39" t="n">
        <f aca="false">COUNTIF('Master SME Registry'!$G$3:$G$82,"Field Follow-up")</f>
        <v>1</v>
      </c>
    </row>
    <row r="36" customFormat="false" ht="15" hidden="false" customHeight="false" outlineLevel="0" collapsed="false">
      <c r="B36" s="39" t="s">
        <v>84</v>
      </c>
      <c r="C36" s="39" t="n">
        <f aca="false">COUNTIF('Master SME Registry'!$G$3:$G$82,"Complete")</f>
        <v>1</v>
      </c>
    </row>
    <row r="40" customFormat="false" ht="15" hidden="false" customHeight="false" outlineLevel="0" collapsed="false">
      <c r="B40" s="39" t="s">
        <v>424</v>
      </c>
      <c r="C40" s="39" t="n">
        <f aca="false">COUNTIF('Master SME Registry'!$S$3:$S$82,"Y")</f>
        <v>6</v>
      </c>
    </row>
    <row r="41" customFormat="false" ht="15" hidden="false" customHeight="false" outlineLevel="0" collapsed="false">
      <c r="B41" s="39" t="s">
        <v>425</v>
      </c>
      <c r="C41" s="39" t="n">
        <f aca="false">COUNTIF('Master SME Registry'!$T$3:$T$82,"Y")</f>
        <v>5</v>
      </c>
    </row>
    <row r="42" customFormat="false" ht="15" hidden="false" customHeight="false" outlineLevel="0" collapsed="false">
      <c r="B42" s="39" t="s">
        <v>426</v>
      </c>
      <c r="C42" s="39" t="n">
        <f aca="false">COUNTIF('Master SME Registry'!$G$3:$G$82,"Coaching")</f>
        <v>3</v>
      </c>
    </row>
    <row r="43" customFormat="false" ht="15" hidden="false" customHeight="false" outlineLevel="0" collapsed="false">
      <c r="B43" s="39" t="s">
        <v>427</v>
      </c>
      <c r="C43" s="39" t="n">
        <f aca="false">COUNTIF('Master SME Registry'!$G$3:$G$82,"Field Follow-up")</f>
        <v>1</v>
      </c>
    </row>
    <row r="44" customFormat="false" ht="15" hidden="false" customHeight="false" outlineLevel="0" collapsed="false">
      <c r="B44" s="39" t="s">
        <v>84</v>
      </c>
      <c r="C44" s="39" t="n">
        <f aca="false">COUNTIF('Master SME Registry'!$G$3:$G$82,"Complete")</f>
        <v>1</v>
      </c>
    </row>
  </sheetData>
  <mergeCells count="18">
    <mergeCell ref="B1:K1"/>
    <mergeCell ref="B2:K2"/>
    <mergeCell ref="B4:C4"/>
    <mergeCell ref="D4:E4"/>
    <mergeCell ref="F4:G4"/>
    <mergeCell ref="H4:I4"/>
    <mergeCell ref="J4:K4"/>
    <mergeCell ref="B5:C6"/>
    <mergeCell ref="D5:E6"/>
    <mergeCell ref="F5:G6"/>
    <mergeCell ref="H5:I6"/>
    <mergeCell ref="J5:K6"/>
    <mergeCell ref="B8:F8"/>
    <mergeCell ref="H8:K8"/>
    <mergeCell ref="B21:K21"/>
    <mergeCell ref="B22:K22"/>
    <mergeCell ref="B24:F24"/>
    <mergeCell ref="H24:K24"/>
  </mergeCells>
  <conditionalFormatting sqref="J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11" min="8" style="0" width="14"/>
    <col collapsed="false" customWidth="true" hidden="false" outlineLevel="0" max="12" min="12" style="0" width="3"/>
  </cols>
  <sheetData>
    <row r="1" customFormat="false" ht="30" hidden="false" customHeight="true" outlineLevel="0" collapsed="false">
      <c r="B1" s="34" t="s">
        <v>428</v>
      </c>
      <c r="C1" s="34"/>
      <c r="D1" s="34"/>
      <c r="E1" s="34"/>
      <c r="F1" s="34"/>
      <c r="G1" s="34"/>
      <c r="H1" s="34"/>
      <c r="I1" s="34"/>
      <c r="J1" s="34"/>
      <c r="K1" s="34"/>
    </row>
    <row r="2" customFormat="false" ht="18" hidden="false" customHeight="true" outlineLevel="0" collapsed="false">
      <c r="B2" s="3" t="s">
        <v>429</v>
      </c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B4" s="35" t="s">
        <v>430</v>
      </c>
      <c r="C4" s="35"/>
      <c r="D4" s="35" t="s">
        <v>431</v>
      </c>
      <c r="E4" s="35"/>
      <c r="F4" s="35" t="s">
        <v>432</v>
      </c>
      <c r="G4" s="35"/>
      <c r="H4" s="35" t="s">
        <v>433</v>
      </c>
      <c r="I4" s="35"/>
      <c r="J4" s="35" t="s">
        <v>434</v>
      </c>
      <c r="K4" s="35"/>
    </row>
    <row r="5" customFormat="false" ht="21.75" hidden="false" customHeight="true" outlineLevel="0" collapsed="false">
      <c r="B5" s="40" t="n">
        <f aca="false">'KPI Scorecard'!$B$5</f>
        <v>0.75</v>
      </c>
      <c r="C5" s="40"/>
      <c r="D5" s="40" t="n">
        <f aca="false">'KPI Scorecard'!$B$7</f>
        <v>0</v>
      </c>
      <c r="E5" s="40"/>
      <c r="F5" s="40" t="n">
        <f aca="false">'KPI Scorecard'!$B$8</f>
        <v>1</v>
      </c>
      <c r="G5" s="40"/>
      <c r="H5" s="40" t="n">
        <f aca="false">'KPI Scorecard'!$B$9</f>
        <v>0.625</v>
      </c>
      <c r="I5" s="40"/>
      <c r="J5" s="40" t="n">
        <f aca="false">'KPI Scorecard'!$B$10</f>
        <v>0.4375</v>
      </c>
      <c r="K5" s="40"/>
    </row>
    <row r="6" customFormat="false" ht="21.75" hidden="false" customHeight="true" outlineLevel="0" collapsed="false">
      <c r="B6" s="40"/>
      <c r="C6" s="40"/>
      <c r="D6" s="40"/>
      <c r="E6" s="40"/>
      <c r="F6" s="40"/>
      <c r="G6" s="40"/>
      <c r="H6" s="40"/>
      <c r="I6" s="40"/>
      <c r="J6" s="40"/>
      <c r="K6" s="40"/>
    </row>
    <row r="8" customFormat="false" ht="15" hidden="false" customHeight="true" outlineLevel="0" collapsed="false">
      <c r="B8" s="4" t="s">
        <v>435</v>
      </c>
      <c r="C8" s="4"/>
      <c r="D8" s="4"/>
      <c r="E8" s="4"/>
      <c r="F8" s="4"/>
    </row>
    <row r="9" customFormat="false" ht="15" hidden="false" customHeight="false" outlineLevel="0" collapsed="false">
      <c r="B9" s="41" t="s">
        <v>436</v>
      </c>
      <c r="C9" s="41" t="s">
        <v>437</v>
      </c>
      <c r="D9" s="41" t="s">
        <v>438</v>
      </c>
    </row>
    <row r="10" customFormat="false" ht="15" hidden="false" customHeight="false" outlineLevel="0" collapsed="false">
      <c r="B10" s="39" t="str">
        <f aca="false">'KPI Scorecard'!$A$18</f>
        <v>Coach A</v>
      </c>
      <c r="C10" s="39" t="n">
        <f aca="false">'KPI Scorecard'!$B$18</f>
        <v>3</v>
      </c>
      <c r="D10" s="39" t="str">
        <f aca="false">'KPI Scorecard'!$D$18</f>
        <v>balanced</v>
      </c>
    </row>
    <row r="11" customFormat="false" ht="15" hidden="false" customHeight="false" outlineLevel="0" collapsed="false">
      <c r="B11" s="39" t="n">
        <f aca="false">'KPI Scorecard'!$A$19</f>
        <v>0</v>
      </c>
      <c r="C11" s="39" t="str">
        <f aca="false">'KPI Scorecard'!$B$19</f>
        <v/>
      </c>
      <c r="D11" s="39" t="str">
        <f aca="false">'KPI Scorecard'!$D$19</f>
        <v/>
      </c>
    </row>
    <row r="12" customFormat="false" ht="15" hidden="false" customHeight="false" outlineLevel="0" collapsed="false">
      <c r="B12" s="39" t="n">
        <f aca="false">'KPI Scorecard'!$A$20</f>
        <v>0</v>
      </c>
      <c r="C12" s="39" t="str">
        <f aca="false">'KPI Scorecard'!$B$20</f>
        <v/>
      </c>
      <c r="D12" s="39" t="str">
        <f aca="false">'KPI Scorecard'!$D$20</f>
        <v/>
      </c>
    </row>
    <row r="13" customFormat="false" ht="15" hidden="false" customHeight="false" outlineLevel="0" collapsed="false">
      <c r="B13" s="39" t="n">
        <f aca="false">'KPI Scorecard'!$A$21</f>
        <v>0</v>
      </c>
      <c r="C13" s="39" t="str">
        <f aca="false">'KPI Scorecard'!$B$21</f>
        <v/>
      </c>
      <c r="D13" s="39" t="str">
        <f aca="false">'KPI Scorecard'!$D$21</f>
        <v/>
      </c>
    </row>
    <row r="14" customFormat="false" ht="15" hidden="false" customHeight="false" outlineLevel="0" collapsed="false">
      <c r="B14" s="39" t="n">
        <f aca="false">'KPI Scorecard'!$A$22</f>
        <v>0</v>
      </c>
      <c r="C14" s="39" t="str">
        <f aca="false">'KPI Scorecard'!$B$22</f>
        <v/>
      </c>
      <c r="D14" s="39" t="str">
        <f aca="false">'KPI Scorecard'!$D$22</f>
        <v/>
      </c>
    </row>
    <row r="15" customFormat="false" ht="15" hidden="false" customHeight="false" outlineLevel="0" collapsed="false">
      <c r="B15" s="39" t="n">
        <f aca="false">'KPI Scorecard'!$A$23</f>
        <v>0</v>
      </c>
      <c r="C15" s="39" t="str">
        <f aca="false">'KPI Scorecard'!$B$23</f>
        <v/>
      </c>
      <c r="D15" s="39" t="str">
        <f aca="false">'KPI Scorecard'!$D$23</f>
        <v/>
      </c>
    </row>
    <row r="16" customFormat="false" ht="15" hidden="false" customHeight="false" outlineLevel="0" collapsed="false">
      <c r="B16" s="39" t="n">
        <f aca="false">'KPI Scorecard'!$A$24</f>
        <v>0</v>
      </c>
      <c r="C16" s="39" t="str">
        <f aca="false">'KPI Scorecard'!$B$24</f>
        <v/>
      </c>
      <c r="D16" s="39" t="str">
        <f aca="false">'KPI Scorecard'!$D$24</f>
        <v/>
      </c>
    </row>
    <row r="17" customFormat="false" ht="15" hidden="false" customHeight="false" outlineLevel="0" collapsed="false">
      <c r="B17" s="39" t="n">
        <f aca="false">'KPI Scorecard'!$A$25</f>
        <v>0</v>
      </c>
      <c r="C17" s="39" t="str">
        <f aca="false">'KPI Scorecard'!$B$25</f>
        <v/>
      </c>
      <c r="D17" s="39" t="str">
        <f aca="false">'KPI Scorecard'!$D$25</f>
        <v/>
      </c>
    </row>
    <row r="20" customFormat="false" ht="15" hidden="false" customHeight="true" outlineLevel="0" collapsed="false">
      <c r="B20" s="4" t="s">
        <v>439</v>
      </c>
      <c r="C20" s="4"/>
      <c r="D20" s="4"/>
      <c r="E20" s="4"/>
      <c r="F20" s="4"/>
    </row>
    <row r="21" customFormat="false" ht="15" hidden="false" customHeight="false" outlineLevel="0" collapsed="false">
      <c r="B21" s="41" t="s">
        <v>440</v>
      </c>
      <c r="C21" s="41" t="s">
        <v>441</v>
      </c>
    </row>
    <row r="22" customFormat="false" ht="15" hidden="false" customHeight="false" outlineLevel="0" collapsed="false">
      <c r="B22" s="39" t="s">
        <v>442</v>
      </c>
      <c r="C22" s="39" t="n">
        <f aca="false">SUMPRODUCT(('Master SME Registry'!$G$3:$G$82&lt;&gt;"")*('Master SME Registry'!$G$3:$G$82&lt;&gt;"Not Started"))-COUNTIF('Master SME Registry'!$S$3:$S$82,"Y")</f>
        <v>2</v>
      </c>
    </row>
    <row r="23" customFormat="false" ht="15" hidden="false" customHeight="false" outlineLevel="0" collapsed="false">
      <c r="B23" s="39" t="s">
        <v>443</v>
      </c>
      <c r="C23" s="39" t="n">
        <f aca="false">SUMPRODUCT(('Master SME Registry'!$G$3:$G$82&lt;&gt;"")*('Master SME Registry'!$G$3:$G$82&lt;&gt;"Not Started"))-COUNTIF('Master SME Registry'!$T$3:$T$82,"Y")</f>
        <v>3</v>
      </c>
    </row>
    <row r="24" customFormat="false" ht="15" hidden="false" customHeight="false" outlineLevel="0" collapsed="false">
      <c r="B24" s="39" t="s">
        <v>444</v>
      </c>
      <c r="C24" s="39" t="n">
        <f aca="false">SUMPRODUCT(('Master SME Registry'!$G$3:$G$82&lt;&gt;"")*('Master SME Registry'!$G$3:$G$82&lt;&gt;"Not Started"))-COUNTIF('Master SME Registry'!$U$3:$U$82,"Y")</f>
        <v>5</v>
      </c>
    </row>
    <row r="25" customFormat="false" ht="15" hidden="false" customHeight="false" outlineLevel="0" collapsed="false">
      <c r="B25" s="39" t="s">
        <v>445</v>
      </c>
      <c r="C25" s="39" t="n">
        <f aca="false">SUMPRODUCT(('Master SME Registry'!$G$3:$G$82&lt;&gt;"")*('Master SME Registry'!$G$3:$G$82&lt;&gt;"Not Started"))-COUNTIF('Master SME Registry'!$V$3:$V$82,"Y")</f>
        <v>6</v>
      </c>
    </row>
    <row r="26" customFormat="false" ht="15" hidden="false" customHeight="false" outlineLevel="0" collapsed="false">
      <c r="B26" s="39" t="s">
        <v>446</v>
      </c>
      <c r="C26" s="39" t="n">
        <f aca="false">SUMPRODUCT(('Master SME Registry'!$G$3:$G$82&lt;&gt;"")*('Master SME Registry'!$G$3:$G$82&lt;&gt;"Not Started"))-COUNTIF('Master SME Registry'!$W$3:$W$82,"Y")</f>
        <v>5</v>
      </c>
    </row>
    <row r="27" customFormat="false" ht="15" hidden="false" customHeight="false" outlineLevel="0" collapsed="false">
      <c r="B27" s="39" t="s">
        <v>447</v>
      </c>
      <c r="C27" s="39" t="n">
        <f aca="false">SUMPRODUCT(('Master SME Registry'!$G$3:$G$82&lt;&gt;"")*('Master SME Registry'!$G$3:$G$82&lt;&gt;"Not Started"))-COUNTIF('Master SME Registry'!$X$3:$X$82,"Y")</f>
        <v>6</v>
      </c>
    </row>
    <row r="30" customFormat="false" ht="15" hidden="false" customHeight="true" outlineLevel="0" collapsed="false">
      <c r="B30" s="4" t="s">
        <v>448</v>
      </c>
      <c r="C30" s="4"/>
      <c r="D30" s="4"/>
      <c r="E30" s="4"/>
      <c r="F30" s="4"/>
      <c r="G30" s="4"/>
      <c r="H30" s="4"/>
      <c r="I30" s="4"/>
      <c r="J30" s="4"/>
      <c r="K30" s="4"/>
    </row>
    <row r="31" customFormat="false" ht="15" hidden="false" customHeight="false" outlineLevel="0" collapsed="false">
      <c r="B31" s="41" t="s">
        <v>449</v>
      </c>
      <c r="C31" s="39" t="n">
        <f aca="false">COUNTIFS('Activity &amp; Calendar Log'!$E$3:$E$202,"Coaching",'Activity &amp; Calendar Log'!$I$3:$I$202,"Done")</f>
        <v>0</v>
      </c>
      <c r="E31" s="41" t="s">
        <v>450</v>
      </c>
      <c r="F31" s="39" t="n">
        <f aca="false">COUNTIFS('Activity &amp; Calendar Log'!$E$3:$E$202,"Coaching",'Activity &amp; Calendar Log'!$I$3:$I$202,"Missed")</f>
        <v>2</v>
      </c>
      <c r="H31" s="41" t="s">
        <v>451</v>
      </c>
      <c r="I31" s="39" t="n">
        <f aca="false">COUNTIFS('Activity &amp; Calendar Log'!$E$3:$E$202,"Field Visit",'Activity &amp; Calendar Log'!$I$3:$I$202,"Done")</f>
        <v>1</v>
      </c>
    </row>
    <row r="32" customFormat="false" ht="15" hidden="false" customHeight="false" outlineLevel="0" collapsed="false">
      <c r="B32" s="41" t="s">
        <v>452</v>
      </c>
      <c r="C32" s="39" t="n">
        <f aca="false">COUNTIF('Master SME Registry'!$K$3:$K$82,"YES")</f>
        <v>0</v>
      </c>
      <c r="E32" s="41" t="s">
        <v>453</v>
      </c>
      <c r="F32" s="39" t="n">
        <f aca="false">COUNTIF('Activity &amp; Calendar Log'!$I$3:$I$202,"Planned")</f>
        <v>2</v>
      </c>
      <c r="H32" s="41" t="s">
        <v>454</v>
      </c>
      <c r="I32" s="39" t="n">
        <f aca="false">'KPI Scorecard'!$B$13</f>
        <v>0</v>
      </c>
    </row>
    <row r="34" customFormat="false" ht="15" hidden="false" customHeight="true" outlineLevel="0" collapsed="false">
      <c r="B34" s="4" t="s">
        <v>455</v>
      </c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" hidden="false" customHeight="false" outlineLevel="0" collapsed="false">
      <c r="B35" s="42" t="s">
        <v>324</v>
      </c>
      <c r="C35" s="42" t="s">
        <v>456</v>
      </c>
      <c r="D35" s="42" t="s">
        <v>457</v>
      </c>
      <c r="E35" s="42" t="s">
        <v>331</v>
      </c>
      <c r="F35" s="42" t="s">
        <v>307</v>
      </c>
      <c r="G35" s="42" t="s">
        <v>333</v>
      </c>
      <c r="H35" s="42" t="s">
        <v>310</v>
      </c>
      <c r="I35" s="42" t="s">
        <v>458</v>
      </c>
    </row>
    <row r="36" customFormat="false" ht="15" hidden="false" customHeight="false" outlineLevel="0" collapsed="false">
      <c r="B36" s="6" t="str">
        <f aca="false">IF('Risk &amp; Issues Register'!$A$3="","",'Risk &amp; Issues Register'!A$3)</f>
        <v>RSK-001</v>
      </c>
      <c r="C36" s="6" t="str">
        <f aca="false">IF('Risk &amp; Issues Register'!$A$3="","",'Risk &amp; Issues Register'!B$3)</f>
        <v>SME-004</v>
      </c>
      <c r="D36" s="6" t="str">
        <f aca="false">IF('Risk &amp; Issues Register'!$A$3="","",'Risk &amp; Issues Register'!C$3)</f>
        <v>Performance</v>
      </c>
      <c r="E36" s="6" t="str">
        <f aca="false">IF('Risk &amp; Issues Register'!$A$3="","",'Risk &amp; Issues Register'!I$3)</f>
        <v>RED</v>
      </c>
      <c r="F36" s="6" t="str">
        <f aca="false">IF('Risk &amp; Issues Register'!$A$3="","",'Risk &amp; Issues Register'!K$3)</f>
        <v>Coach C</v>
      </c>
      <c r="G36" s="6" t="str">
        <f aca="false">IF('Risk &amp; Issues Register'!$A$3="","",'Risk &amp; Issues Register'!L$3)</f>
        <v>Escalate</v>
      </c>
      <c r="H36" s="6" t="str">
        <f aca="false">IF('Risk &amp; Issues Register'!$A$3="","",'Risk &amp; Issues Register'!N$3)</f>
        <v>Open</v>
      </c>
      <c r="I36" s="6" t="n">
        <f aca="false">IF('Risk &amp; Issues Register'!$A$3="","",'Risk &amp; Issues Register'!P$3)</f>
        <v>-30</v>
      </c>
    </row>
    <row r="37" customFormat="false" ht="15" hidden="false" customHeight="false" outlineLevel="0" collapsed="false">
      <c r="B37" s="6" t="str">
        <f aca="false">IF('Risk &amp; Issues Register'!$A$4="","",'Risk &amp; Issues Register'!A$4)</f>
        <v>RSK-002</v>
      </c>
      <c r="C37" s="6" t="str">
        <f aca="false">IF('Risk &amp; Issues Register'!$A$4="","",'Risk &amp; Issues Register'!B$4)</f>
        <v>SME-002</v>
      </c>
      <c r="D37" s="6" t="str">
        <f aca="false">IF('Risk &amp; Issues Register'!$A$4="","",'Risk &amp; Issues Register'!C$4)</f>
        <v>Compliance</v>
      </c>
      <c r="E37" s="6" t="str">
        <f aca="false">IF('Risk &amp; Issues Register'!$A$4="","",'Risk &amp; Issues Register'!I$4)</f>
        <v>AMBER</v>
      </c>
      <c r="F37" s="6" t="str">
        <f aca="false">IF('Risk &amp; Issues Register'!$A$4="","",'Risk &amp; Issues Register'!K$4)</f>
        <v>Coach B</v>
      </c>
      <c r="G37" s="6" t="str">
        <f aca="false">IF('Risk &amp; Issues Register'!$A$4="","",'Risk &amp; Issues Register'!L$4)</f>
        <v>Recommend</v>
      </c>
      <c r="H37" s="6" t="str">
        <f aca="false">IF('Risk &amp; Issues Register'!$A$4="","",'Risk &amp; Issues Register'!N$4)</f>
        <v>In Progress</v>
      </c>
      <c r="I37" s="6" t="n">
        <f aca="false">IF('Risk &amp; Issues Register'!$A$4="","",'Risk &amp; Issues Register'!P$4)</f>
        <v>-37</v>
      </c>
    </row>
    <row r="38" customFormat="false" ht="15" hidden="false" customHeight="false" outlineLevel="0" collapsed="false">
      <c r="B38" s="6" t="str">
        <f aca="false">IF('Risk &amp; Issues Register'!$A$5="","",'Risk &amp; Issues Register'!A$5)</f>
        <v>RSK-003</v>
      </c>
      <c r="C38" s="6" t="str">
        <f aca="false">IF('Risk &amp; Issues Register'!$A$5="","",'Risk &amp; Issues Register'!B$5)</f>
        <v>PORTFOLIO</v>
      </c>
      <c r="D38" s="6" t="str">
        <f aca="false">IF('Risk &amp; Issues Register'!$A$5="","",'Risk &amp; Issues Register'!C$5)</f>
        <v>Operational</v>
      </c>
      <c r="E38" s="6" t="str">
        <f aca="false">IF('Risk &amp; Issues Register'!$A$5="","",'Risk &amp; Issues Register'!I$5)</f>
        <v>RED</v>
      </c>
      <c r="F38" s="6" t="str">
        <f aca="false">IF('Risk &amp; Issues Register'!$A$5="","",'Risk &amp; Issues Register'!K$5)</f>
        <v>Operations Mgr</v>
      </c>
      <c r="G38" s="6" t="str">
        <f aca="false">IF('Risk &amp; Issues Register'!$A$5="","",'Risk &amp; Issues Register'!L$5)</f>
        <v>Escalate</v>
      </c>
      <c r="H38" s="6" t="str">
        <f aca="false">IF('Risk &amp; Issues Register'!$A$5="","",'Risk &amp; Issues Register'!N$5)</f>
        <v>Open</v>
      </c>
      <c r="I38" s="6" t="n">
        <f aca="false">IF('Risk &amp; Issues Register'!$A$5="","",'Risk &amp; Issues Register'!P$5)</f>
        <v>3</v>
      </c>
    </row>
    <row r="39" customFormat="false" ht="15" hidden="false" customHeight="false" outlineLevel="0" collapsed="false">
      <c r="B39" s="6" t="str">
        <f aca="false">IF('Risk &amp; Issues Register'!$A$6="","",'Risk &amp; Issues Register'!A$6)</f>
        <v>RSK-004</v>
      </c>
      <c r="C39" s="6" t="str">
        <f aca="false">IF('Risk &amp; Issues Register'!$A$6="","",'Risk &amp; Issues Register'!B$6)</f>
        <v>SME-007</v>
      </c>
      <c r="D39" s="6" t="str">
        <f aca="false">IF('Risk &amp; Issues Register'!$A$6="","",'Risk &amp; Issues Register'!C$6)</f>
        <v>Operational</v>
      </c>
      <c r="E39" s="6" t="str">
        <f aca="false">IF('Risk &amp; Issues Register'!$A$6="","",'Risk &amp; Issues Register'!I$6)</f>
        <v>AMBER</v>
      </c>
      <c r="F39" s="6" t="str">
        <f aca="false">IF('Risk &amp; Issues Register'!$A$6="","",'Risk &amp; Issues Register'!K$6)</f>
        <v>Enabler 1</v>
      </c>
      <c r="G39" s="6" t="str">
        <f aca="false">IF('Risk &amp; Issues Register'!$A$6="","",'Risk &amp; Issues Register'!L$6)</f>
        <v>Escalate</v>
      </c>
      <c r="H39" s="6" t="str">
        <f aca="false">IF('Risk &amp; Issues Register'!$A$6="","",'Risk &amp; Issues Register'!N$6)</f>
        <v>Open</v>
      </c>
      <c r="I39" s="6" t="n">
        <f aca="false">IF('Risk &amp; Issues Register'!$A$6="","",'Risk &amp; Issues Register'!P$6)</f>
        <v>-51</v>
      </c>
    </row>
    <row r="40" customFormat="false" ht="15" hidden="false" customHeight="false" outlineLevel="0" collapsed="false">
      <c r="B40" s="6" t="str">
        <f aca="false">IF('Risk &amp; Issues Register'!$A$7="","",'Risk &amp; Issues Register'!A$7)</f>
        <v/>
      </c>
      <c r="C40" s="6" t="str">
        <f aca="false">IF('Risk &amp; Issues Register'!$A$7="","",'Risk &amp; Issues Register'!B$7)</f>
        <v/>
      </c>
      <c r="D40" s="6" t="str">
        <f aca="false">IF('Risk &amp; Issues Register'!$A$7="","",'Risk &amp; Issues Register'!C$7)</f>
        <v/>
      </c>
      <c r="E40" s="6" t="str">
        <f aca="false">IF('Risk &amp; Issues Register'!$A$7="","",'Risk &amp; Issues Register'!I$7)</f>
        <v/>
      </c>
      <c r="F40" s="6" t="str">
        <f aca="false">IF('Risk &amp; Issues Register'!$A$7="","",'Risk &amp; Issues Register'!K$7)</f>
        <v/>
      </c>
      <c r="G40" s="6" t="str">
        <f aca="false">IF('Risk &amp; Issues Register'!$A$7="","",'Risk &amp; Issues Register'!L$7)</f>
        <v/>
      </c>
      <c r="H40" s="6" t="str">
        <f aca="false">IF('Risk &amp; Issues Register'!$A$7="","",'Risk &amp; Issues Register'!N$7)</f>
        <v/>
      </c>
      <c r="I40" s="6" t="str">
        <f aca="false">IF('Risk &amp; Issues Register'!$A$7="","",'Risk &amp; Issues Register'!P$7)</f>
        <v/>
      </c>
    </row>
    <row r="41" customFormat="false" ht="15" hidden="false" customHeight="false" outlineLevel="0" collapsed="false">
      <c r="B41" s="6" t="str">
        <f aca="false">IF('Risk &amp; Issues Register'!$A$8="","",'Risk &amp; Issues Register'!A$8)</f>
        <v/>
      </c>
      <c r="C41" s="6" t="str">
        <f aca="false">IF('Risk &amp; Issues Register'!$A$8="","",'Risk &amp; Issues Register'!B$8)</f>
        <v/>
      </c>
      <c r="D41" s="6" t="str">
        <f aca="false">IF('Risk &amp; Issues Register'!$A$8="","",'Risk &amp; Issues Register'!C$8)</f>
        <v/>
      </c>
      <c r="E41" s="6" t="str">
        <f aca="false">IF('Risk &amp; Issues Register'!$A$8="","",'Risk &amp; Issues Register'!I$8)</f>
        <v/>
      </c>
      <c r="F41" s="6" t="str">
        <f aca="false">IF('Risk &amp; Issues Register'!$A$8="","",'Risk &amp; Issues Register'!K$8)</f>
        <v/>
      </c>
      <c r="G41" s="6" t="str">
        <f aca="false">IF('Risk &amp; Issues Register'!$A$8="","",'Risk &amp; Issues Register'!L$8)</f>
        <v/>
      </c>
      <c r="H41" s="6" t="str">
        <f aca="false">IF('Risk &amp; Issues Register'!$A$8="","",'Risk &amp; Issues Register'!N$8)</f>
        <v/>
      </c>
      <c r="I41" s="6" t="str">
        <f aca="false">IF('Risk &amp; Issues Register'!$A$8="","",'Risk &amp; Issues Register'!P$8)</f>
        <v/>
      </c>
    </row>
    <row r="42" customFormat="false" ht="15" hidden="false" customHeight="false" outlineLevel="0" collapsed="false">
      <c r="B42" s="6" t="str">
        <f aca="false">IF('Risk &amp; Issues Register'!$A$9="","",'Risk &amp; Issues Register'!A$9)</f>
        <v/>
      </c>
      <c r="C42" s="6" t="str">
        <f aca="false">IF('Risk &amp; Issues Register'!$A$9="","",'Risk &amp; Issues Register'!B$9)</f>
        <v/>
      </c>
      <c r="D42" s="6" t="str">
        <f aca="false">IF('Risk &amp; Issues Register'!$A$9="","",'Risk &amp; Issues Register'!C$9)</f>
        <v/>
      </c>
      <c r="E42" s="6" t="str">
        <f aca="false">IF('Risk &amp; Issues Register'!$A$9="","",'Risk &amp; Issues Register'!I$9)</f>
        <v/>
      </c>
      <c r="F42" s="6" t="str">
        <f aca="false">IF('Risk &amp; Issues Register'!$A$9="","",'Risk &amp; Issues Register'!K$9)</f>
        <v/>
      </c>
      <c r="G42" s="6" t="str">
        <f aca="false">IF('Risk &amp; Issues Register'!$A$9="","",'Risk &amp; Issues Register'!L$9)</f>
        <v/>
      </c>
      <c r="H42" s="6" t="str">
        <f aca="false">IF('Risk &amp; Issues Register'!$A$9="","",'Risk &amp; Issues Register'!N$9)</f>
        <v/>
      </c>
      <c r="I42" s="6" t="str">
        <f aca="false">IF('Risk &amp; Issues Register'!$A$9="","",'Risk &amp; Issues Register'!P$9)</f>
        <v/>
      </c>
    </row>
    <row r="43" customFormat="false" ht="15" hidden="false" customHeight="false" outlineLevel="0" collapsed="false">
      <c r="B43" s="6" t="str">
        <f aca="false">IF('Risk &amp; Issues Register'!$A$10="","",'Risk &amp; Issues Register'!A$10)</f>
        <v/>
      </c>
      <c r="C43" s="6" t="str">
        <f aca="false">IF('Risk &amp; Issues Register'!$A$10="","",'Risk &amp; Issues Register'!B$10)</f>
        <v/>
      </c>
      <c r="D43" s="6" t="str">
        <f aca="false">IF('Risk &amp; Issues Register'!$A$10="","",'Risk &amp; Issues Register'!C$10)</f>
        <v/>
      </c>
      <c r="E43" s="6" t="str">
        <f aca="false">IF('Risk &amp; Issues Register'!$A$10="","",'Risk &amp; Issues Register'!I$10)</f>
        <v/>
      </c>
      <c r="F43" s="6" t="str">
        <f aca="false">IF('Risk &amp; Issues Register'!$A$10="","",'Risk &amp; Issues Register'!K$10)</f>
        <v/>
      </c>
      <c r="G43" s="6" t="str">
        <f aca="false">IF('Risk &amp; Issues Register'!$A$10="","",'Risk &amp; Issues Register'!L$10)</f>
        <v/>
      </c>
      <c r="H43" s="6" t="str">
        <f aca="false">IF('Risk &amp; Issues Register'!$A$10="","",'Risk &amp; Issues Register'!N$10)</f>
        <v/>
      </c>
      <c r="I43" s="6" t="str">
        <f aca="false">IF('Risk &amp; Issues Register'!$A$10="","",'Risk &amp; Issues Register'!P$10)</f>
        <v/>
      </c>
    </row>
    <row r="44" customFormat="false" ht="15" hidden="false" customHeight="false" outlineLevel="0" collapsed="false">
      <c r="B44" s="6" t="str">
        <f aca="false">IF('Risk &amp; Issues Register'!$A$11="","",'Risk &amp; Issues Register'!A$11)</f>
        <v/>
      </c>
      <c r="C44" s="6" t="str">
        <f aca="false">IF('Risk &amp; Issues Register'!$A$11="","",'Risk &amp; Issues Register'!B$11)</f>
        <v/>
      </c>
      <c r="D44" s="6" t="str">
        <f aca="false">IF('Risk &amp; Issues Register'!$A$11="","",'Risk &amp; Issues Register'!C$11)</f>
        <v/>
      </c>
      <c r="E44" s="6" t="str">
        <f aca="false">IF('Risk &amp; Issues Register'!$A$11="","",'Risk &amp; Issues Register'!I$11)</f>
        <v/>
      </c>
      <c r="F44" s="6" t="str">
        <f aca="false">IF('Risk &amp; Issues Register'!$A$11="","",'Risk &amp; Issues Register'!K$11)</f>
        <v/>
      </c>
      <c r="G44" s="6" t="str">
        <f aca="false">IF('Risk &amp; Issues Register'!$A$11="","",'Risk &amp; Issues Register'!L$11)</f>
        <v/>
      </c>
      <c r="H44" s="6" t="str">
        <f aca="false">IF('Risk &amp; Issues Register'!$A$11="","",'Risk &amp; Issues Register'!N$11)</f>
        <v/>
      </c>
      <c r="I44" s="6" t="str">
        <f aca="false">IF('Risk &amp; Issues Register'!$A$11="","",'Risk &amp; Issues Register'!P$11)</f>
        <v/>
      </c>
    </row>
    <row r="45" customFormat="false" ht="15" hidden="false" customHeight="false" outlineLevel="0" collapsed="false">
      <c r="B45" s="6" t="str">
        <f aca="false">IF('Risk &amp; Issues Register'!$A$12="","",'Risk &amp; Issues Register'!A$12)</f>
        <v/>
      </c>
      <c r="C45" s="6" t="str">
        <f aca="false">IF('Risk &amp; Issues Register'!$A$12="","",'Risk &amp; Issues Register'!B$12)</f>
        <v/>
      </c>
      <c r="D45" s="6" t="str">
        <f aca="false">IF('Risk &amp; Issues Register'!$A$12="","",'Risk &amp; Issues Register'!C$12)</f>
        <v/>
      </c>
      <c r="E45" s="6" t="str">
        <f aca="false">IF('Risk &amp; Issues Register'!$A$12="","",'Risk &amp; Issues Register'!I$12)</f>
        <v/>
      </c>
      <c r="F45" s="6" t="str">
        <f aca="false">IF('Risk &amp; Issues Register'!$A$12="","",'Risk &amp; Issues Register'!K$12)</f>
        <v/>
      </c>
      <c r="G45" s="6" t="str">
        <f aca="false">IF('Risk &amp; Issues Register'!$A$12="","",'Risk &amp; Issues Register'!L$12)</f>
        <v/>
      </c>
      <c r="H45" s="6" t="str">
        <f aca="false">IF('Risk &amp; Issues Register'!$A$12="","",'Risk &amp; Issues Register'!N$12)</f>
        <v/>
      </c>
      <c r="I45" s="6" t="str">
        <f aca="false">IF('Risk &amp; Issues Register'!$A$12="","",'Risk &amp; Issues Register'!P$12)</f>
        <v/>
      </c>
    </row>
  </sheetData>
  <mergeCells count="16">
    <mergeCell ref="B1:K1"/>
    <mergeCell ref="B2:K2"/>
    <mergeCell ref="B4:C4"/>
    <mergeCell ref="D4:E4"/>
    <mergeCell ref="F4:G4"/>
    <mergeCell ref="H4:I4"/>
    <mergeCell ref="J4:K4"/>
    <mergeCell ref="B5:C6"/>
    <mergeCell ref="D5:E6"/>
    <mergeCell ref="F5:G6"/>
    <mergeCell ref="H5:I6"/>
    <mergeCell ref="J5:K6"/>
    <mergeCell ref="B8:F8"/>
    <mergeCell ref="B20:F20"/>
    <mergeCell ref="B30:K30"/>
    <mergeCell ref="B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2026-06-08T06:59:11Z</dcterms:created>
  <dc:creator>openpyxl</dc:creator>
  <dc:description/>
  <dc:language>en-US</dc:language>
  <cp:lastModifiedBy/>
  <dcterms:modified xsi:type="dcterms:W3CDTF">2026-06-08T07:47:27Z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