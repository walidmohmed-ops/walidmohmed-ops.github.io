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lid Sayed\Documents\"/>
    </mc:Choice>
  </mc:AlternateContent>
  <xr:revisionPtr revIDLastSave="0" documentId="8_{27BEDFB6-A4DA-4CB8-9679-05559203611D}" xr6:coauthVersionLast="47" xr6:coauthVersionMax="47" xr10:uidLastSave="{00000000-0000-0000-0000-000000000000}"/>
  <bookViews>
    <workbookView xWindow="28680" yWindow="-120" windowWidth="29040" windowHeight="15720" tabRatio="659" xr2:uid="{00000000-000D-0000-FFFF-FFFF00000000}"/>
  </bookViews>
  <sheets>
    <sheet name="Country_1" sheetId="1" r:id="rId1"/>
    <sheet name="Country_2" sheetId="2" r:id="rId2"/>
    <sheet name="Country_3" sheetId="3" r:id="rId3"/>
    <sheet name="Country_4" sheetId="4" r:id="rId4"/>
    <sheet name="Country_5" sheetId="5" r:id="rId5"/>
    <sheet name="Country_6" sheetId="6" r:id="rId6"/>
    <sheet name="Country_7" sheetId="7" r:id="rId7"/>
    <sheet name="Country_8" sheetId="8" r:id="rId8"/>
    <sheet name="Dashboard" sheetId="9" r:id="rId9"/>
    <sheet name="Lists" sheetId="10" r:id="rId10"/>
    <sheet name="Consolidated_Data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01" i="11" l="1"/>
  <c r="P801" i="11"/>
  <c r="O801" i="11"/>
  <c r="N801" i="11"/>
  <c r="M801" i="11"/>
  <c r="L801" i="11"/>
  <c r="K801" i="11"/>
  <c r="J801" i="11"/>
  <c r="I801" i="11"/>
  <c r="H801" i="11"/>
  <c r="G801" i="11"/>
  <c r="F801" i="11"/>
  <c r="E801" i="11"/>
  <c r="D801" i="11"/>
  <c r="C801" i="11"/>
  <c r="B801" i="11"/>
  <c r="A801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E800" i="11"/>
  <c r="D800" i="11"/>
  <c r="C800" i="11"/>
  <c r="B800" i="11"/>
  <c r="A800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E799" i="11"/>
  <c r="D799" i="11"/>
  <c r="C799" i="11"/>
  <c r="B799" i="11"/>
  <c r="A799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E798" i="11"/>
  <c r="D798" i="11"/>
  <c r="C798" i="11"/>
  <c r="B798" i="11"/>
  <c r="A798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E797" i="11"/>
  <c r="D797" i="11"/>
  <c r="C797" i="11"/>
  <c r="B797" i="11"/>
  <c r="A797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E796" i="11"/>
  <c r="D796" i="11"/>
  <c r="C796" i="11"/>
  <c r="B796" i="11"/>
  <c r="A796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E795" i="11"/>
  <c r="D795" i="11"/>
  <c r="C795" i="11"/>
  <c r="B795" i="11"/>
  <c r="A795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E794" i="11"/>
  <c r="D794" i="11"/>
  <c r="C794" i="11"/>
  <c r="B794" i="11"/>
  <c r="A794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E793" i="11"/>
  <c r="D793" i="11"/>
  <c r="C793" i="11"/>
  <c r="B793" i="11"/>
  <c r="A793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E792" i="11"/>
  <c r="D792" i="11"/>
  <c r="C792" i="11"/>
  <c r="B792" i="11"/>
  <c r="A792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E791" i="11"/>
  <c r="D791" i="11"/>
  <c r="C791" i="11"/>
  <c r="B791" i="11"/>
  <c r="A791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E790" i="11"/>
  <c r="D790" i="11"/>
  <c r="C790" i="11"/>
  <c r="B790" i="11"/>
  <c r="A790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E789" i="11"/>
  <c r="D789" i="11"/>
  <c r="C789" i="11"/>
  <c r="B789" i="11"/>
  <c r="A789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E788" i="11"/>
  <c r="D788" i="11"/>
  <c r="C788" i="11"/>
  <c r="B788" i="11"/>
  <c r="A788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E787" i="11"/>
  <c r="D787" i="11"/>
  <c r="C787" i="11"/>
  <c r="B787" i="11"/>
  <c r="A787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E786" i="11"/>
  <c r="D786" i="11"/>
  <c r="C786" i="11"/>
  <c r="B786" i="11"/>
  <c r="A786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E785" i="11"/>
  <c r="D785" i="11"/>
  <c r="C785" i="11"/>
  <c r="B785" i="11"/>
  <c r="A785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E784" i="11"/>
  <c r="D784" i="11"/>
  <c r="C784" i="11"/>
  <c r="B784" i="11"/>
  <c r="A784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E783" i="11"/>
  <c r="D783" i="11"/>
  <c r="C783" i="11"/>
  <c r="B783" i="11"/>
  <c r="A783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E782" i="11"/>
  <c r="D782" i="11"/>
  <c r="C782" i="11"/>
  <c r="B782" i="11"/>
  <c r="A782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E781" i="11"/>
  <c r="D781" i="11"/>
  <c r="C781" i="11"/>
  <c r="B781" i="11"/>
  <c r="A781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E780" i="11"/>
  <c r="D780" i="11"/>
  <c r="C780" i="11"/>
  <c r="B780" i="11"/>
  <c r="A780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E779" i="11"/>
  <c r="D779" i="11"/>
  <c r="C779" i="11"/>
  <c r="B779" i="11"/>
  <c r="A779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E778" i="11"/>
  <c r="D778" i="11"/>
  <c r="C778" i="11"/>
  <c r="B778" i="11"/>
  <c r="A778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E777" i="11"/>
  <c r="D777" i="11"/>
  <c r="C777" i="11"/>
  <c r="B777" i="11"/>
  <c r="A777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E776" i="11"/>
  <c r="D776" i="11"/>
  <c r="C776" i="11"/>
  <c r="B776" i="11"/>
  <c r="A776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E775" i="11"/>
  <c r="D775" i="11"/>
  <c r="C775" i="11"/>
  <c r="B775" i="11"/>
  <c r="A775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E774" i="11"/>
  <c r="D774" i="11"/>
  <c r="C774" i="11"/>
  <c r="B774" i="11"/>
  <c r="A774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E773" i="11"/>
  <c r="D773" i="11"/>
  <c r="C773" i="11"/>
  <c r="B773" i="11"/>
  <c r="A773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E772" i="11"/>
  <c r="D772" i="11"/>
  <c r="C772" i="11"/>
  <c r="B772" i="11"/>
  <c r="A772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E771" i="11"/>
  <c r="D771" i="11"/>
  <c r="C771" i="11"/>
  <c r="B771" i="11"/>
  <c r="A771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E770" i="11"/>
  <c r="D770" i="11"/>
  <c r="C770" i="11"/>
  <c r="B770" i="11"/>
  <c r="A770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E769" i="11"/>
  <c r="D769" i="11"/>
  <c r="C769" i="11"/>
  <c r="B769" i="11"/>
  <c r="A769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E768" i="11"/>
  <c r="D768" i="11"/>
  <c r="C768" i="11"/>
  <c r="B768" i="11"/>
  <c r="A768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E767" i="11"/>
  <c r="D767" i="11"/>
  <c r="C767" i="11"/>
  <c r="B767" i="11"/>
  <c r="A767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E766" i="11"/>
  <c r="D766" i="11"/>
  <c r="C766" i="11"/>
  <c r="B766" i="11"/>
  <c r="A766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E765" i="11"/>
  <c r="D765" i="11"/>
  <c r="C765" i="11"/>
  <c r="B765" i="11"/>
  <c r="A765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E764" i="11"/>
  <c r="D764" i="11"/>
  <c r="C764" i="11"/>
  <c r="B764" i="11"/>
  <c r="A764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E763" i="11"/>
  <c r="D763" i="11"/>
  <c r="C763" i="11"/>
  <c r="B763" i="11"/>
  <c r="A763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E762" i="11"/>
  <c r="D762" i="11"/>
  <c r="C762" i="11"/>
  <c r="B762" i="11"/>
  <c r="A762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E761" i="11"/>
  <c r="D761" i="11"/>
  <c r="C761" i="11"/>
  <c r="B761" i="11"/>
  <c r="A761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E760" i="11"/>
  <c r="D760" i="11"/>
  <c r="C760" i="11"/>
  <c r="B760" i="11"/>
  <c r="A760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E759" i="11"/>
  <c r="D759" i="11"/>
  <c r="C759" i="11"/>
  <c r="B759" i="11"/>
  <c r="A759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E758" i="11"/>
  <c r="D758" i="11"/>
  <c r="C758" i="11"/>
  <c r="B758" i="11"/>
  <c r="A758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E757" i="11"/>
  <c r="D757" i="11"/>
  <c r="C757" i="11"/>
  <c r="B757" i="11"/>
  <c r="A757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E756" i="11"/>
  <c r="D756" i="11"/>
  <c r="C756" i="11"/>
  <c r="B756" i="11"/>
  <c r="A756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E755" i="11"/>
  <c r="D755" i="11"/>
  <c r="C755" i="11"/>
  <c r="B755" i="11"/>
  <c r="A755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E754" i="11"/>
  <c r="D754" i="11"/>
  <c r="C754" i="11"/>
  <c r="B754" i="11"/>
  <c r="A754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E753" i="11"/>
  <c r="D753" i="11"/>
  <c r="C753" i="11"/>
  <c r="B753" i="11"/>
  <c r="A753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E752" i="11"/>
  <c r="D752" i="11"/>
  <c r="C752" i="11"/>
  <c r="B752" i="11"/>
  <c r="A752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E751" i="11"/>
  <c r="D751" i="11"/>
  <c r="C751" i="11"/>
  <c r="B751" i="11"/>
  <c r="A751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E750" i="11"/>
  <c r="D750" i="11"/>
  <c r="C750" i="11"/>
  <c r="B750" i="11"/>
  <c r="A750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E749" i="11"/>
  <c r="D749" i="11"/>
  <c r="C749" i="11"/>
  <c r="B749" i="11"/>
  <c r="A749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E748" i="11"/>
  <c r="D748" i="11"/>
  <c r="C748" i="11"/>
  <c r="B748" i="11"/>
  <c r="A748" i="11"/>
  <c r="Q747" i="11"/>
  <c r="P747" i="11"/>
  <c r="O747" i="11"/>
  <c r="N747" i="11"/>
  <c r="M747" i="11"/>
  <c r="L747" i="11"/>
  <c r="K747" i="11"/>
  <c r="J747" i="11"/>
  <c r="I747" i="11"/>
  <c r="H747" i="11"/>
  <c r="G747" i="11"/>
  <c r="F747" i="11"/>
  <c r="E747" i="11"/>
  <c r="D747" i="11"/>
  <c r="C747" i="11"/>
  <c r="B747" i="11"/>
  <c r="A747" i="1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E746" i="11"/>
  <c r="D746" i="11"/>
  <c r="C746" i="11"/>
  <c r="B746" i="11"/>
  <c r="A746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E745" i="11"/>
  <c r="D745" i="11"/>
  <c r="C745" i="11"/>
  <c r="B745" i="11"/>
  <c r="A745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E744" i="11"/>
  <c r="D744" i="11"/>
  <c r="C744" i="11"/>
  <c r="B744" i="11"/>
  <c r="A744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E743" i="11"/>
  <c r="D743" i="11"/>
  <c r="C743" i="11"/>
  <c r="B743" i="11"/>
  <c r="A743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E742" i="11"/>
  <c r="D742" i="11"/>
  <c r="C742" i="11"/>
  <c r="B742" i="11"/>
  <c r="A742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E741" i="11"/>
  <c r="D741" i="11"/>
  <c r="C741" i="11"/>
  <c r="B741" i="11"/>
  <c r="A741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E740" i="11"/>
  <c r="D740" i="11"/>
  <c r="C740" i="11"/>
  <c r="B740" i="11"/>
  <c r="A740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E739" i="11"/>
  <c r="D739" i="11"/>
  <c r="C739" i="11"/>
  <c r="B739" i="11"/>
  <c r="A739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E738" i="11"/>
  <c r="D738" i="11"/>
  <c r="C738" i="11"/>
  <c r="B738" i="11"/>
  <c r="A738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E737" i="11"/>
  <c r="D737" i="11"/>
  <c r="C737" i="11"/>
  <c r="B737" i="11"/>
  <c r="A737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E736" i="11"/>
  <c r="D736" i="11"/>
  <c r="C736" i="11"/>
  <c r="B736" i="11"/>
  <c r="A736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E735" i="11"/>
  <c r="D735" i="11"/>
  <c r="C735" i="11"/>
  <c r="B735" i="11"/>
  <c r="A735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E734" i="11"/>
  <c r="D734" i="11"/>
  <c r="C734" i="11"/>
  <c r="B734" i="11"/>
  <c r="A734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E733" i="11"/>
  <c r="D733" i="11"/>
  <c r="C733" i="11"/>
  <c r="B733" i="11"/>
  <c r="A733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E732" i="11"/>
  <c r="D732" i="11"/>
  <c r="C732" i="11"/>
  <c r="B732" i="11"/>
  <c r="A732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E731" i="11"/>
  <c r="D731" i="11"/>
  <c r="C731" i="11"/>
  <c r="B731" i="11"/>
  <c r="A731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E730" i="11"/>
  <c r="D730" i="11"/>
  <c r="C730" i="11"/>
  <c r="B730" i="11"/>
  <c r="A730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E729" i="11"/>
  <c r="D729" i="11"/>
  <c r="C729" i="11"/>
  <c r="B729" i="11"/>
  <c r="A729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E728" i="11"/>
  <c r="D728" i="11"/>
  <c r="C728" i="11"/>
  <c r="B728" i="11"/>
  <c r="A728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E727" i="11"/>
  <c r="D727" i="11"/>
  <c r="C727" i="11"/>
  <c r="B727" i="11"/>
  <c r="A727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E726" i="11"/>
  <c r="D726" i="11"/>
  <c r="C726" i="11"/>
  <c r="B726" i="11"/>
  <c r="A726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E725" i="11"/>
  <c r="D725" i="11"/>
  <c r="C725" i="11"/>
  <c r="B725" i="11"/>
  <c r="A725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E724" i="11"/>
  <c r="D724" i="11"/>
  <c r="C724" i="11"/>
  <c r="B724" i="11"/>
  <c r="A724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E723" i="11"/>
  <c r="D723" i="11"/>
  <c r="C723" i="11"/>
  <c r="B723" i="11"/>
  <c r="A723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E722" i="11"/>
  <c r="D722" i="11"/>
  <c r="C722" i="11"/>
  <c r="B722" i="11"/>
  <c r="A722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E721" i="11"/>
  <c r="D721" i="11"/>
  <c r="C721" i="11"/>
  <c r="B721" i="11"/>
  <c r="A721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E720" i="11"/>
  <c r="D720" i="11"/>
  <c r="C720" i="11"/>
  <c r="B720" i="11"/>
  <c r="A720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E719" i="11"/>
  <c r="D719" i="11"/>
  <c r="C719" i="11"/>
  <c r="B719" i="11"/>
  <c r="A719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E718" i="11"/>
  <c r="D718" i="11"/>
  <c r="C718" i="11"/>
  <c r="B718" i="11"/>
  <c r="A718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E717" i="11"/>
  <c r="D717" i="11"/>
  <c r="C717" i="11"/>
  <c r="B717" i="11"/>
  <c r="A717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E716" i="11"/>
  <c r="D716" i="11"/>
  <c r="C716" i="11"/>
  <c r="B716" i="11"/>
  <c r="A716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E715" i="11"/>
  <c r="D715" i="11"/>
  <c r="C715" i="11"/>
  <c r="B715" i="11"/>
  <c r="A715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E714" i="11"/>
  <c r="D714" i="11"/>
  <c r="C714" i="11"/>
  <c r="B714" i="11"/>
  <c r="A714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E713" i="11"/>
  <c r="D713" i="11"/>
  <c r="C713" i="11"/>
  <c r="B713" i="11"/>
  <c r="A713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E712" i="11"/>
  <c r="D712" i="11"/>
  <c r="C712" i="11"/>
  <c r="B712" i="11"/>
  <c r="A712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E711" i="11"/>
  <c r="D711" i="11"/>
  <c r="C711" i="11"/>
  <c r="B711" i="11"/>
  <c r="A711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E710" i="11"/>
  <c r="D710" i="11"/>
  <c r="C710" i="11"/>
  <c r="B710" i="11"/>
  <c r="A710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E709" i="11"/>
  <c r="D709" i="11"/>
  <c r="C709" i="11"/>
  <c r="B709" i="11"/>
  <c r="A709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E708" i="11"/>
  <c r="D708" i="11"/>
  <c r="C708" i="11"/>
  <c r="B708" i="11"/>
  <c r="A708" i="11"/>
  <c r="Q707" i="11"/>
  <c r="P707" i="11"/>
  <c r="O707" i="11"/>
  <c r="N707" i="11"/>
  <c r="L707" i="11"/>
  <c r="K707" i="11"/>
  <c r="J707" i="11"/>
  <c r="I707" i="11"/>
  <c r="H707" i="11"/>
  <c r="G707" i="11"/>
  <c r="F707" i="11"/>
  <c r="E707" i="11"/>
  <c r="D707" i="11"/>
  <c r="C707" i="11"/>
  <c r="B707" i="11"/>
  <c r="A707" i="11"/>
  <c r="Q706" i="11"/>
  <c r="P706" i="11"/>
  <c r="O706" i="11"/>
  <c r="N706" i="11"/>
  <c r="L706" i="11"/>
  <c r="K706" i="11"/>
  <c r="J706" i="11"/>
  <c r="I706" i="11"/>
  <c r="H706" i="11"/>
  <c r="G706" i="11"/>
  <c r="F706" i="11"/>
  <c r="E706" i="11"/>
  <c r="D706" i="11"/>
  <c r="C706" i="11"/>
  <c r="B706" i="11"/>
  <c r="A706" i="11"/>
  <c r="Q705" i="11"/>
  <c r="P705" i="11"/>
  <c r="O705" i="11"/>
  <c r="N705" i="11"/>
  <c r="L705" i="11"/>
  <c r="K705" i="11"/>
  <c r="J705" i="11"/>
  <c r="I705" i="11"/>
  <c r="H705" i="11"/>
  <c r="G705" i="11"/>
  <c r="F705" i="11"/>
  <c r="E705" i="11"/>
  <c r="D705" i="11"/>
  <c r="C705" i="11"/>
  <c r="B705" i="11"/>
  <c r="A705" i="11"/>
  <c r="Q704" i="11"/>
  <c r="P704" i="11"/>
  <c r="O704" i="11"/>
  <c r="N704" i="11"/>
  <c r="L704" i="11"/>
  <c r="K704" i="11"/>
  <c r="J704" i="11"/>
  <c r="I704" i="11"/>
  <c r="H704" i="11"/>
  <c r="G704" i="11"/>
  <c r="F704" i="11"/>
  <c r="E704" i="11"/>
  <c r="D704" i="11"/>
  <c r="C704" i="11"/>
  <c r="B704" i="11"/>
  <c r="A704" i="11"/>
  <c r="Q703" i="11"/>
  <c r="P703" i="11"/>
  <c r="O703" i="11"/>
  <c r="N703" i="11"/>
  <c r="L703" i="11"/>
  <c r="K703" i="11"/>
  <c r="J703" i="11"/>
  <c r="I703" i="11"/>
  <c r="H703" i="11"/>
  <c r="G703" i="11"/>
  <c r="F703" i="11"/>
  <c r="E703" i="11"/>
  <c r="D703" i="11"/>
  <c r="C703" i="11"/>
  <c r="B703" i="11"/>
  <c r="A703" i="11"/>
  <c r="Q702" i="11"/>
  <c r="P702" i="11"/>
  <c r="O702" i="11"/>
  <c r="N702" i="11"/>
  <c r="L702" i="11"/>
  <c r="K702" i="11"/>
  <c r="J702" i="11"/>
  <c r="I702" i="11"/>
  <c r="H702" i="11"/>
  <c r="G702" i="11"/>
  <c r="F702" i="11"/>
  <c r="E702" i="11"/>
  <c r="D702" i="11"/>
  <c r="C702" i="11"/>
  <c r="B702" i="11"/>
  <c r="A702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E701" i="11"/>
  <c r="D701" i="11"/>
  <c r="C701" i="11"/>
  <c r="B701" i="11"/>
  <c r="A701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E700" i="11"/>
  <c r="D700" i="11"/>
  <c r="C700" i="11"/>
  <c r="B700" i="11"/>
  <c r="A700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E699" i="11"/>
  <c r="D699" i="11"/>
  <c r="C699" i="11"/>
  <c r="B699" i="11"/>
  <c r="A699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E698" i="11"/>
  <c r="D698" i="11"/>
  <c r="C698" i="11"/>
  <c r="B698" i="11"/>
  <c r="A698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E697" i="11"/>
  <c r="D697" i="11"/>
  <c r="C697" i="11"/>
  <c r="B697" i="11"/>
  <c r="A697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E696" i="11"/>
  <c r="D696" i="11"/>
  <c r="C696" i="11"/>
  <c r="B696" i="11"/>
  <c r="A696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E695" i="11"/>
  <c r="D695" i="11"/>
  <c r="C695" i="11"/>
  <c r="B695" i="11"/>
  <c r="A695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E694" i="11"/>
  <c r="D694" i="11"/>
  <c r="C694" i="11"/>
  <c r="B694" i="11"/>
  <c r="A694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E693" i="11"/>
  <c r="D693" i="11"/>
  <c r="C693" i="11"/>
  <c r="B693" i="11"/>
  <c r="A693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E692" i="11"/>
  <c r="D692" i="11"/>
  <c r="C692" i="11"/>
  <c r="B692" i="11"/>
  <c r="A692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E691" i="11"/>
  <c r="D691" i="11"/>
  <c r="C691" i="11"/>
  <c r="B691" i="11"/>
  <c r="A691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E690" i="11"/>
  <c r="D690" i="11"/>
  <c r="C690" i="11"/>
  <c r="B690" i="11"/>
  <c r="A690" i="11"/>
  <c r="Q689" i="11"/>
  <c r="P689" i="11"/>
  <c r="O689" i="11"/>
  <c r="N689" i="11"/>
  <c r="M689" i="11"/>
  <c r="L689" i="11"/>
  <c r="K689" i="11"/>
  <c r="J689" i="11"/>
  <c r="I689" i="11"/>
  <c r="H689" i="11"/>
  <c r="G689" i="11"/>
  <c r="F689" i="11"/>
  <c r="E689" i="11"/>
  <c r="D689" i="11"/>
  <c r="C689" i="11"/>
  <c r="B689" i="11"/>
  <c r="A689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E688" i="11"/>
  <c r="D688" i="11"/>
  <c r="C688" i="11"/>
  <c r="B688" i="11"/>
  <c r="A688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E687" i="11"/>
  <c r="D687" i="11"/>
  <c r="C687" i="11"/>
  <c r="B687" i="11"/>
  <c r="A687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E686" i="11"/>
  <c r="D686" i="11"/>
  <c r="C686" i="11"/>
  <c r="B686" i="11"/>
  <c r="A686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E685" i="11"/>
  <c r="D685" i="11"/>
  <c r="C685" i="11"/>
  <c r="B685" i="11"/>
  <c r="A685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E684" i="11"/>
  <c r="D684" i="11"/>
  <c r="C684" i="11"/>
  <c r="B684" i="11"/>
  <c r="A684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E683" i="11"/>
  <c r="D683" i="11"/>
  <c r="C683" i="11"/>
  <c r="B683" i="11"/>
  <c r="A683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E682" i="11"/>
  <c r="D682" i="11"/>
  <c r="C682" i="11"/>
  <c r="B682" i="11"/>
  <c r="A682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E681" i="11"/>
  <c r="D681" i="11"/>
  <c r="C681" i="11"/>
  <c r="B681" i="11"/>
  <c r="A681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E680" i="11"/>
  <c r="D680" i="11"/>
  <c r="C680" i="11"/>
  <c r="B680" i="11"/>
  <c r="A680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E679" i="11"/>
  <c r="D679" i="11"/>
  <c r="C679" i="11"/>
  <c r="B679" i="11"/>
  <c r="A679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E678" i="11"/>
  <c r="D678" i="11"/>
  <c r="C678" i="11"/>
  <c r="B678" i="11"/>
  <c r="A678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E677" i="11"/>
  <c r="D677" i="11"/>
  <c r="C677" i="11"/>
  <c r="B677" i="11"/>
  <c r="A677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E676" i="11"/>
  <c r="D676" i="11"/>
  <c r="C676" i="11"/>
  <c r="B676" i="11"/>
  <c r="A676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E675" i="11"/>
  <c r="D675" i="11"/>
  <c r="C675" i="11"/>
  <c r="B675" i="11"/>
  <c r="A675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E674" i="11"/>
  <c r="D674" i="11"/>
  <c r="C674" i="11"/>
  <c r="B674" i="11"/>
  <c r="A674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E673" i="11"/>
  <c r="D673" i="11"/>
  <c r="C673" i="11"/>
  <c r="B673" i="11"/>
  <c r="A673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E672" i="11"/>
  <c r="D672" i="11"/>
  <c r="C672" i="11"/>
  <c r="B672" i="11"/>
  <c r="A672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E671" i="11"/>
  <c r="D671" i="11"/>
  <c r="C671" i="11"/>
  <c r="B671" i="11"/>
  <c r="A671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E670" i="11"/>
  <c r="D670" i="11"/>
  <c r="C670" i="11"/>
  <c r="B670" i="11"/>
  <c r="A670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E669" i="11"/>
  <c r="D669" i="11"/>
  <c r="C669" i="11"/>
  <c r="B669" i="11"/>
  <c r="A669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E668" i="11"/>
  <c r="D668" i="11"/>
  <c r="C668" i="11"/>
  <c r="B668" i="11"/>
  <c r="A668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E667" i="11"/>
  <c r="D667" i="11"/>
  <c r="C667" i="11"/>
  <c r="B667" i="11"/>
  <c r="A667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E666" i="11"/>
  <c r="D666" i="11"/>
  <c r="C666" i="11"/>
  <c r="B666" i="11"/>
  <c r="A666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E665" i="11"/>
  <c r="D665" i="11"/>
  <c r="C665" i="11"/>
  <c r="B665" i="11"/>
  <c r="A665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E664" i="11"/>
  <c r="D664" i="11"/>
  <c r="C664" i="11"/>
  <c r="B664" i="11"/>
  <c r="A664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E663" i="11"/>
  <c r="D663" i="11"/>
  <c r="C663" i="11"/>
  <c r="B663" i="11"/>
  <c r="A663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E662" i="11"/>
  <c r="D662" i="11"/>
  <c r="C662" i="11"/>
  <c r="B662" i="11"/>
  <c r="A662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E661" i="11"/>
  <c r="D661" i="11"/>
  <c r="C661" i="11"/>
  <c r="B661" i="11"/>
  <c r="A661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E660" i="11"/>
  <c r="D660" i="11"/>
  <c r="C660" i="11"/>
  <c r="B660" i="11"/>
  <c r="A660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E659" i="11"/>
  <c r="D659" i="11"/>
  <c r="C659" i="11"/>
  <c r="B659" i="11"/>
  <c r="A659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E658" i="11"/>
  <c r="D658" i="11"/>
  <c r="C658" i="11"/>
  <c r="B658" i="11"/>
  <c r="A658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E657" i="11"/>
  <c r="D657" i="11"/>
  <c r="C657" i="11"/>
  <c r="B657" i="11"/>
  <c r="A657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E656" i="11"/>
  <c r="D656" i="11"/>
  <c r="C656" i="11"/>
  <c r="B656" i="11"/>
  <c r="A656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E655" i="11"/>
  <c r="D655" i="11"/>
  <c r="C655" i="11"/>
  <c r="B655" i="11"/>
  <c r="A655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E654" i="11"/>
  <c r="D654" i="11"/>
  <c r="C654" i="11"/>
  <c r="B654" i="11"/>
  <c r="A654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E653" i="11"/>
  <c r="D653" i="11"/>
  <c r="C653" i="11"/>
  <c r="B653" i="11"/>
  <c r="A653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E652" i="11"/>
  <c r="D652" i="11"/>
  <c r="C652" i="11"/>
  <c r="B652" i="11"/>
  <c r="A652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E651" i="11"/>
  <c r="D651" i="11"/>
  <c r="C651" i="11"/>
  <c r="B651" i="11"/>
  <c r="A651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E650" i="11"/>
  <c r="D650" i="11"/>
  <c r="C650" i="11"/>
  <c r="B650" i="11"/>
  <c r="A650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E649" i="11"/>
  <c r="D649" i="11"/>
  <c r="C649" i="11"/>
  <c r="B649" i="11"/>
  <c r="A649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E648" i="11"/>
  <c r="D648" i="11"/>
  <c r="C648" i="11"/>
  <c r="B648" i="11"/>
  <c r="A648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E647" i="11"/>
  <c r="D647" i="11"/>
  <c r="C647" i="11"/>
  <c r="B647" i="11"/>
  <c r="A647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E646" i="11"/>
  <c r="D646" i="11"/>
  <c r="C646" i="11"/>
  <c r="B646" i="11"/>
  <c r="A646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E645" i="11"/>
  <c r="D645" i="11"/>
  <c r="C645" i="11"/>
  <c r="B645" i="11"/>
  <c r="A645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E644" i="11"/>
  <c r="D644" i="11"/>
  <c r="C644" i="11"/>
  <c r="B644" i="11"/>
  <c r="A644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E643" i="11"/>
  <c r="D643" i="11"/>
  <c r="C643" i="11"/>
  <c r="B643" i="11"/>
  <c r="A643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E642" i="11"/>
  <c r="D642" i="11"/>
  <c r="C642" i="11"/>
  <c r="B642" i="11"/>
  <c r="A642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E641" i="11"/>
  <c r="D641" i="11"/>
  <c r="C641" i="11"/>
  <c r="B641" i="11"/>
  <c r="A641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E640" i="11"/>
  <c r="D640" i="11"/>
  <c r="C640" i="11"/>
  <c r="B640" i="11"/>
  <c r="A640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E639" i="11"/>
  <c r="D639" i="11"/>
  <c r="C639" i="11"/>
  <c r="B639" i="11"/>
  <c r="A639" i="11"/>
  <c r="Q638" i="11"/>
  <c r="P638" i="11"/>
  <c r="O638" i="11"/>
  <c r="N638" i="11"/>
  <c r="M638" i="11"/>
  <c r="L638" i="11"/>
  <c r="K638" i="11"/>
  <c r="J638" i="11"/>
  <c r="I638" i="11"/>
  <c r="H638" i="11"/>
  <c r="G638" i="11"/>
  <c r="F638" i="11"/>
  <c r="E638" i="11"/>
  <c r="D638" i="11"/>
  <c r="C638" i="11"/>
  <c r="B638" i="11"/>
  <c r="A638" i="11"/>
  <c r="Q637" i="11"/>
  <c r="P637" i="11"/>
  <c r="O637" i="11"/>
  <c r="N637" i="11"/>
  <c r="M637" i="11"/>
  <c r="L637" i="11"/>
  <c r="K637" i="11"/>
  <c r="J637" i="11"/>
  <c r="I637" i="11"/>
  <c r="H637" i="11"/>
  <c r="G637" i="11"/>
  <c r="F637" i="11"/>
  <c r="E637" i="11"/>
  <c r="D637" i="11"/>
  <c r="C637" i="11"/>
  <c r="B637" i="11"/>
  <c r="A637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E636" i="11"/>
  <c r="D636" i="11"/>
  <c r="C636" i="11"/>
  <c r="B636" i="11"/>
  <c r="A636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E635" i="11"/>
  <c r="D635" i="11"/>
  <c r="C635" i="11"/>
  <c r="B635" i="11"/>
  <c r="A635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E634" i="11"/>
  <c r="D634" i="11"/>
  <c r="C634" i="11"/>
  <c r="B634" i="11"/>
  <c r="A634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E633" i="11"/>
  <c r="D633" i="11"/>
  <c r="C633" i="11"/>
  <c r="B633" i="11"/>
  <c r="A633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E632" i="11"/>
  <c r="D632" i="11"/>
  <c r="C632" i="11"/>
  <c r="B632" i="11"/>
  <c r="A632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E631" i="11"/>
  <c r="D631" i="11"/>
  <c r="C631" i="11"/>
  <c r="B631" i="11"/>
  <c r="A631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E630" i="11"/>
  <c r="D630" i="11"/>
  <c r="C630" i="11"/>
  <c r="B630" i="11"/>
  <c r="A630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E629" i="11"/>
  <c r="D629" i="11"/>
  <c r="C629" i="11"/>
  <c r="B629" i="11"/>
  <c r="A629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E628" i="11"/>
  <c r="D628" i="11"/>
  <c r="C628" i="11"/>
  <c r="B628" i="11"/>
  <c r="A628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E627" i="11"/>
  <c r="D627" i="11"/>
  <c r="C627" i="11"/>
  <c r="B627" i="11"/>
  <c r="A627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E626" i="11"/>
  <c r="D626" i="11"/>
  <c r="C626" i="11"/>
  <c r="B626" i="11"/>
  <c r="A626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E625" i="11"/>
  <c r="D625" i="11"/>
  <c r="C625" i="11"/>
  <c r="B625" i="11"/>
  <c r="A625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E624" i="11"/>
  <c r="D624" i="11"/>
  <c r="C624" i="11"/>
  <c r="B624" i="11"/>
  <c r="A624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E623" i="11"/>
  <c r="D623" i="11"/>
  <c r="C623" i="11"/>
  <c r="B623" i="11"/>
  <c r="A623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E622" i="11"/>
  <c r="D622" i="11"/>
  <c r="C622" i="11"/>
  <c r="B622" i="11"/>
  <c r="A622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E621" i="11"/>
  <c r="D621" i="11"/>
  <c r="C621" i="11"/>
  <c r="B621" i="11"/>
  <c r="A621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E620" i="11"/>
  <c r="D620" i="11"/>
  <c r="C620" i="11"/>
  <c r="B620" i="11"/>
  <c r="A620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E619" i="11"/>
  <c r="D619" i="11"/>
  <c r="C619" i="11"/>
  <c r="B619" i="11"/>
  <c r="A619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E618" i="11"/>
  <c r="D618" i="11"/>
  <c r="C618" i="11"/>
  <c r="B618" i="11"/>
  <c r="A618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E617" i="11"/>
  <c r="D617" i="11"/>
  <c r="C617" i="11"/>
  <c r="B617" i="11"/>
  <c r="A617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E616" i="11"/>
  <c r="D616" i="11"/>
  <c r="C616" i="11"/>
  <c r="B616" i="11"/>
  <c r="A616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E615" i="11"/>
  <c r="D615" i="11"/>
  <c r="C615" i="11"/>
  <c r="B615" i="11"/>
  <c r="A615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E614" i="11"/>
  <c r="D614" i="11"/>
  <c r="C614" i="11"/>
  <c r="B614" i="11"/>
  <c r="A614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E613" i="11"/>
  <c r="D613" i="11"/>
  <c r="C613" i="11"/>
  <c r="B613" i="11"/>
  <c r="A613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E612" i="11"/>
  <c r="D612" i="11"/>
  <c r="C612" i="11"/>
  <c r="B612" i="11"/>
  <c r="A612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E611" i="11"/>
  <c r="D611" i="11"/>
  <c r="C611" i="11"/>
  <c r="B611" i="11"/>
  <c r="A611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E610" i="11"/>
  <c r="D610" i="11"/>
  <c r="C610" i="11"/>
  <c r="B610" i="11"/>
  <c r="A610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E609" i="11"/>
  <c r="D609" i="11"/>
  <c r="C609" i="11"/>
  <c r="B609" i="11"/>
  <c r="A609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E608" i="11"/>
  <c r="D608" i="11"/>
  <c r="C608" i="11"/>
  <c r="B608" i="11"/>
  <c r="A608" i="11"/>
  <c r="Q607" i="11"/>
  <c r="P607" i="11"/>
  <c r="O607" i="11"/>
  <c r="N607" i="11"/>
  <c r="L607" i="11"/>
  <c r="K607" i="11"/>
  <c r="J607" i="11"/>
  <c r="I607" i="11"/>
  <c r="H607" i="11"/>
  <c r="G607" i="11"/>
  <c r="F607" i="11"/>
  <c r="E607" i="11"/>
  <c r="D607" i="11"/>
  <c r="C607" i="11"/>
  <c r="B607" i="11"/>
  <c r="A607" i="11"/>
  <c r="Q606" i="11"/>
  <c r="P606" i="11"/>
  <c r="O606" i="11"/>
  <c r="N606" i="11"/>
  <c r="L606" i="11"/>
  <c r="K606" i="11"/>
  <c r="J606" i="11"/>
  <c r="I606" i="11"/>
  <c r="H606" i="11"/>
  <c r="G606" i="11"/>
  <c r="F606" i="11"/>
  <c r="E606" i="11"/>
  <c r="D606" i="11"/>
  <c r="C606" i="11"/>
  <c r="B606" i="11"/>
  <c r="A606" i="11"/>
  <c r="Q605" i="11"/>
  <c r="P605" i="11"/>
  <c r="O605" i="11"/>
  <c r="N605" i="11"/>
  <c r="L605" i="11"/>
  <c r="K605" i="11"/>
  <c r="J605" i="11"/>
  <c r="I605" i="11"/>
  <c r="H605" i="11"/>
  <c r="G605" i="11"/>
  <c r="F605" i="11"/>
  <c r="E605" i="11"/>
  <c r="D605" i="11"/>
  <c r="C605" i="11"/>
  <c r="B605" i="11"/>
  <c r="A605" i="11"/>
  <c r="Q604" i="11"/>
  <c r="P604" i="11"/>
  <c r="O604" i="11"/>
  <c r="N604" i="11"/>
  <c r="L604" i="11"/>
  <c r="K604" i="11"/>
  <c r="J604" i="11"/>
  <c r="I604" i="11"/>
  <c r="H604" i="11"/>
  <c r="G604" i="11"/>
  <c r="F604" i="11"/>
  <c r="E604" i="11"/>
  <c r="D604" i="11"/>
  <c r="C604" i="11"/>
  <c r="B604" i="11"/>
  <c r="A604" i="11"/>
  <c r="Q603" i="11"/>
  <c r="P603" i="11"/>
  <c r="O603" i="11"/>
  <c r="N603" i="11"/>
  <c r="L603" i="11"/>
  <c r="K603" i="11"/>
  <c r="J603" i="11"/>
  <c r="I603" i="11"/>
  <c r="H603" i="11"/>
  <c r="G603" i="11"/>
  <c r="F603" i="11"/>
  <c r="E603" i="11"/>
  <c r="D603" i="11"/>
  <c r="C603" i="11"/>
  <c r="B603" i="11"/>
  <c r="A603" i="11"/>
  <c r="Q602" i="11"/>
  <c r="P602" i="11"/>
  <c r="O602" i="11"/>
  <c r="N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Q507" i="11"/>
  <c r="P507" i="11"/>
  <c r="O507" i="11"/>
  <c r="N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Q506" i="11"/>
  <c r="P506" i="11"/>
  <c r="O506" i="11"/>
  <c r="N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Q505" i="11"/>
  <c r="P505" i="11"/>
  <c r="O505" i="11"/>
  <c r="N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Q504" i="11"/>
  <c r="P504" i="11"/>
  <c r="O504" i="11"/>
  <c r="N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Q503" i="11"/>
  <c r="P503" i="11"/>
  <c r="O503" i="11"/>
  <c r="N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Q502" i="11"/>
  <c r="P502" i="11"/>
  <c r="O502" i="11"/>
  <c r="N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Q407" i="11"/>
  <c r="P407" i="11"/>
  <c r="O407" i="11"/>
  <c r="N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Q406" i="11"/>
  <c r="P406" i="11"/>
  <c r="O406" i="11"/>
  <c r="N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Q404" i="11"/>
  <c r="P404" i="11"/>
  <c r="O404" i="11"/>
  <c r="N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Q403" i="11"/>
  <c r="P403" i="11"/>
  <c r="O403" i="11"/>
  <c r="N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Q402" i="11"/>
  <c r="P402" i="11"/>
  <c r="O402" i="11"/>
  <c r="N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Q307" i="11"/>
  <c r="P307" i="11"/>
  <c r="O307" i="11"/>
  <c r="N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Q306" i="11"/>
  <c r="P306" i="11"/>
  <c r="O306" i="11"/>
  <c r="N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Q305" i="11"/>
  <c r="P305" i="11"/>
  <c r="O305" i="11"/>
  <c r="N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Q304" i="11"/>
  <c r="P304" i="11"/>
  <c r="O304" i="11"/>
  <c r="N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Q303" i="11"/>
  <c r="P303" i="11"/>
  <c r="O303" i="11"/>
  <c r="N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Q302" i="11"/>
  <c r="P302" i="11"/>
  <c r="O302" i="11"/>
  <c r="N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Q207" i="11"/>
  <c r="P207" i="11"/>
  <c r="O207" i="11"/>
  <c r="N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Q206" i="11"/>
  <c r="P206" i="11"/>
  <c r="O206" i="11"/>
  <c r="N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Q204" i="11"/>
  <c r="P204" i="11"/>
  <c r="O204" i="11"/>
  <c r="N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Q203" i="11"/>
  <c r="P203" i="11"/>
  <c r="O203" i="11"/>
  <c r="N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Q202" i="11"/>
  <c r="P202" i="11"/>
  <c r="O202" i="11"/>
  <c r="N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Q107" i="11"/>
  <c r="P107" i="11"/>
  <c r="O107" i="11"/>
  <c r="N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Q106" i="11"/>
  <c r="P106" i="11"/>
  <c r="O106" i="11"/>
  <c r="N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Q105" i="11"/>
  <c r="P105" i="11"/>
  <c r="O105" i="11"/>
  <c r="N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Q104" i="11"/>
  <c r="P104" i="11"/>
  <c r="O104" i="11"/>
  <c r="N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Q103" i="11"/>
  <c r="P103" i="11"/>
  <c r="O103" i="11"/>
  <c r="N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Q102" i="11"/>
  <c r="P102" i="11"/>
  <c r="O102" i="11"/>
  <c r="N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Q7" i="11"/>
  <c r="P7" i="11"/>
  <c r="O7" i="11"/>
  <c r="N7" i="11"/>
  <c r="L7" i="11"/>
  <c r="K7" i="11"/>
  <c r="J7" i="11"/>
  <c r="I7" i="11"/>
  <c r="H7" i="11"/>
  <c r="G7" i="11"/>
  <c r="F7" i="11"/>
  <c r="E7" i="11"/>
  <c r="D7" i="11"/>
  <c r="C7" i="11"/>
  <c r="B7" i="11"/>
  <c r="A7" i="11"/>
  <c r="Q6" i="11"/>
  <c r="P6" i="11"/>
  <c r="O6" i="11"/>
  <c r="N6" i="11"/>
  <c r="L6" i="11"/>
  <c r="K6" i="11"/>
  <c r="J6" i="11"/>
  <c r="I6" i="11"/>
  <c r="H6" i="11"/>
  <c r="G6" i="11"/>
  <c r="F6" i="11"/>
  <c r="E6" i="11"/>
  <c r="D6" i="11"/>
  <c r="C6" i="11"/>
  <c r="B6" i="11"/>
  <c r="A6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Q4" i="11"/>
  <c r="P4" i="11"/>
  <c r="O4" i="11"/>
  <c r="N4" i="11"/>
  <c r="L4" i="11"/>
  <c r="K4" i="11"/>
  <c r="J4" i="11"/>
  <c r="I4" i="11"/>
  <c r="H4" i="11"/>
  <c r="G4" i="11"/>
  <c r="F4" i="11"/>
  <c r="E4" i="11"/>
  <c r="D4" i="11"/>
  <c r="C4" i="11"/>
  <c r="B4" i="11"/>
  <c r="A4" i="11"/>
  <c r="Q3" i="11"/>
  <c r="P3" i="11"/>
  <c r="O3" i="11"/>
  <c r="N3" i="11"/>
  <c r="L3" i="11"/>
  <c r="K3" i="11"/>
  <c r="J3" i="11"/>
  <c r="I3" i="11"/>
  <c r="H3" i="11"/>
  <c r="G3" i="11"/>
  <c r="F3" i="11"/>
  <c r="E3" i="11"/>
  <c r="D3" i="11"/>
  <c r="C3" i="11"/>
  <c r="B3" i="11"/>
  <c r="A3" i="11"/>
  <c r="Q2" i="11"/>
  <c r="P2" i="11"/>
  <c r="O2" i="11"/>
  <c r="N2" i="11"/>
  <c r="L2" i="11"/>
  <c r="K2" i="11"/>
  <c r="J2" i="11"/>
  <c r="I2" i="11"/>
  <c r="H2" i="11"/>
  <c r="G2" i="11"/>
  <c r="F2" i="11"/>
  <c r="E2" i="11"/>
  <c r="D2" i="11"/>
  <c r="C2" i="11"/>
  <c r="B2" i="11"/>
  <c r="A2" i="11"/>
  <c r="I27" i="9"/>
  <c r="J26" i="9"/>
  <c r="C24" i="9"/>
  <c r="B21" i="9"/>
  <c r="E15" i="9"/>
  <c r="C8" i="9"/>
  <c r="D32" i="9" s="1"/>
  <c r="C7" i="9"/>
  <c r="C6" i="9"/>
  <c r="C5" i="9"/>
  <c r="C4" i="9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07" i="11" s="1"/>
  <c r="M7" i="8"/>
  <c r="M706" i="11" s="1"/>
  <c r="M6" i="8"/>
  <c r="M705" i="11" s="1"/>
  <c r="M5" i="8"/>
  <c r="M704" i="11" s="1"/>
  <c r="M4" i="8"/>
  <c r="M703" i="11" s="1"/>
  <c r="M3" i="8"/>
  <c r="M702" i="11" s="1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607" i="11" s="1"/>
  <c r="M7" i="7"/>
  <c r="M606" i="11" s="1"/>
  <c r="M6" i="7"/>
  <c r="M605" i="11" s="1"/>
  <c r="M5" i="7"/>
  <c r="M604" i="11" s="1"/>
  <c r="M4" i="7"/>
  <c r="M603" i="11" s="1"/>
  <c r="M3" i="7"/>
  <c r="M602" i="11" s="1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507" i="11" s="1"/>
  <c r="M7" i="6"/>
  <c r="M506" i="11" s="1"/>
  <c r="M6" i="6"/>
  <c r="M505" i="11" s="1"/>
  <c r="M5" i="6"/>
  <c r="M504" i="11" s="1"/>
  <c r="M4" i="6"/>
  <c r="M503" i="11" s="1"/>
  <c r="M3" i="6"/>
  <c r="M502" i="11" s="1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407" i="11" s="1"/>
  <c r="M7" i="5"/>
  <c r="M406" i="11" s="1"/>
  <c r="M6" i="5"/>
  <c r="M5" i="5"/>
  <c r="M404" i="11" s="1"/>
  <c r="M4" i="5"/>
  <c r="M403" i="11" s="1"/>
  <c r="M3" i="5"/>
  <c r="M402" i="11" s="1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307" i="11" s="1"/>
  <c r="M7" i="4"/>
  <c r="M306" i="11" s="1"/>
  <c r="M6" i="4"/>
  <c r="M305" i="11" s="1"/>
  <c r="M5" i="4"/>
  <c r="M304" i="11" s="1"/>
  <c r="M4" i="4"/>
  <c r="M303" i="11" s="1"/>
  <c r="M3" i="4"/>
  <c r="M302" i="11" s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207" i="11" s="1"/>
  <c r="M7" i="3"/>
  <c r="M206" i="11" s="1"/>
  <c r="M6" i="3"/>
  <c r="M5" i="3"/>
  <c r="M204" i="11" s="1"/>
  <c r="M4" i="3"/>
  <c r="M203" i="11" s="1"/>
  <c r="M3" i="3"/>
  <c r="M202" i="11" s="1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107" i="11" s="1"/>
  <c r="M7" i="2"/>
  <c r="M106" i="11" s="1"/>
  <c r="M6" i="2"/>
  <c r="M105" i="11" s="1"/>
  <c r="M5" i="2"/>
  <c r="M104" i="11" s="1"/>
  <c r="M4" i="2"/>
  <c r="M103" i="11" s="1"/>
  <c r="M3" i="2"/>
  <c r="M102" i="11" s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1" s="1"/>
  <c r="M7" i="1"/>
  <c r="M6" i="11" s="1"/>
  <c r="M6" i="1"/>
  <c r="M5" i="1"/>
  <c r="M4" i="11" s="1"/>
  <c r="M4" i="1"/>
  <c r="M3" i="11" s="1"/>
  <c r="M3" i="1"/>
  <c r="M2" i="11" s="1"/>
  <c r="C28" i="9" l="1"/>
  <c r="H21" i="9"/>
  <c r="B29" i="9"/>
  <c r="B13" i="9"/>
  <c r="J22" i="9"/>
  <c r="B30" i="9"/>
  <c r="E8" i="9"/>
  <c r="C32" i="9"/>
  <c r="K13" i="9"/>
  <c r="I23" i="9"/>
  <c r="D22" i="9"/>
  <c r="E4" i="9"/>
  <c r="N13" i="9"/>
  <c r="H14" i="9"/>
  <c r="D26" i="9"/>
  <c r="L15" i="9"/>
  <c r="B25" i="9"/>
  <c r="D31" i="9"/>
  <c r="K16" i="9"/>
  <c r="H25" i="9"/>
  <c r="C13" i="9"/>
  <c r="D13" i="9" s="1"/>
  <c r="B14" i="9"/>
  <c r="N14" i="9"/>
  <c r="L16" i="9"/>
  <c r="I21" i="9"/>
  <c r="B23" i="9"/>
  <c r="D24" i="9"/>
  <c r="I25" i="9"/>
  <c r="B27" i="9"/>
  <c r="D28" i="9"/>
  <c r="C30" i="9"/>
  <c r="C14" i="9"/>
  <c r="B15" i="9"/>
  <c r="N15" i="9"/>
  <c r="J21" i="9"/>
  <c r="C23" i="9"/>
  <c r="H24" i="9"/>
  <c r="J25" i="9"/>
  <c r="C27" i="9"/>
  <c r="H28" i="9"/>
  <c r="D30" i="9"/>
  <c r="E13" i="9"/>
  <c r="C15" i="9"/>
  <c r="B16" i="9"/>
  <c r="N16" i="9"/>
  <c r="B22" i="9"/>
  <c r="D23" i="9"/>
  <c r="I24" i="9"/>
  <c r="B26" i="9"/>
  <c r="D27" i="9"/>
  <c r="I28" i="9"/>
  <c r="B31" i="9"/>
  <c r="H13" i="9"/>
  <c r="E14" i="9"/>
  <c r="C16" i="9"/>
  <c r="H17" i="9"/>
  <c r="C22" i="9"/>
  <c r="H23" i="9"/>
  <c r="J24" i="9"/>
  <c r="C26" i="9"/>
  <c r="H27" i="9"/>
  <c r="J28" i="9"/>
  <c r="C31" i="9"/>
  <c r="H4" i="9"/>
  <c r="K4" i="9" s="1"/>
  <c r="H8" i="9"/>
  <c r="L13" i="9"/>
  <c r="M13" i="9" s="1"/>
  <c r="K14" i="9"/>
  <c r="H15" i="9"/>
  <c r="E16" i="9"/>
  <c r="C21" i="9"/>
  <c r="H22" i="9"/>
  <c r="J23" i="9"/>
  <c r="C25" i="9"/>
  <c r="H26" i="9"/>
  <c r="J27" i="9"/>
  <c r="C29" i="9"/>
  <c r="B32" i="9"/>
  <c r="K8" i="9"/>
  <c r="L14" i="9"/>
  <c r="K15" i="9"/>
  <c r="M15" i="9" s="1"/>
  <c r="H16" i="9"/>
  <c r="D21" i="9"/>
  <c r="I22" i="9"/>
  <c r="B24" i="9"/>
  <c r="D25" i="9"/>
  <c r="I26" i="9"/>
  <c r="B28" i="9"/>
  <c r="D29" i="9"/>
  <c r="N4" i="9" l="1"/>
  <c r="D14" i="9"/>
  <c r="M16" i="9"/>
  <c r="D15" i="9"/>
  <c r="M14" i="9"/>
  <c r="D16" i="9"/>
</calcChain>
</file>

<file path=xl/sharedStrings.xml><?xml version="1.0" encoding="utf-8"?>
<sst xmlns="http://schemas.openxmlformats.org/spreadsheetml/2006/main" count="1788" uniqueCount="222">
  <si>
    <t>Country_1 M&amp;E Tracker</t>
  </si>
  <si>
    <t>Output Indicator ID</t>
  </si>
  <si>
    <t>Output Indicator Description</t>
  </si>
  <si>
    <t>Activity ID</t>
  </si>
  <si>
    <t>Activity Name</t>
  </si>
  <si>
    <t>Component</t>
  </si>
  <si>
    <t>Country of Implementation</t>
  </si>
  <si>
    <t>Start Date</t>
  </si>
  <si>
    <t>End Date</t>
  </si>
  <si>
    <t>Program Year</t>
  </si>
  <si>
    <t>Quarter of Implementation</t>
  </si>
  <si>
    <t>Planned Number of Participants</t>
  </si>
  <si>
    <t>Actual Number of Participants</t>
  </si>
  <si>
    <t>% Achievement</t>
  </si>
  <si>
    <t>Means of Verification (Primary)</t>
  </si>
  <si>
    <t>Use Second Verification? (Yes/No)</t>
  </si>
  <si>
    <t>Status</t>
  </si>
  <si>
    <t>Comments / Risks / Issues</t>
  </si>
  <si>
    <t>OI-101</t>
  </si>
  <si>
    <t>People trained in targeted skills</t>
  </si>
  <si>
    <t>C1A001</t>
  </si>
  <si>
    <t>Training workshop 1</t>
  </si>
  <si>
    <t>Training</t>
  </si>
  <si>
    <t>Country_1</t>
  </si>
  <si>
    <t>Year 1</t>
  </si>
  <si>
    <t>Y1Q1</t>
  </si>
  <si>
    <t>Signed attendance sheet; pre/post test forms</t>
  </si>
  <si>
    <t>No</t>
  </si>
  <si>
    <t>Completed</t>
  </si>
  <si>
    <t>Completed as scheduled.</t>
  </si>
  <si>
    <t>OI-102</t>
  </si>
  <si>
    <t>Community outreach events delivered</t>
  </si>
  <si>
    <t>C1A002</t>
  </si>
  <si>
    <t>Community outreach campaign 2</t>
  </si>
  <si>
    <t>Outreach</t>
  </si>
  <si>
    <t>Y1Q2</t>
  </si>
  <si>
    <t>Activity report; photo log</t>
  </si>
  <si>
    <t>Yes</t>
  </si>
  <si>
    <t>OI-103</t>
  </si>
  <si>
    <t>Supportive supervision visits conducted</t>
  </si>
  <si>
    <t>C1A003</t>
  </si>
  <si>
    <t>Supportive supervision visit 3</t>
  </si>
  <si>
    <t>Monitoring</t>
  </si>
  <si>
    <t>Y1Q3</t>
  </si>
  <si>
    <t>Supervision checklist; visit report</t>
  </si>
  <si>
    <t>OI-104</t>
  </si>
  <si>
    <t>Policy dialogues facilitated</t>
  </si>
  <si>
    <t>C1A004</t>
  </si>
  <si>
    <t>Policy dialogue 4</t>
  </si>
  <si>
    <t>Advocacy</t>
  </si>
  <si>
    <t>Y1Q4</t>
  </si>
  <si>
    <t>Meeting minutes; participant list</t>
  </si>
  <si>
    <t>In progress</t>
  </si>
  <si>
    <t>Final attendance reconciliation pending.</t>
  </si>
  <si>
    <t>C1A005</t>
  </si>
  <si>
    <t>Training workshop 5</t>
  </si>
  <si>
    <t>Year 2</t>
  </si>
  <si>
    <t>Y2Q1</t>
  </si>
  <si>
    <t>C1A006</t>
  </si>
  <si>
    <t>Community outreach campaign 6</t>
  </si>
  <si>
    <t>Y2Q2</t>
  </si>
  <si>
    <t>Second Verification Tracker</t>
  </si>
  <si>
    <t>Second Verification Type</t>
  </si>
  <si>
    <t>Verification Description</t>
  </si>
  <si>
    <t>Verification Date</t>
  </si>
  <si>
    <t>Verification Status</t>
  </si>
  <si>
    <t>Verification File Reference / Link</t>
  </si>
  <si>
    <t>Digital Verification</t>
  </si>
  <si>
    <t>Digital Verification completed for C1A002</t>
  </si>
  <si>
    <t>Complete</t>
  </si>
  <si>
    <t>Ref/Country_1/C1A002</t>
  </si>
  <si>
    <t>Phone Check</t>
  </si>
  <si>
    <t>Phone Check scheduled / under review for C1A005</t>
  </si>
  <si>
    <t>In Review</t>
  </si>
  <si>
    <t>Ref/Country_1/C1A005</t>
  </si>
  <si>
    <t>Country_2 M&amp;E Tracker</t>
  </si>
  <si>
    <t>C2A001</t>
  </si>
  <si>
    <t>Community outreach campaign 1</t>
  </si>
  <si>
    <t>Country_2</t>
  </si>
  <si>
    <t>Y2Q3</t>
  </si>
  <si>
    <t>C2A002</t>
  </si>
  <si>
    <t>Supportive supervision visit 2</t>
  </si>
  <si>
    <t>Y2Q4</t>
  </si>
  <si>
    <t>C2A003</t>
  </si>
  <si>
    <t>Policy dialogue 3</t>
  </si>
  <si>
    <t>Year 3</t>
  </si>
  <si>
    <t>Y3Q1</t>
  </si>
  <si>
    <t>C2A004</t>
  </si>
  <si>
    <t>Training workshop 4</t>
  </si>
  <si>
    <t>Y3Q2</t>
  </si>
  <si>
    <t>C2A005</t>
  </si>
  <si>
    <t>Community outreach campaign 5</t>
  </si>
  <si>
    <t>Y3Q3</t>
  </si>
  <si>
    <t>Not started</t>
  </si>
  <si>
    <t>Planned for a future quarter.</t>
  </si>
  <si>
    <t>C2A006</t>
  </si>
  <si>
    <t>Supportive supervision visit 6</t>
  </si>
  <si>
    <t>Y3Q4</t>
  </si>
  <si>
    <t>Digital Verification scheduled / under review for C2A001</t>
  </si>
  <si>
    <t>Ref/Country_2/C2A001</t>
  </si>
  <si>
    <t>Phone Check completed for C2A004</t>
  </si>
  <si>
    <t>Ref/Country_2/C2A004</t>
  </si>
  <si>
    <t>Country_3 M&amp;E Tracker</t>
  </si>
  <si>
    <t>C3A001</t>
  </si>
  <si>
    <t>Supportive supervision visit 1</t>
  </si>
  <si>
    <t>Country_3</t>
  </si>
  <si>
    <t>C3A002</t>
  </si>
  <si>
    <t>Policy dialogue 2</t>
  </si>
  <si>
    <t>C3A003</t>
  </si>
  <si>
    <t>Training workshop 3</t>
  </si>
  <si>
    <t>C3A004</t>
  </si>
  <si>
    <t>Community outreach campaign 4</t>
  </si>
  <si>
    <t>C3A005</t>
  </si>
  <si>
    <t>Supportive supervision visit 5</t>
  </si>
  <si>
    <t>C3A006</t>
  </si>
  <si>
    <t>Policy dialogue 6</t>
  </si>
  <si>
    <t>Phone Check completed for C3A003</t>
  </si>
  <si>
    <t>Ref/Country_3/C3A003</t>
  </si>
  <si>
    <t>Site Visit</t>
  </si>
  <si>
    <t>Site Visit scheduled / under review for C3A006</t>
  </si>
  <si>
    <t>Ref/Country_3/C3A006</t>
  </si>
  <si>
    <t>Country_4 M&amp;E Tracker</t>
  </si>
  <si>
    <t>C4A001</t>
  </si>
  <si>
    <t>Policy dialogue 1</t>
  </si>
  <si>
    <t>Country_4</t>
  </si>
  <si>
    <t>C4A002</t>
  </si>
  <si>
    <t>Training workshop 2</t>
  </si>
  <si>
    <t>C4A003</t>
  </si>
  <si>
    <t>Community outreach campaign 3</t>
  </si>
  <si>
    <t>C4A004</t>
  </si>
  <si>
    <t>Supportive supervision visit 4</t>
  </si>
  <si>
    <t>C4A005</t>
  </si>
  <si>
    <t>Policy dialogue 5</t>
  </si>
  <si>
    <t>C4A006</t>
  </si>
  <si>
    <t>Training workshop 6</t>
  </si>
  <si>
    <t>Phone Check scheduled / under review for C4A002</t>
  </si>
  <si>
    <t>Ref/Country_4/C4A002</t>
  </si>
  <si>
    <t>Site Visit scheduled / under review for C4A005</t>
  </si>
  <si>
    <t>Pending</t>
  </si>
  <si>
    <t>Ref/Country_4/C4A005</t>
  </si>
  <si>
    <t>Country_5 M&amp;E Tracker</t>
  </si>
  <si>
    <t>C5A001</t>
  </si>
  <si>
    <t>Country_5</t>
  </si>
  <si>
    <t>C5A002</t>
  </si>
  <si>
    <t>C5A003</t>
  </si>
  <si>
    <t>C5A004</t>
  </si>
  <si>
    <t>C5A005</t>
  </si>
  <si>
    <t>C5A006</t>
  </si>
  <si>
    <t>Phone Check completed for C5A001</t>
  </si>
  <si>
    <t>Ref/Country_5/C5A001</t>
  </si>
  <si>
    <t>Site Visit completed for C5A004</t>
  </si>
  <si>
    <t>Ref/Country_5/C5A004</t>
  </si>
  <si>
    <t>Country_6 M&amp;E Tracker</t>
  </si>
  <si>
    <t>C6A001</t>
  </si>
  <si>
    <t>Country_6</t>
  </si>
  <si>
    <t>C6A002</t>
  </si>
  <si>
    <t>C6A003</t>
  </si>
  <si>
    <t>C6A004</t>
  </si>
  <si>
    <t>C6A005</t>
  </si>
  <si>
    <t>C6A006</t>
  </si>
  <si>
    <t>Site Visit scheduled / under review for C6A003</t>
  </si>
  <si>
    <t>Ref/Country_6/C6A003</t>
  </si>
  <si>
    <t>Document Review</t>
  </si>
  <si>
    <t>Document Review scheduled / under review for C6A006</t>
  </si>
  <si>
    <t>Ref/Country_6/C6A006</t>
  </si>
  <si>
    <t>Country_7 M&amp;E Tracker</t>
  </si>
  <si>
    <t>C7A001</t>
  </si>
  <si>
    <t>Country_7</t>
  </si>
  <si>
    <t>C7A002</t>
  </si>
  <si>
    <t>C7A003</t>
  </si>
  <si>
    <t>C7A004</t>
  </si>
  <si>
    <t>C7A005</t>
  </si>
  <si>
    <t>C7A006</t>
  </si>
  <si>
    <t>Site Visit completed for C7A002</t>
  </si>
  <si>
    <t>Ref/Country_7/C7A002</t>
  </si>
  <si>
    <t>Document Review scheduled / under review for C7A005</t>
  </si>
  <si>
    <t>Ref/Country_7/C7A005</t>
  </si>
  <si>
    <t>Country_8 M&amp;E Tracker</t>
  </si>
  <si>
    <t>C8A001</t>
  </si>
  <si>
    <t>Country_8</t>
  </si>
  <si>
    <t>C8A002</t>
  </si>
  <si>
    <t>C8A003</t>
  </si>
  <si>
    <t>C8A004</t>
  </si>
  <si>
    <t>C8A005</t>
  </si>
  <si>
    <t>C8A006</t>
  </si>
  <si>
    <t>Site Visit completed for C8A001</t>
  </si>
  <si>
    <t>Ref/Country_8/C8A001</t>
  </si>
  <si>
    <t>Document Review scheduled / under review for C8A004</t>
  </si>
  <si>
    <t>Ref/Country_8/C8A004</t>
  </si>
  <si>
    <t>Monitoring &amp; Evaluation Dashboard</t>
  </si>
  <si>
    <t>Filters</t>
  </si>
  <si>
    <t>Total Planned Participants</t>
  </si>
  <si>
    <t>Total Actual Participants</t>
  </si>
  <si>
    <t>Activities</t>
  </si>
  <si>
    <t>Country</t>
  </si>
  <si>
    <t>All</t>
  </si>
  <si>
    <t>Delayed</t>
  </si>
  <si>
    <t>2nd Verification Needed</t>
  </si>
  <si>
    <t>Tip: edit country sheets and refresh formulas by opening in Excel.</t>
  </si>
  <si>
    <t>Quarter</t>
  </si>
  <si>
    <t>By Component</t>
  </si>
  <si>
    <t>Status Breakdown</t>
  </si>
  <si>
    <t>By Output Indicator</t>
  </si>
  <si>
    <t>Planned</t>
  </si>
  <si>
    <t>Actual</t>
  </si>
  <si>
    <t>% Ach.</t>
  </si>
  <si>
    <t>Count</t>
  </si>
  <si>
    <t>Indicator</t>
  </si>
  <si>
    <t>Cancelled</t>
  </si>
  <si>
    <t>By Program Quarter</t>
  </si>
  <si>
    <t>By Country</t>
  </si>
  <si>
    <t>Dashboard notes: filters work like slicers. Replace the sample rows on each country sheet with your own data inside the blue-font input cells.</t>
  </si>
  <si>
    <t>Filter list locations</t>
  </si>
  <si>
    <t>A: Countries</t>
  </si>
  <si>
    <t>B: Components</t>
  </si>
  <si>
    <t>C: Indicators</t>
  </si>
  <si>
    <t>D: Program Years</t>
  </si>
  <si>
    <t>E: Quarters</t>
  </si>
  <si>
    <t>F: Statuses</t>
  </si>
  <si>
    <t>G: Yes/No</t>
  </si>
  <si>
    <t>H: Verification Types</t>
  </si>
  <si>
    <t>I: Verification Statuses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</si>
</sst>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6"/>
      <color rgb="FFFFFFFF"/>
      <name val="Calibri"/>
    </font>
    <font>
      <b/>
      <sz val="16"/>
      <color rgb="FF1F1F1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164" fontId="3" fillId="0" borderId="2" xfId="0" applyNumberFormat="1" applyFont="1" applyBorder="1"/>
    <xf numFmtId="3" fontId="3" fillId="0" borderId="2" xfId="0" applyNumberFormat="1" applyFont="1" applyBorder="1"/>
    <xf numFmtId="165" fontId="4" fillId="0" borderId="2" xfId="0" applyNumberFormat="1" applyFont="1" applyBorder="1"/>
    <xf numFmtId="0" fontId="2" fillId="3" borderId="0" xfId="0" applyFont="1" applyFill="1"/>
    <xf numFmtId="0" fontId="2" fillId="4" borderId="0" xfId="0" applyFont="1" applyFill="1"/>
    <xf numFmtId="0" fontId="0" fillId="5" borderId="0" xfId="0" applyFill="1" applyAlignment="1">
      <alignment horizontal="center"/>
    </xf>
    <xf numFmtId="0" fontId="2" fillId="3" borderId="3" xfId="0" applyFont="1" applyFill="1" applyBorder="1"/>
    <xf numFmtId="0" fontId="0" fillId="0" borderId="3" xfId="0" applyBorder="1"/>
    <xf numFmtId="0" fontId="1" fillId="2" borderId="3" xfId="0" applyFont="1" applyFill="1" applyBorder="1"/>
    <xf numFmtId="3" fontId="4" fillId="0" borderId="3" xfId="0" applyNumberFormat="1" applyFont="1" applyBorder="1"/>
    <xf numFmtId="165" fontId="4" fillId="0" borderId="3" xfId="0" applyNumberFormat="1" applyFont="1" applyBorder="1"/>
    <xf numFmtId="0" fontId="4" fillId="0" borderId="3" xfId="0" applyFont="1" applyBorder="1"/>
    <xf numFmtId="0" fontId="1" fillId="2" borderId="0" xfId="0" applyFont="1" applyFill="1"/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3" fontId="7" fillId="7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3" fontId="7" fillId="6" borderId="0" xfId="0" applyNumberFormat="1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0" fontId="0" fillId="9" borderId="0" xfId="0" applyFill="1" applyAlignment="1">
      <alignment wrapText="1"/>
    </xf>
    <xf numFmtId="3" fontId="7" fillId="8" borderId="0" xfId="0" applyNumberFormat="1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64">
    <dxf>
      <fill>
        <patternFill>
          <bgColor rgb="FFE7E6E6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Planned vs Actual by Component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Dashboard!$A$13:$A$16</c:f>
              <c:strCache>
                <c:ptCount val="4"/>
                <c:pt idx="0">
                  <c:v>Training</c:v>
                </c:pt>
                <c:pt idx="1">
                  <c:v>Outreach</c:v>
                </c:pt>
                <c:pt idx="2">
                  <c:v>Monitoring</c:v>
                </c:pt>
                <c:pt idx="3">
                  <c:v>Advocacy</c:v>
                </c:pt>
              </c:strCache>
            </c:strRef>
          </c:cat>
          <c:val>
            <c:numRef>
              <c:f>Dashboard!$B$13:$B$16</c:f>
              <c:numCache>
                <c:formatCode>#,##0</c:formatCode>
                <c:ptCount val="4"/>
                <c:pt idx="0">
                  <c:v>648</c:v>
                </c:pt>
                <c:pt idx="1">
                  <c:v>720</c:v>
                </c:pt>
                <c:pt idx="2">
                  <c:v>648</c:v>
                </c:pt>
                <c:pt idx="3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7-40A6-A2C3-DD84EDAF4790}"/>
            </c:ext>
          </c:extLst>
        </c:ser>
        <c:ser>
          <c:idx val="1"/>
          <c:order val="1"/>
          <c:tx>
            <c:strRef>
              <c:f>Dashboard!$C$12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Dashboard!$A$13:$A$16</c:f>
              <c:strCache>
                <c:ptCount val="4"/>
                <c:pt idx="0">
                  <c:v>Training</c:v>
                </c:pt>
                <c:pt idx="1">
                  <c:v>Outreach</c:v>
                </c:pt>
                <c:pt idx="2">
                  <c:v>Monitoring</c:v>
                </c:pt>
                <c:pt idx="3">
                  <c:v>Advocacy</c:v>
                </c:pt>
              </c:strCache>
            </c:strRef>
          </c:cat>
          <c:val>
            <c:numRef>
              <c:f>Dashboard!$C$13:$C$16</c:f>
            </c:numRef>
          </c:val>
          <c:extLst>
            <c:ext xmlns:c16="http://schemas.microsoft.com/office/drawing/2014/chart" uri="{C3380CC4-5D6E-409C-BE32-E72D297353CC}">
              <c16:uniqueId val="{00000001-1FF7-40A6-A2C3-DD84EDAF4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GB"/>
                  <a:t>Component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GB"/>
                  <a:t>Participants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Quarter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Dashboard!$A$21:$A$32</c:f>
              <c:strCache>
                <c:ptCount val="12"/>
                <c:pt idx="0">
                  <c:v>Y1Q1</c:v>
                </c:pt>
                <c:pt idx="1">
                  <c:v>Y1Q2</c:v>
                </c:pt>
                <c:pt idx="2">
                  <c:v>Y1Q3</c:v>
                </c:pt>
                <c:pt idx="3">
                  <c:v>Y1Q4</c:v>
                </c:pt>
                <c:pt idx="4">
                  <c:v>Y2Q1</c:v>
                </c:pt>
                <c:pt idx="5">
                  <c:v>Y2Q2</c:v>
                </c:pt>
                <c:pt idx="6">
                  <c:v>Y2Q3</c:v>
                </c:pt>
                <c:pt idx="7">
                  <c:v>Y2Q4</c:v>
                </c:pt>
                <c:pt idx="8">
                  <c:v>Y3Q1</c:v>
                </c:pt>
                <c:pt idx="9">
                  <c:v>Y3Q2</c:v>
                </c:pt>
                <c:pt idx="10">
                  <c:v>Y3Q3</c:v>
                </c:pt>
                <c:pt idx="11">
                  <c:v>Y3Q4</c:v>
                </c:pt>
              </c:strCache>
            </c:strRef>
          </c:cat>
          <c:val>
            <c:numRef>
              <c:f>Dashboard!$B$21:$B$32</c:f>
              <c:numCache>
                <c:formatCode>#,##0</c:formatCode>
                <c:ptCount val="12"/>
                <c:pt idx="0">
                  <c:v>202</c:v>
                </c:pt>
                <c:pt idx="1">
                  <c:v>222</c:v>
                </c:pt>
                <c:pt idx="2">
                  <c:v>192</c:v>
                </c:pt>
                <c:pt idx="3">
                  <c:v>212</c:v>
                </c:pt>
                <c:pt idx="4">
                  <c:v>232</c:v>
                </c:pt>
                <c:pt idx="5">
                  <c:v>202</c:v>
                </c:pt>
                <c:pt idx="6">
                  <c:v>230</c:v>
                </c:pt>
                <c:pt idx="7">
                  <c:v>200</c:v>
                </c:pt>
                <c:pt idx="8">
                  <c:v>220</c:v>
                </c:pt>
                <c:pt idx="9">
                  <c:v>240</c:v>
                </c:pt>
                <c:pt idx="10">
                  <c:v>210</c:v>
                </c:pt>
                <c:pt idx="11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5-42E8-8DBE-493BB6A267AA}"/>
            </c:ext>
          </c:extLst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Dashboard!$A$21:$A$32</c:f>
              <c:strCache>
                <c:ptCount val="12"/>
                <c:pt idx="0">
                  <c:v>Y1Q1</c:v>
                </c:pt>
                <c:pt idx="1">
                  <c:v>Y1Q2</c:v>
                </c:pt>
                <c:pt idx="2">
                  <c:v>Y1Q3</c:v>
                </c:pt>
                <c:pt idx="3">
                  <c:v>Y1Q4</c:v>
                </c:pt>
                <c:pt idx="4">
                  <c:v>Y2Q1</c:v>
                </c:pt>
                <c:pt idx="5">
                  <c:v>Y2Q2</c:v>
                </c:pt>
                <c:pt idx="6">
                  <c:v>Y2Q3</c:v>
                </c:pt>
                <c:pt idx="7">
                  <c:v>Y2Q4</c:v>
                </c:pt>
                <c:pt idx="8">
                  <c:v>Y3Q1</c:v>
                </c:pt>
                <c:pt idx="9">
                  <c:v>Y3Q2</c:v>
                </c:pt>
                <c:pt idx="10">
                  <c:v>Y3Q3</c:v>
                </c:pt>
                <c:pt idx="11">
                  <c:v>Y3Q4</c:v>
                </c:pt>
              </c:strCache>
            </c:strRef>
          </c:cat>
          <c:val>
            <c:numRef>
              <c:f>Dashboard!$C$21:$C$32</c:f>
            </c:numRef>
          </c:val>
          <c:smooth val="0"/>
          <c:extLst>
            <c:ext xmlns:c16="http://schemas.microsoft.com/office/drawing/2014/chart" uri="{C3380CC4-5D6E-409C-BE32-E72D297353CC}">
              <c16:uniqueId val="{00000001-FA55-42E8-8DBE-493BB6A26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GB"/>
                  <a:t>Quarter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GB"/>
                  <a:t>Participants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Status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Dashboard!$H$12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Dashboard!$G$13:$G$17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Delayed</c:v>
                </c:pt>
                <c:pt idx="4">
                  <c:v>Cancelled</c:v>
                </c:pt>
              </c:strCache>
            </c:strRef>
          </c:cat>
          <c:val>
            <c:numRef>
              <c:f>Dashboard!$H$13:$H$17</c:f>
              <c:numCache>
                <c:formatCode>General</c:formatCode>
                <c:ptCount val="5"/>
                <c:pt idx="0">
                  <c:v>8</c:v>
                </c:pt>
                <c:pt idx="1">
                  <c:v>18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3-41CE-AF9F-F259D51EB10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Actual Participants by Country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Dashboard!$I$20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Dashboard!$G$21:$G$28</c:f>
              <c:strCache>
                <c:ptCount val="8"/>
                <c:pt idx="0">
                  <c:v>Country_1</c:v>
                </c:pt>
                <c:pt idx="1">
                  <c:v>Country_2</c:v>
                </c:pt>
                <c:pt idx="2">
                  <c:v>Country_3</c:v>
                </c:pt>
                <c:pt idx="3">
                  <c:v>Country_4</c:v>
                </c:pt>
                <c:pt idx="4">
                  <c:v>Country_5</c:v>
                </c:pt>
                <c:pt idx="5">
                  <c:v>Country_6</c:v>
                </c:pt>
                <c:pt idx="6">
                  <c:v>Country_7</c:v>
                </c:pt>
                <c:pt idx="7">
                  <c:v>Country_8</c:v>
                </c:pt>
              </c:strCache>
            </c:strRef>
          </c:cat>
          <c:val>
            <c:numRef>
              <c:f>Dashboard!$I$21:$I$28</c:f>
              <c:numCache>
                <c:formatCode>#,##0</c:formatCode>
                <c:ptCount val="8"/>
                <c:pt idx="0">
                  <c:v>327</c:v>
                </c:pt>
                <c:pt idx="1">
                  <c:v>233</c:v>
                </c:pt>
                <c:pt idx="2">
                  <c:v>355</c:v>
                </c:pt>
                <c:pt idx="3">
                  <c:v>271</c:v>
                </c:pt>
                <c:pt idx="4">
                  <c:v>304</c:v>
                </c:pt>
                <c:pt idx="5">
                  <c:v>180</c:v>
                </c:pt>
                <c:pt idx="6">
                  <c:v>282</c:v>
                </c:pt>
                <c:pt idx="7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7-4887-95D1-9CDDFF14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GB"/>
                  <a:t>Participants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GB"/>
                  <a:t>Country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2</xdr:col>
      <xdr:colOff>0</xdr:colOff>
      <xdr:row>53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untry_1_Data" displayName="tbl_Country_1_Data" ref="A2:Q102">
  <autoFilter ref="A2:Q102" xr:uid="{00000000-0009-0000-0100-000001000000}"/>
  <tableColumns count="17">
    <tableColumn id="1" xr3:uid="{00000000-0010-0000-0000-000001000000}" name="Output Indicator ID"/>
    <tableColumn id="2" xr3:uid="{00000000-0010-0000-0000-000002000000}" name="Output Indicator Description"/>
    <tableColumn id="3" xr3:uid="{00000000-0010-0000-0000-000003000000}" name="Activity ID"/>
    <tableColumn id="4" xr3:uid="{00000000-0010-0000-0000-000004000000}" name="Activity Name"/>
    <tableColumn id="5" xr3:uid="{00000000-0010-0000-0000-000005000000}" name="Component"/>
    <tableColumn id="6" xr3:uid="{00000000-0010-0000-0000-000006000000}" name="Country of Implementation"/>
    <tableColumn id="7" xr3:uid="{00000000-0010-0000-0000-000007000000}" name="Start Date"/>
    <tableColumn id="8" xr3:uid="{00000000-0010-0000-0000-000008000000}" name="End Date"/>
    <tableColumn id="9" xr3:uid="{00000000-0010-0000-0000-000009000000}" name="Program Year"/>
    <tableColumn id="10" xr3:uid="{00000000-0010-0000-0000-00000A000000}" name="Quarter of Implementation"/>
    <tableColumn id="11" xr3:uid="{00000000-0010-0000-0000-00000B000000}" name="Planned Number of Participants"/>
    <tableColumn id="12" xr3:uid="{00000000-0010-0000-0000-00000C000000}" name="Actual Number of Participants"/>
    <tableColumn id="13" xr3:uid="{00000000-0010-0000-0000-00000D000000}" name="% Achievement"/>
    <tableColumn id="14" xr3:uid="{00000000-0010-0000-0000-00000E000000}" name="Means of Verification (Primary)"/>
    <tableColumn id="15" xr3:uid="{00000000-0010-0000-0000-00000F000000}" name="Use Second Verification? (Yes/No)"/>
    <tableColumn id="16" xr3:uid="{00000000-0010-0000-0000-000010000000}" name="Status"/>
    <tableColumn id="17" xr3:uid="{00000000-0010-0000-0000-000011000000}" name="Comments / Risks / Issu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untry_1_Verif" displayName="tbl_Country_1_Verif" ref="A106:G166">
  <autoFilter ref="A106:G166" xr:uid="{00000000-0009-0000-0100-000002000000}"/>
  <tableColumns count="7">
    <tableColumn id="1" xr3:uid="{00000000-0010-0000-0100-000001000000}" name="Activity ID"/>
    <tableColumn id="2" xr3:uid="{00000000-0010-0000-0100-000002000000}" name="Output Indicator ID"/>
    <tableColumn id="3" xr3:uid="{00000000-0010-0000-0100-000003000000}" name="Second Verification Type"/>
    <tableColumn id="4" xr3:uid="{00000000-0010-0000-0100-000004000000}" name="Verification Description"/>
    <tableColumn id="5" xr3:uid="{00000000-0010-0000-0100-000005000000}" name="Verification Date"/>
    <tableColumn id="6" xr3:uid="{00000000-0010-0000-0100-000006000000}" name="Verification Status"/>
    <tableColumn id="7" xr3:uid="{00000000-0010-0000-0100-000007000000}" name="Verification File Reference / Link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untry_2_Data" displayName="tbl_Country_2_Data" ref="A2:Q102">
  <autoFilter ref="A2:Q102" xr:uid="{00000000-0009-0000-0100-000003000000}"/>
  <tableColumns count="17">
    <tableColumn id="1" xr3:uid="{00000000-0010-0000-0200-000001000000}" name="Output Indicator ID"/>
    <tableColumn id="2" xr3:uid="{00000000-0010-0000-0200-000002000000}" name="Output Indicator Description"/>
    <tableColumn id="3" xr3:uid="{00000000-0010-0000-0200-000003000000}" name="Activity ID"/>
    <tableColumn id="4" xr3:uid="{00000000-0010-0000-0200-000004000000}" name="Activity Name"/>
    <tableColumn id="5" xr3:uid="{00000000-0010-0000-0200-000005000000}" name="Component"/>
    <tableColumn id="6" xr3:uid="{00000000-0010-0000-0200-000006000000}" name="Country of Implementation"/>
    <tableColumn id="7" xr3:uid="{00000000-0010-0000-0200-000007000000}" name="Start Date"/>
    <tableColumn id="8" xr3:uid="{00000000-0010-0000-0200-000008000000}" name="End Date"/>
    <tableColumn id="9" xr3:uid="{00000000-0010-0000-0200-000009000000}" name="Program Year"/>
    <tableColumn id="10" xr3:uid="{00000000-0010-0000-0200-00000A000000}" name="Quarter of Implementation"/>
    <tableColumn id="11" xr3:uid="{00000000-0010-0000-0200-00000B000000}" name="Planned Number of Participants"/>
    <tableColumn id="12" xr3:uid="{00000000-0010-0000-0200-00000C000000}" name="Actual Number of Participants"/>
    <tableColumn id="13" xr3:uid="{00000000-0010-0000-0200-00000D000000}" name="% Achievement"/>
    <tableColumn id="14" xr3:uid="{00000000-0010-0000-0200-00000E000000}" name="Means of Verification (Primary)"/>
    <tableColumn id="15" xr3:uid="{00000000-0010-0000-0200-00000F000000}" name="Use Second Verification? (Yes/No)"/>
    <tableColumn id="16" xr3:uid="{00000000-0010-0000-0200-000010000000}" name="Status"/>
    <tableColumn id="17" xr3:uid="{00000000-0010-0000-0200-000011000000}" name="Comments / Risks / Issu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untry_2_Verif" displayName="tbl_Country_2_Verif" ref="A106:G166">
  <autoFilter ref="A106:G166" xr:uid="{00000000-0009-0000-0100-000004000000}"/>
  <tableColumns count="7">
    <tableColumn id="1" xr3:uid="{00000000-0010-0000-0300-000001000000}" name="Activity ID"/>
    <tableColumn id="2" xr3:uid="{00000000-0010-0000-0300-000002000000}" name="Output Indicator ID"/>
    <tableColumn id="3" xr3:uid="{00000000-0010-0000-0300-000003000000}" name="Second Verification Type"/>
    <tableColumn id="4" xr3:uid="{00000000-0010-0000-0300-000004000000}" name="Verification Description"/>
    <tableColumn id="5" xr3:uid="{00000000-0010-0000-0300-000005000000}" name="Verification Date"/>
    <tableColumn id="6" xr3:uid="{00000000-0010-0000-0300-000006000000}" name="Verification Status"/>
    <tableColumn id="7" xr3:uid="{00000000-0010-0000-0300-000007000000}" name="Verification File Reference / Link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ountry_3_Data" displayName="tbl_Country_3_Data" ref="A2:Q102">
  <autoFilter ref="A2:Q102" xr:uid="{00000000-0009-0000-0100-000005000000}"/>
  <tableColumns count="17">
    <tableColumn id="1" xr3:uid="{00000000-0010-0000-0400-000001000000}" name="Output Indicator ID"/>
    <tableColumn id="2" xr3:uid="{00000000-0010-0000-0400-000002000000}" name="Output Indicator Description"/>
    <tableColumn id="3" xr3:uid="{00000000-0010-0000-0400-000003000000}" name="Activity ID"/>
    <tableColumn id="4" xr3:uid="{00000000-0010-0000-0400-000004000000}" name="Activity Name"/>
    <tableColumn id="5" xr3:uid="{00000000-0010-0000-0400-000005000000}" name="Component"/>
    <tableColumn id="6" xr3:uid="{00000000-0010-0000-0400-000006000000}" name="Country of Implementation"/>
    <tableColumn id="7" xr3:uid="{00000000-0010-0000-0400-000007000000}" name="Start Date"/>
    <tableColumn id="8" xr3:uid="{00000000-0010-0000-0400-000008000000}" name="End Date"/>
    <tableColumn id="9" xr3:uid="{00000000-0010-0000-0400-000009000000}" name="Program Year"/>
    <tableColumn id="10" xr3:uid="{00000000-0010-0000-0400-00000A000000}" name="Quarter of Implementation"/>
    <tableColumn id="11" xr3:uid="{00000000-0010-0000-0400-00000B000000}" name="Planned Number of Participants"/>
    <tableColumn id="12" xr3:uid="{00000000-0010-0000-0400-00000C000000}" name="Actual Number of Participants"/>
    <tableColumn id="13" xr3:uid="{00000000-0010-0000-0400-00000D000000}" name="% Achievement"/>
    <tableColumn id="14" xr3:uid="{00000000-0010-0000-0400-00000E000000}" name="Means of Verification (Primary)"/>
    <tableColumn id="15" xr3:uid="{00000000-0010-0000-0400-00000F000000}" name="Use Second Verification? (Yes/No)"/>
    <tableColumn id="16" xr3:uid="{00000000-0010-0000-0400-000010000000}" name="Status"/>
    <tableColumn id="17" xr3:uid="{00000000-0010-0000-0400-000011000000}" name="Comments / Risks / Issu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ountry_3_Verif" displayName="tbl_Country_3_Verif" ref="A106:G166">
  <autoFilter ref="A106:G166" xr:uid="{00000000-0009-0000-0100-000006000000}"/>
  <tableColumns count="7">
    <tableColumn id="1" xr3:uid="{00000000-0010-0000-0500-000001000000}" name="Activity ID"/>
    <tableColumn id="2" xr3:uid="{00000000-0010-0000-0500-000002000000}" name="Output Indicator ID"/>
    <tableColumn id="3" xr3:uid="{00000000-0010-0000-0500-000003000000}" name="Second Verification Type"/>
    <tableColumn id="4" xr3:uid="{00000000-0010-0000-0500-000004000000}" name="Verification Description"/>
    <tableColumn id="5" xr3:uid="{00000000-0010-0000-0500-000005000000}" name="Verification Date"/>
    <tableColumn id="6" xr3:uid="{00000000-0010-0000-0500-000006000000}" name="Verification Status"/>
    <tableColumn id="7" xr3:uid="{00000000-0010-0000-0500-000007000000}" name="Verification File Reference / Link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ountry_4_Data" displayName="tbl_Country_4_Data" ref="A2:Q102">
  <autoFilter ref="A2:Q102" xr:uid="{00000000-0009-0000-0100-000007000000}"/>
  <tableColumns count="17">
    <tableColumn id="1" xr3:uid="{00000000-0010-0000-0600-000001000000}" name="Output Indicator ID"/>
    <tableColumn id="2" xr3:uid="{00000000-0010-0000-0600-000002000000}" name="Output Indicator Description"/>
    <tableColumn id="3" xr3:uid="{00000000-0010-0000-0600-000003000000}" name="Activity ID"/>
    <tableColumn id="4" xr3:uid="{00000000-0010-0000-0600-000004000000}" name="Activity Name"/>
    <tableColumn id="5" xr3:uid="{00000000-0010-0000-0600-000005000000}" name="Component"/>
    <tableColumn id="6" xr3:uid="{00000000-0010-0000-0600-000006000000}" name="Country of Implementation"/>
    <tableColumn id="7" xr3:uid="{00000000-0010-0000-0600-000007000000}" name="Start Date"/>
    <tableColumn id="8" xr3:uid="{00000000-0010-0000-0600-000008000000}" name="End Date"/>
    <tableColumn id="9" xr3:uid="{00000000-0010-0000-0600-000009000000}" name="Program Year"/>
    <tableColumn id="10" xr3:uid="{00000000-0010-0000-0600-00000A000000}" name="Quarter of Implementation"/>
    <tableColumn id="11" xr3:uid="{00000000-0010-0000-0600-00000B000000}" name="Planned Number of Participants"/>
    <tableColumn id="12" xr3:uid="{00000000-0010-0000-0600-00000C000000}" name="Actual Number of Participants"/>
    <tableColumn id="13" xr3:uid="{00000000-0010-0000-0600-00000D000000}" name="% Achievement"/>
    <tableColumn id="14" xr3:uid="{00000000-0010-0000-0600-00000E000000}" name="Means of Verification (Primary)"/>
    <tableColumn id="15" xr3:uid="{00000000-0010-0000-0600-00000F000000}" name="Use Second Verification? (Yes/No)"/>
    <tableColumn id="16" xr3:uid="{00000000-0010-0000-0600-000010000000}" name="Status"/>
    <tableColumn id="17" xr3:uid="{00000000-0010-0000-0600-000011000000}" name="Comments / Risks / Issu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Country_4_Verif" displayName="tbl_Country_4_Verif" ref="A106:G166">
  <autoFilter ref="A106:G166" xr:uid="{00000000-0009-0000-0100-000008000000}"/>
  <tableColumns count="7">
    <tableColumn id="1" xr3:uid="{00000000-0010-0000-0700-000001000000}" name="Activity ID"/>
    <tableColumn id="2" xr3:uid="{00000000-0010-0000-0700-000002000000}" name="Output Indicator ID"/>
    <tableColumn id="3" xr3:uid="{00000000-0010-0000-0700-000003000000}" name="Second Verification Type"/>
    <tableColumn id="4" xr3:uid="{00000000-0010-0000-0700-000004000000}" name="Verification Description"/>
    <tableColumn id="5" xr3:uid="{00000000-0010-0000-0700-000005000000}" name="Verification Date"/>
    <tableColumn id="6" xr3:uid="{00000000-0010-0000-0700-000006000000}" name="Verification Status"/>
    <tableColumn id="7" xr3:uid="{00000000-0010-0000-0700-000007000000}" name="Verification File Reference / Link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Country_5_Data" displayName="tbl_Country_5_Data" ref="A2:Q102">
  <autoFilter ref="A2:Q102" xr:uid="{00000000-0009-0000-0100-000009000000}"/>
  <tableColumns count="17">
    <tableColumn id="1" xr3:uid="{00000000-0010-0000-0800-000001000000}" name="Output Indicator ID"/>
    <tableColumn id="2" xr3:uid="{00000000-0010-0000-0800-000002000000}" name="Output Indicator Description"/>
    <tableColumn id="3" xr3:uid="{00000000-0010-0000-0800-000003000000}" name="Activity ID"/>
    <tableColumn id="4" xr3:uid="{00000000-0010-0000-0800-000004000000}" name="Activity Name"/>
    <tableColumn id="5" xr3:uid="{00000000-0010-0000-0800-000005000000}" name="Component"/>
    <tableColumn id="6" xr3:uid="{00000000-0010-0000-0800-000006000000}" name="Country of Implementation"/>
    <tableColumn id="7" xr3:uid="{00000000-0010-0000-0800-000007000000}" name="Start Date"/>
    <tableColumn id="8" xr3:uid="{00000000-0010-0000-0800-000008000000}" name="End Date"/>
    <tableColumn id="9" xr3:uid="{00000000-0010-0000-0800-000009000000}" name="Program Year"/>
    <tableColumn id="10" xr3:uid="{00000000-0010-0000-0800-00000A000000}" name="Quarter of Implementation"/>
    <tableColumn id="11" xr3:uid="{00000000-0010-0000-0800-00000B000000}" name="Planned Number of Participants"/>
    <tableColumn id="12" xr3:uid="{00000000-0010-0000-0800-00000C000000}" name="Actual Number of Participants"/>
    <tableColumn id="13" xr3:uid="{00000000-0010-0000-0800-00000D000000}" name="% Achievement"/>
    <tableColumn id="14" xr3:uid="{00000000-0010-0000-0800-00000E000000}" name="Means of Verification (Primary)"/>
    <tableColumn id="15" xr3:uid="{00000000-0010-0000-0800-00000F000000}" name="Use Second Verification? (Yes/No)"/>
    <tableColumn id="16" xr3:uid="{00000000-0010-0000-0800-000010000000}" name="Status"/>
    <tableColumn id="17" xr3:uid="{00000000-0010-0000-0800-000011000000}" name="Comments / Risks / Issu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Country_5_Verif" displayName="tbl_Country_5_Verif" ref="A106:G166">
  <autoFilter ref="A106:G166" xr:uid="{00000000-0009-0000-0100-00000A000000}"/>
  <tableColumns count="7">
    <tableColumn id="1" xr3:uid="{00000000-0010-0000-0900-000001000000}" name="Activity ID"/>
    <tableColumn id="2" xr3:uid="{00000000-0010-0000-0900-000002000000}" name="Output Indicator ID"/>
    <tableColumn id="3" xr3:uid="{00000000-0010-0000-0900-000003000000}" name="Second Verification Type"/>
    <tableColumn id="4" xr3:uid="{00000000-0010-0000-0900-000004000000}" name="Verification Description"/>
    <tableColumn id="5" xr3:uid="{00000000-0010-0000-0900-000005000000}" name="Verification Date"/>
    <tableColumn id="6" xr3:uid="{00000000-0010-0000-0900-000006000000}" name="Verification Status"/>
    <tableColumn id="7" xr3:uid="{00000000-0010-0000-0900-000007000000}" name="Verification File Reference / Link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Country_6_Data" displayName="tbl_Country_6_Data" ref="A2:Q102">
  <autoFilter ref="A2:Q102" xr:uid="{00000000-0009-0000-0100-00000B000000}"/>
  <tableColumns count="17">
    <tableColumn id="1" xr3:uid="{00000000-0010-0000-0A00-000001000000}" name="Output Indicator ID"/>
    <tableColumn id="2" xr3:uid="{00000000-0010-0000-0A00-000002000000}" name="Output Indicator Description"/>
    <tableColumn id="3" xr3:uid="{00000000-0010-0000-0A00-000003000000}" name="Activity ID"/>
    <tableColumn id="4" xr3:uid="{00000000-0010-0000-0A00-000004000000}" name="Activity Name"/>
    <tableColumn id="5" xr3:uid="{00000000-0010-0000-0A00-000005000000}" name="Component"/>
    <tableColumn id="6" xr3:uid="{00000000-0010-0000-0A00-000006000000}" name="Country of Implementation"/>
    <tableColumn id="7" xr3:uid="{00000000-0010-0000-0A00-000007000000}" name="Start Date"/>
    <tableColumn id="8" xr3:uid="{00000000-0010-0000-0A00-000008000000}" name="End Date"/>
    <tableColumn id="9" xr3:uid="{00000000-0010-0000-0A00-000009000000}" name="Program Year"/>
    <tableColumn id="10" xr3:uid="{00000000-0010-0000-0A00-00000A000000}" name="Quarter of Implementation"/>
    <tableColumn id="11" xr3:uid="{00000000-0010-0000-0A00-00000B000000}" name="Planned Number of Participants"/>
    <tableColumn id="12" xr3:uid="{00000000-0010-0000-0A00-00000C000000}" name="Actual Number of Participants"/>
    <tableColumn id="13" xr3:uid="{00000000-0010-0000-0A00-00000D000000}" name="% Achievement"/>
    <tableColumn id="14" xr3:uid="{00000000-0010-0000-0A00-00000E000000}" name="Means of Verification (Primary)"/>
    <tableColumn id="15" xr3:uid="{00000000-0010-0000-0A00-00000F000000}" name="Use Second Verification? (Yes/No)"/>
    <tableColumn id="16" xr3:uid="{00000000-0010-0000-0A00-000010000000}" name="Status"/>
    <tableColumn id="17" xr3:uid="{00000000-0010-0000-0A00-000011000000}" name="Comments / Risks / Issu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Country_6_Verif" displayName="tbl_Country_6_Verif" ref="A106:G166">
  <autoFilter ref="A106:G166" xr:uid="{00000000-0009-0000-0100-00000C000000}"/>
  <tableColumns count="7">
    <tableColumn id="1" xr3:uid="{00000000-0010-0000-0B00-000001000000}" name="Activity ID"/>
    <tableColumn id="2" xr3:uid="{00000000-0010-0000-0B00-000002000000}" name="Output Indicator ID"/>
    <tableColumn id="3" xr3:uid="{00000000-0010-0000-0B00-000003000000}" name="Second Verification Type"/>
    <tableColumn id="4" xr3:uid="{00000000-0010-0000-0B00-000004000000}" name="Verification Description"/>
    <tableColumn id="5" xr3:uid="{00000000-0010-0000-0B00-000005000000}" name="Verification Date"/>
    <tableColumn id="6" xr3:uid="{00000000-0010-0000-0B00-000006000000}" name="Verification Status"/>
    <tableColumn id="7" xr3:uid="{00000000-0010-0000-0B00-000007000000}" name="Verification File Reference / Link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Country_7_Data" displayName="tbl_Country_7_Data" ref="A2:Q102">
  <autoFilter ref="A2:Q102" xr:uid="{00000000-0009-0000-0100-00000D000000}"/>
  <tableColumns count="17">
    <tableColumn id="1" xr3:uid="{00000000-0010-0000-0C00-000001000000}" name="Output Indicator ID"/>
    <tableColumn id="2" xr3:uid="{00000000-0010-0000-0C00-000002000000}" name="Output Indicator Description"/>
    <tableColumn id="3" xr3:uid="{00000000-0010-0000-0C00-000003000000}" name="Activity ID"/>
    <tableColumn id="4" xr3:uid="{00000000-0010-0000-0C00-000004000000}" name="Activity Name"/>
    <tableColumn id="5" xr3:uid="{00000000-0010-0000-0C00-000005000000}" name="Component"/>
    <tableColumn id="6" xr3:uid="{00000000-0010-0000-0C00-000006000000}" name="Country of Implementation"/>
    <tableColumn id="7" xr3:uid="{00000000-0010-0000-0C00-000007000000}" name="Start Date"/>
    <tableColumn id="8" xr3:uid="{00000000-0010-0000-0C00-000008000000}" name="End Date"/>
    <tableColumn id="9" xr3:uid="{00000000-0010-0000-0C00-000009000000}" name="Program Year"/>
    <tableColumn id="10" xr3:uid="{00000000-0010-0000-0C00-00000A000000}" name="Quarter of Implementation"/>
    <tableColumn id="11" xr3:uid="{00000000-0010-0000-0C00-00000B000000}" name="Planned Number of Participants"/>
    <tableColumn id="12" xr3:uid="{00000000-0010-0000-0C00-00000C000000}" name="Actual Number of Participants"/>
    <tableColumn id="13" xr3:uid="{00000000-0010-0000-0C00-00000D000000}" name="% Achievement"/>
    <tableColumn id="14" xr3:uid="{00000000-0010-0000-0C00-00000E000000}" name="Means of Verification (Primary)"/>
    <tableColumn id="15" xr3:uid="{00000000-0010-0000-0C00-00000F000000}" name="Use Second Verification? (Yes/No)"/>
    <tableColumn id="16" xr3:uid="{00000000-0010-0000-0C00-000010000000}" name="Status"/>
    <tableColumn id="17" xr3:uid="{00000000-0010-0000-0C00-000011000000}" name="Comments / Risks / Issu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Country_7_Verif" displayName="tbl_Country_7_Verif" ref="A106:G166">
  <autoFilter ref="A106:G166" xr:uid="{00000000-0009-0000-0100-00000E000000}"/>
  <tableColumns count="7">
    <tableColumn id="1" xr3:uid="{00000000-0010-0000-0D00-000001000000}" name="Activity ID"/>
    <tableColumn id="2" xr3:uid="{00000000-0010-0000-0D00-000002000000}" name="Output Indicator ID"/>
    <tableColumn id="3" xr3:uid="{00000000-0010-0000-0D00-000003000000}" name="Second Verification Type"/>
    <tableColumn id="4" xr3:uid="{00000000-0010-0000-0D00-000004000000}" name="Verification Description"/>
    <tableColumn id="5" xr3:uid="{00000000-0010-0000-0D00-000005000000}" name="Verification Date"/>
    <tableColumn id="6" xr3:uid="{00000000-0010-0000-0D00-000006000000}" name="Verification Status"/>
    <tableColumn id="7" xr3:uid="{00000000-0010-0000-0D00-000007000000}" name="Verification File Reference / Link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Country_8_Data" displayName="tbl_Country_8_Data" ref="A2:Q102">
  <autoFilter ref="A2:Q102" xr:uid="{00000000-0009-0000-0100-00000F000000}"/>
  <tableColumns count="17">
    <tableColumn id="1" xr3:uid="{00000000-0010-0000-0E00-000001000000}" name="Output Indicator ID"/>
    <tableColumn id="2" xr3:uid="{00000000-0010-0000-0E00-000002000000}" name="Output Indicator Description"/>
    <tableColumn id="3" xr3:uid="{00000000-0010-0000-0E00-000003000000}" name="Activity ID"/>
    <tableColumn id="4" xr3:uid="{00000000-0010-0000-0E00-000004000000}" name="Activity Name"/>
    <tableColumn id="5" xr3:uid="{00000000-0010-0000-0E00-000005000000}" name="Component"/>
    <tableColumn id="6" xr3:uid="{00000000-0010-0000-0E00-000006000000}" name="Country of Implementation"/>
    <tableColumn id="7" xr3:uid="{00000000-0010-0000-0E00-000007000000}" name="Start Date"/>
    <tableColumn id="8" xr3:uid="{00000000-0010-0000-0E00-000008000000}" name="End Date"/>
    <tableColumn id="9" xr3:uid="{00000000-0010-0000-0E00-000009000000}" name="Program Year"/>
    <tableColumn id="10" xr3:uid="{00000000-0010-0000-0E00-00000A000000}" name="Quarter of Implementation"/>
    <tableColumn id="11" xr3:uid="{00000000-0010-0000-0E00-00000B000000}" name="Planned Number of Participants"/>
    <tableColumn id="12" xr3:uid="{00000000-0010-0000-0E00-00000C000000}" name="Actual Number of Participants"/>
    <tableColumn id="13" xr3:uid="{00000000-0010-0000-0E00-00000D000000}" name="% Achievement"/>
    <tableColumn id="14" xr3:uid="{00000000-0010-0000-0E00-00000E000000}" name="Means of Verification (Primary)"/>
    <tableColumn id="15" xr3:uid="{00000000-0010-0000-0E00-00000F000000}" name="Use Second Verification? (Yes/No)"/>
    <tableColumn id="16" xr3:uid="{00000000-0010-0000-0E00-000010000000}" name="Status"/>
    <tableColumn id="17" xr3:uid="{00000000-0010-0000-0E00-000011000000}" name="Comments / Risks / Issu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Country_8_Verif" displayName="tbl_Country_8_Verif" ref="A106:G166">
  <autoFilter ref="A106:G166" xr:uid="{00000000-0009-0000-0100-000010000000}"/>
  <tableColumns count="7">
    <tableColumn id="1" xr3:uid="{00000000-0010-0000-0F00-000001000000}" name="Activity ID"/>
    <tableColumn id="2" xr3:uid="{00000000-0010-0000-0F00-000002000000}" name="Output Indicator ID"/>
    <tableColumn id="3" xr3:uid="{00000000-0010-0000-0F00-000003000000}" name="Second Verification Type"/>
    <tableColumn id="4" xr3:uid="{00000000-0010-0000-0F00-000004000000}" name="Verification Description"/>
    <tableColumn id="5" xr3:uid="{00000000-0010-0000-0F00-000005000000}" name="Verification Date"/>
    <tableColumn id="6" xr3:uid="{00000000-0010-0000-0F00-000006000000}" name="Verification Status"/>
    <tableColumn id="7" xr3:uid="{00000000-0010-0000-0F00-000007000000}" name="Verification File Reference / Li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workbookViewId="0">
      <selection activeCell="E2" sqref="E2"/>
    </sheetView>
  </sheetViews>
  <sheetFormatPr defaultRowHeight="15" x14ac:dyDescent="0.25"/>
  <cols>
    <col min="1" max="1" width="18" customWidth="1"/>
    <col min="2" max="2" width="32" customWidth="1"/>
    <col min="3" max="3" width="20" customWidth="1"/>
    <col min="4" max="4" width="28" customWidth="1"/>
    <col min="5" max="5" width="18" customWidth="1"/>
    <col min="6" max="6" width="22" customWidth="1"/>
    <col min="7" max="7" width="26" customWidth="1"/>
    <col min="8" max="9" width="12" customWidth="1"/>
    <col min="10" max="10" width="14" customWidth="1"/>
    <col min="11" max="12" width="16" customWidth="1"/>
    <col min="13" max="13" width="12" customWidth="1"/>
    <col min="14" max="14" width="28" customWidth="1"/>
    <col min="15" max="15" width="18" customWidth="1"/>
    <col min="16" max="16" width="16" customWidth="1"/>
    <col min="17" max="17" width="34" customWidth="1"/>
  </cols>
  <sheetData>
    <row r="1" spans="1:17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>
        <v>45292</v>
      </c>
      <c r="H3" s="3">
        <v>45382</v>
      </c>
      <c r="I3" s="2" t="s">
        <v>24</v>
      </c>
      <c r="J3" s="2" t="s">
        <v>25</v>
      </c>
      <c r="K3" s="4">
        <v>42</v>
      </c>
      <c r="L3" s="4">
        <v>52</v>
      </c>
      <c r="M3" s="5">
        <f t="shared" ref="M3:M34" si="0">IF(OR(K3="",L3=""),"",IFERROR(L3/K3,0))</f>
        <v>1.2380952380952381</v>
      </c>
      <c r="N3" s="2" t="s">
        <v>26</v>
      </c>
      <c r="O3" s="2" t="s">
        <v>27</v>
      </c>
      <c r="P3" s="2" t="s">
        <v>28</v>
      </c>
      <c r="Q3" s="2" t="s">
        <v>29</v>
      </c>
    </row>
    <row r="4" spans="1:17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23</v>
      </c>
      <c r="G4" s="3">
        <v>45383</v>
      </c>
      <c r="H4" s="3">
        <v>45473</v>
      </c>
      <c r="I4" s="2" t="s">
        <v>24</v>
      </c>
      <c r="J4" s="2" t="s">
        <v>35</v>
      </c>
      <c r="K4" s="4">
        <v>47</v>
      </c>
      <c r="L4" s="4">
        <v>53</v>
      </c>
      <c r="M4" s="5">
        <f t="shared" si="0"/>
        <v>1.1276595744680851</v>
      </c>
      <c r="N4" s="2" t="s">
        <v>36</v>
      </c>
      <c r="O4" s="2" t="s">
        <v>37</v>
      </c>
      <c r="P4" s="2" t="s">
        <v>28</v>
      </c>
      <c r="Q4" s="2" t="s">
        <v>29</v>
      </c>
    </row>
    <row r="5" spans="1:17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23</v>
      </c>
      <c r="G5" s="3">
        <v>45474</v>
      </c>
      <c r="H5" s="3">
        <v>45565</v>
      </c>
      <c r="I5" s="2" t="s">
        <v>24</v>
      </c>
      <c r="J5" s="2" t="s">
        <v>43</v>
      </c>
      <c r="K5" s="4">
        <v>52</v>
      </c>
      <c r="L5" s="4">
        <v>54</v>
      </c>
      <c r="M5" s="5">
        <f t="shared" si="0"/>
        <v>1.0384615384615385</v>
      </c>
      <c r="N5" s="2" t="s">
        <v>44</v>
      </c>
      <c r="O5" s="2" t="s">
        <v>27</v>
      </c>
      <c r="P5" s="2" t="s">
        <v>28</v>
      </c>
      <c r="Q5" s="2" t="s">
        <v>29</v>
      </c>
    </row>
    <row r="6" spans="1:17" x14ac:dyDescent="0.2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23</v>
      </c>
      <c r="G6" s="3">
        <v>45566</v>
      </c>
      <c r="H6" s="3">
        <v>45657</v>
      </c>
      <c r="I6" s="2" t="s">
        <v>24</v>
      </c>
      <c r="J6" s="2" t="s">
        <v>50</v>
      </c>
      <c r="K6" s="4">
        <v>57</v>
      </c>
      <c r="L6" s="4">
        <v>55</v>
      </c>
      <c r="M6" s="5">
        <f t="shared" si="0"/>
        <v>0.96491228070175439</v>
      </c>
      <c r="N6" s="2" t="s">
        <v>51</v>
      </c>
      <c r="O6" s="2" t="s">
        <v>27</v>
      </c>
      <c r="P6" s="2" t="s">
        <v>52</v>
      </c>
      <c r="Q6" s="2" t="s">
        <v>53</v>
      </c>
    </row>
    <row r="7" spans="1:17" x14ac:dyDescent="0.25">
      <c r="A7" s="2" t="s">
        <v>18</v>
      </c>
      <c r="B7" s="2" t="s">
        <v>19</v>
      </c>
      <c r="C7" s="2" t="s">
        <v>54</v>
      </c>
      <c r="D7" s="2" t="s">
        <v>55</v>
      </c>
      <c r="E7" s="2" t="s">
        <v>22</v>
      </c>
      <c r="F7" s="2" t="s">
        <v>23</v>
      </c>
      <c r="G7" s="3">
        <v>45658</v>
      </c>
      <c r="H7" s="3">
        <v>45747</v>
      </c>
      <c r="I7" s="2" t="s">
        <v>56</v>
      </c>
      <c r="J7" s="2" t="s">
        <v>57</v>
      </c>
      <c r="K7" s="4">
        <v>62</v>
      </c>
      <c r="L7" s="4">
        <v>56</v>
      </c>
      <c r="M7" s="5">
        <f t="shared" si="0"/>
        <v>0.90322580645161288</v>
      </c>
      <c r="N7" s="2" t="s">
        <v>26</v>
      </c>
      <c r="O7" s="2" t="s">
        <v>37</v>
      </c>
      <c r="P7" s="2" t="s">
        <v>52</v>
      </c>
      <c r="Q7" s="2" t="s">
        <v>53</v>
      </c>
    </row>
    <row r="8" spans="1:17" x14ac:dyDescent="0.25">
      <c r="A8" s="2" t="s">
        <v>30</v>
      </c>
      <c r="B8" s="2" t="s">
        <v>31</v>
      </c>
      <c r="C8" s="2" t="s">
        <v>58</v>
      </c>
      <c r="D8" s="2" t="s">
        <v>59</v>
      </c>
      <c r="E8" s="2" t="s">
        <v>34</v>
      </c>
      <c r="F8" s="2" t="s">
        <v>23</v>
      </c>
      <c r="G8" s="3">
        <v>45748</v>
      </c>
      <c r="H8" s="3">
        <v>45838</v>
      </c>
      <c r="I8" s="2" t="s">
        <v>56</v>
      </c>
      <c r="J8" s="2" t="s">
        <v>60</v>
      </c>
      <c r="K8" s="4">
        <v>67</v>
      </c>
      <c r="L8" s="4">
        <v>57</v>
      </c>
      <c r="M8" s="5">
        <f t="shared" si="0"/>
        <v>0.85074626865671643</v>
      </c>
      <c r="N8" s="2" t="s">
        <v>36</v>
      </c>
      <c r="O8" s="2" t="s">
        <v>27</v>
      </c>
      <c r="P8" s="2" t="s">
        <v>52</v>
      </c>
      <c r="Q8" s="2" t="s">
        <v>53</v>
      </c>
    </row>
    <row r="9" spans="1:17" x14ac:dyDescent="0.25">
      <c r="A9" s="2"/>
      <c r="B9" s="2"/>
      <c r="C9" s="2"/>
      <c r="D9" s="2"/>
      <c r="E9" s="2"/>
      <c r="F9" s="2" t="s">
        <v>23</v>
      </c>
      <c r="G9" s="3"/>
      <c r="H9" s="3"/>
      <c r="I9" s="2"/>
      <c r="J9" s="2"/>
      <c r="K9" s="4"/>
      <c r="L9" s="4"/>
      <c r="M9" s="5" t="str">
        <f t="shared" si="0"/>
        <v/>
      </c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 t="s">
        <v>23</v>
      </c>
      <c r="G10" s="3"/>
      <c r="H10" s="3"/>
      <c r="I10" s="2"/>
      <c r="J10" s="2"/>
      <c r="K10" s="4"/>
      <c r="L10" s="4"/>
      <c r="M10" s="5" t="str">
        <f t="shared" si="0"/>
        <v/>
      </c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 t="s">
        <v>23</v>
      </c>
      <c r="G11" s="3"/>
      <c r="H11" s="3"/>
      <c r="I11" s="2"/>
      <c r="J11" s="2"/>
      <c r="K11" s="4"/>
      <c r="L11" s="4"/>
      <c r="M11" s="5" t="str">
        <f t="shared" si="0"/>
        <v/>
      </c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 t="s">
        <v>23</v>
      </c>
      <c r="G12" s="3"/>
      <c r="H12" s="3"/>
      <c r="I12" s="2"/>
      <c r="J12" s="2"/>
      <c r="K12" s="4"/>
      <c r="L12" s="4"/>
      <c r="M12" s="5" t="str">
        <f t="shared" si="0"/>
        <v/>
      </c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 t="s">
        <v>23</v>
      </c>
      <c r="G13" s="3"/>
      <c r="H13" s="3"/>
      <c r="I13" s="2"/>
      <c r="J13" s="2"/>
      <c r="K13" s="4"/>
      <c r="L13" s="4"/>
      <c r="M13" s="5" t="str">
        <f t="shared" si="0"/>
        <v/>
      </c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 t="s">
        <v>23</v>
      </c>
      <c r="G14" s="3"/>
      <c r="H14" s="3"/>
      <c r="I14" s="2"/>
      <c r="J14" s="2"/>
      <c r="K14" s="4"/>
      <c r="L14" s="4"/>
      <c r="M14" s="5" t="str">
        <f t="shared" si="0"/>
        <v/>
      </c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 t="s">
        <v>23</v>
      </c>
      <c r="G15" s="3"/>
      <c r="H15" s="3"/>
      <c r="I15" s="2"/>
      <c r="J15" s="2"/>
      <c r="K15" s="4"/>
      <c r="L15" s="4"/>
      <c r="M15" s="5" t="str">
        <f t="shared" si="0"/>
        <v/>
      </c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 t="s">
        <v>23</v>
      </c>
      <c r="G16" s="3"/>
      <c r="H16" s="3"/>
      <c r="I16" s="2"/>
      <c r="J16" s="2"/>
      <c r="K16" s="4"/>
      <c r="L16" s="4"/>
      <c r="M16" s="5" t="str">
        <f t="shared" si="0"/>
        <v/>
      </c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 t="s">
        <v>23</v>
      </c>
      <c r="G17" s="3"/>
      <c r="H17" s="3"/>
      <c r="I17" s="2"/>
      <c r="J17" s="2"/>
      <c r="K17" s="4"/>
      <c r="L17" s="4"/>
      <c r="M17" s="5" t="str">
        <f t="shared" si="0"/>
        <v/>
      </c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 t="s">
        <v>23</v>
      </c>
      <c r="G18" s="3"/>
      <c r="H18" s="3"/>
      <c r="I18" s="2"/>
      <c r="J18" s="2"/>
      <c r="K18" s="4"/>
      <c r="L18" s="4"/>
      <c r="M18" s="5" t="str">
        <f t="shared" si="0"/>
        <v/>
      </c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 t="s">
        <v>23</v>
      </c>
      <c r="G19" s="3"/>
      <c r="H19" s="3"/>
      <c r="I19" s="2"/>
      <c r="J19" s="2"/>
      <c r="K19" s="4"/>
      <c r="L19" s="4"/>
      <c r="M19" s="5" t="str">
        <f t="shared" si="0"/>
        <v/>
      </c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 t="s">
        <v>23</v>
      </c>
      <c r="G20" s="3"/>
      <c r="H20" s="3"/>
      <c r="I20" s="2"/>
      <c r="J20" s="2"/>
      <c r="K20" s="4"/>
      <c r="L20" s="4"/>
      <c r="M20" s="5" t="str">
        <f t="shared" si="0"/>
        <v/>
      </c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 t="s">
        <v>23</v>
      </c>
      <c r="G21" s="3"/>
      <c r="H21" s="3"/>
      <c r="I21" s="2"/>
      <c r="J21" s="2"/>
      <c r="K21" s="4"/>
      <c r="L21" s="4"/>
      <c r="M21" s="5" t="str">
        <f t="shared" si="0"/>
        <v/>
      </c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 t="s">
        <v>23</v>
      </c>
      <c r="G22" s="3"/>
      <c r="H22" s="3"/>
      <c r="I22" s="2"/>
      <c r="J22" s="2"/>
      <c r="K22" s="4"/>
      <c r="L22" s="4"/>
      <c r="M22" s="5" t="str">
        <f t="shared" si="0"/>
        <v/>
      </c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 t="s">
        <v>23</v>
      </c>
      <c r="G23" s="3"/>
      <c r="H23" s="3"/>
      <c r="I23" s="2"/>
      <c r="J23" s="2"/>
      <c r="K23" s="4"/>
      <c r="L23" s="4"/>
      <c r="M23" s="5" t="str">
        <f t="shared" si="0"/>
        <v/>
      </c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 t="s">
        <v>23</v>
      </c>
      <c r="G24" s="3"/>
      <c r="H24" s="3"/>
      <c r="I24" s="2"/>
      <c r="J24" s="2"/>
      <c r="K24" s="4"/>
      <c r="L24" s="4"/>
      <c r="M24" s="5" t="str">
        <f t="shared" si="0"/>
        <v/>
      </c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 t="s">
        <v>23</v>
      </c>
      <c r="G25" s="3"/>
      <c r="H25" s="3"/>
      <c r="I25" s="2"/>
      <c r="J25" s="2"/>
      <c r="K25" s="4"/>
      <c r="L25" s="4"/>
      <c r="M25" s="5" t="str">
        <f t="shared" si="0"/>
        <v/>
      </c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 t="s">
        <v>23</v>
      </c>
      <c r="G26" s="3"/>
      <c r="H26" s="3"/>
      <c r="I26" s="2"/>
      <c r="J26" s="2"/>
      <c r="K26" s="4"/>
      <c r="L26" s="4"/>
      <c r="M26" s="5" t="str">
        <f t="shared" si="0"/>
        <v/>
      </c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 t="s">
        <v>23</v>
      </c>
      <c r="G27" s="3"/>
      <c r="H27" s="3"/>
      <c r="I27" s="2"/>
      <c r="J27" s="2"/>
      <c r="K27" s="4"/>
      <c r="L27" s="4"/>
      <c r="M27" s="5" t="str">
        <f t="shared" si="0"/>
        <v/>
      </c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 t="s">
        <v>23</v>
      </c>
      <c r="G28" s="3"/>
      <c r="H28" s="3"/>
      <c r="I28" s="2"/>
      <c r="J28" s="2"/>
      <c r="K28" s="4"/>
      <c r="L28" s="4"/>
      <c r="M28" s="5" t="str">
        <f t="shared" si="0"/>
        <v/>
      </c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 t="s">
        <v>23</v>
      </c>
      <c r="G29" s="3"/>
      <c r="H29" s="3"/>
      <c r="I29" s="2"/>
      <c r="J29" s="2"/>
      <c r="K29" s="4"/>
      <c r="L29" s="4"/>
      <c r="M29" s="5" t="str">
        <f t="shared" si="0"/>
        <v/>
      </c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 t="s">
        <v>23</v>
      </c>
      <c r="G30" s="3"/>
      <c r="H30" s="3"/>
      <c r="I30" s="2"/>
      <c r="J30" s="2"/>
      <c r="K30" s="4"/>
      <c r="L30" s="4"/>
      <c r="M30" s="5" t="str">
        <f t="shared" si="0"/>
        <v/>
      </c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 t="s">
        <v>23</v>
      </c>
      <c r="G31" s="3"/>
      <c r="H31" s="3"/>
      <c r="I31" s="2"/>
      <c r="J31" s="2"/>
      <c r="K31" s="4"/>
      <c r="L31" s="4"/>
      <c r="M31" s="5" t="str">
        <f t="shared" si="0"/>
        <v/>
      </c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 t="s">
        <v>23</v>
      </c>
      <c r="G32" s="3"/>
      <c r="H32" s="3"/>
      <c r="I32" s="2"/>
      <c r="J32" s="2"/>
      <c r="K32" s="4"/>
      <c r="L32" s="4"/>
      <c r="M32" s="5" t="str">
        <f t="shared" si="0"/>
        <v/>
      </c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 t="s">
        <v>23</v>
      </c>
      <c r="G33" s="3"/>
      <c r="H33" s="3"/>
      <c r="I33" s="2"/>
      <c r="J33" s="2"/>
      <c r="K33" s="4"/>
      <c r="L33" s="4"/>
      <c r="M33" s="5" t="str">
        <f t="shared" si="0"/>
        <v/>
      </c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 t="s">
        <v>23</v>
      </c>
      <c r="G34" s="3"/>
      <c r="H34" s="3"/>
      <c r="I34" s="2"/>
      <c r="J34" s="2"/>
      <c r="K34" s="4"/>
      <c r="L34" s="4"/>
      <c r="M34" s="5" t="str">
        <f t="shared" si="0"/>
        <v/>
      </c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 t="s">
        <v>23</v>
      </c>
      <c r="G35" s="3"/>
      <c r="H35" s="3"/>
      <c r="I35" s="2"/>
      <c r="J35" s="2"/>
      <c r="K35" s="4"/>
      <c r="L35" s="4"/>
      <c r="M35" s="5" t="str">
        <f t="shared" ref="M35:M66" si="1">IF(OR(K35="",L35=""),"",IFERROR(L35/K35,0))</f>
        <v/>
      </c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 t="s">
        <v>23</v>
      </c>
      <c r="G36" s="3"/>
      <c r="H36" s="3"/>
      <c r="I36" s="2"/>
      <c r="J36" s="2"/>
      <c r="K36" s="4"/>
      <c r="L36" s="4"/>
      <c r="M36" s="5" t="str">
        <f t="shared" si="1"/>
        <v/>
      </c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 t="s">
        <v>23</v>
      </c>
      <c r="G37" s="3"/>
      <c r="H37" s="3"/>
      <c r="I37" s="2"/>
      <c r="J37" s="2"/>
      <c r="K37" s="4"/>
      <c r="L37" s="4"/>
      <c r="M37" s="5" t="str">
        <f t="shared" si="1"/>
        <v/>
      </c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 t="s">
        <v>23</v>
      </c>
      <c r="G38" s="3"/>
      <c r="H38" s="3"/>
      <c r="I38" s="2"/>
      <c r="J38" s="2"/>
      <c r="K38" s="4"/>
      <c r="L38" s="4"/>
      <c r="M38" s="5" t="str">
        <f t="shared" si="1"/>
        <v/>
      </c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 t="s">
        <v>23</v>
      </c>
      <c r="G39" s="3"/>
      <c r="H39" s="3"/>
      <c r="I39" s="2"/>
      <c r="J39" s="2"/>
      <c r="K39" s="4"/>
      <c r="L39" s="4"/>
      <c r="M39" s="5" t="str">
        <f t="shared" si="1"/>
        <v/>
      </c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 t="s">
        <v>23</v>
      </c>
      <c r="G40" s="3"/>
      <c r="H40" s="3"/>
      <c r="I40" s="2"/>
      <c r="J40" s="2"/>
      <c r="K40" s="4"/>
      <c r="L40" s="4"/>
      <c r="M40" s="5" t="str">
        <f t="shared" si="1"/>
        <v/>
      </c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 t="s">
        <v>23</v>
      </c>
      <c r="G41" s="3"/>
      <c r="H41" s="3"/>
      <c r="I41" s="2"/>
      <c r="J41" s="2"/>
      <c r="K41" s="4"/>
      <c r="L41" s="4"/>
      <c r="M41" s="5" t="str">
        <f t="shared" si="1"/>
        <v/>
      </c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 t="s">
        <v>23</v>
      </c>
      <c r="G42" s="3"/>
      <c r="H42" s="3"/>
      <c r="I42" s="2"/>
      <c r="J42" s="2"/>
      <c r="K42" s="4"/>
      <c r="L42" s="4"/>
      <c r="M42" s="5" t="str">
        <f t="shared" si="1"/>
        <v/>
      </c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 t="s">
        <v>23</v>
      </c>
      <c r="G43" s="3"/>
      <c r="H43" s="3"/>
      <c r="I43" s="2"/>
      <c r="J43" s="2"/>
      <c r="K43" s="4"/>
      <c r="L43" s="4"/>
      <c r="M43" s="5" t="str">
        <f t="shared" si="1"/>
        <v/>
      </c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 t="s">
        <v>23</v>
      </c>
      <c r="G44" s="3"/>
      <c r="H44" s="3"/>
      <c r="I44" s="2"/>
      <c r="J44" s="2"/>
      <c r="K44" s="4"/>
      <c r="L44" s="4"/>
      <c r="M44" s="5" t="str">
        <f t="shared" si="1"/>
        <v/>
      </c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 t="s">
        <v>23</v>
      </c>
      <c r="G45" s="3"/>
      <c r="H45" s="3"/>
      <c r="I45" s="2"/>
      <c r="J45" s="2"/>
      <c r="K45" s="4"/>
      <c r="L45" s="4"/>
      <c r="M45" s="5" t="str">
        <f t="shared" si="1"/>
        <v/>
      </c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 t="s">
        <v>23</v>
      </c>
      <c r="G46" s="3"/>
      <c r="H46" s="3"/>
      <c r="I46" s="2"/>
      <c r="J46" s="2"/>
      <c r="K46" s="4"/>
      <c r="L46" s="4"/>
      <c r="M46" s="5" t="str">
        <f t="shared" si="1"/>
        <v/>
      </c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 t="s">
        <v>23</v>
      </c>
      <c r="G47" s="3"/>
      <c r="H47" s="3"/>
      <c r="I47" s="2"/>
      <c r="J47" s="2"/>
      <c r="K47" s="4"/>
      <c r="L47" s="4"/>
      <c r="M47" s="5" t="str">
        <f t="shared" si="1"/>
        <v/>
      </c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 t="s">
        <v>23</v>
      </c>
      <c r="G48" s="3"/>
      <c r="H48" s="3"/>
      <c r="I48" s="2"/>
      <c r="J48" s="2"/>
      <c r="K48" s="4"/>
      <c r="L48" s="4"/>
      <c r="M48" s="5" t="str">
        <f t="shared" si="1"/>
        <v/>
      </c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 t="s">
        <v>23</v>
      </c>
      <c r="G49" s="3"/>
      <c r="H49" s="3"/>
      <c r="I49" s="2"/>
      <c r="J49" s="2"/>
      <c r="K49" s="4"/>
      <c r="L49" s="4"/>
      <c r="M49" s="5" t="str">
        <f t="shared" si="1"/>
        <v/>
      </c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 t="s">
        <v>23</v>
      </c>
      <c r="G50" s="3"/>
      <c r="H50" s="3"/>
      <c r="I50" s="2"/>
      <c r="J50" s="2"/>
      <c r="K50" s="4"/>
      <c r="L50" s="4"/>
      <c r="M50" s="5" t="str">
        <f t="shared" si="1"/>
        <v/>
      </c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 t="s">
        <v>23</v>
      </c>
      <c r="G51" s="3"/>
      <c r="H51" s="3"/>
      <c r="I51" s="2"/>
      <c r="J51" s="2"/>
      <c r="K51" s="4"/>
      <c r="L51" s="4"/>
      <c r="M51" s="5" t="str">
        <f t="shared" si="1"/>
        <v/>
      </c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 t="s">
        <v>23</v>
      </c>
      <c r="G52" s="3"/>
      <c r="H52" s="3"/>
      <c r="I52" s="2"/>
      <c r="J52" s="2"/>
      <c r="K52" s="4"/>
      <c r="L52" s="4"/>
      <c r="M52" s="5" t="str">
        <f t="shared" si="1"/>
        <v/>
      </c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 t="s">
        <v>23</v>
      </c>
      <c r="G53" s="3"/>
      <c r="H53" s="3"/>
      <c r="I53" s="2"/>
      <c r="J53" s="2"/>
      <c r="K53" s="4"/>
      <c r="L53" s="4"/>
      <c r="M53" s="5" t="str">
        <f t="shared" si="1"/>
        <v/>
      </c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 t="s">
        <v>23</v>
      </c>
      <c r="G54" s="3"/>
      <c r="H54" s="3"/>
      <c r="I54" s="2"/>
      <c r="J54" s="2"/>
      <c r="K54" s="4"/>
      <c r="L54" s="4"/>
      <c r="M54" s="5" t="str">
        <f t="shared" si="1"/>
        <v/>
      </c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 t="s">
        <v>23</v>
      </c>
      <c r="G55" s="3"/>
      <c r="H55" s="3"/>
      <c r="I55" s="2"/>
      <c r="J55" s="2"/>
      <c r="K55" s="4"/>
      <c r="L55" s="4"/>
      <c r="M55" s="5" t="str">
        <f t="shared" si="1"/>
        <v/>
      </c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 t="s">
        <v>23</v>
      </c>
      <c r="G56" s="3"/>
      <c r="H56" s="3"/>
      <c r="I56" s="2"/>
      <c r="J56" s="2"/>
      <c r="K56" s="4"/>
      <c r="L56" s="4"/>
      <c r="M56" s="5" t="str">
        <f t="shared" si="1"/>
        <v/>
      </c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 t="s">
        <v>23</v>
      </c>
      <c r="G57" s="3"/>
      <c r="H57" s="3"/>
      <c r="I57" s="2"/>
      <c r="J57" s="2"/>
      <c r="K57" s="4"/>
      <c r="L57" s="4"/>
      <c r="M57" s="5" t="str">
        <f t="shared" si="1"/>
        <v/>
      </c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 t="s">
        <v>23</v>
      </c>
      <c r="G58" s="3"/>
      <c r="H58" s="3"/>
      <c r="I58" s="2"/>
      <c r="J58" s="2"/>
      <c r="K58" s="4"/>
      <c r="L58" s="4"/>
      <c r="M58" s="5" t="str">
        <f t="shared" si="1"/>
        <v/>
      </c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 t="s">
        <v>23</v>
      </c>
      <c r="G59" s="3"/>
      <c r="H59" s="3"/>
      <c r="I59" s="2"/>
      <c r="J59" s="2"/>
      <c r="K59" s="4"/>
      <c r="L59" s="4"/>
      <c r="M59" s="5" t="str">
        <f t="shared" si="1"/>
        <v/>
      </c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 t="s">
        <v>23</v>
      </c>
      <c r="G60" s="3"/>
      <c r="H60" s="3"/>
      <c r="I60" s="2"/>
      <c r="J60" s="2"/>
      <c r="K60" s="4"/>
      <c r="L60" s="4"/>
      <c r="M60" s="5" t="str">
        <f t="shared" si="1"/>
        <v/>
      </c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 t="s">
        <v>23</v>
      </c>
      <c r="G61" s="3"/>
      <c r="H61" s="3"/>
      <c r="I61" s="2"/>
      <c r="J61" s="2"/>
      <c r="K61" s="4"/>
      <c r="L61" s="4"/>
      <c r="M61" s="5" t="str">
        <f t="shared" si="1"/>
        <v/>
      </c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 t="s">
        <v>23</v>
      </c>
      <c r="G62" s="3"/>
      <c r="H62" s="3"/>
      <c r="I62" s="2"/>
      <c r="J62" s="2"/>
      <c r="K62" s="4"/>
      <c r="L62" s="4"/>
      <c r="M62" s="5" t="str">
        <f t="shared" si="1"/>
        <v/>
      </c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 t="s">
        <v>23</v>
      </c>
      <c r="G63" s="3"/>
      <c r="H63" s="3"/>
      <c r="I63" s="2"/>
      <c r="J63" s="2"/>
      <c r="K63" s="4"/>
      <c r="L63" s="4"/>
      <c r="M63" s="5" t="str">
        <f t="shared" si="1"/>
        <v/>
      </c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 t="s">
        <v>23</v>
      </c>
      <c r="G64" s="3"/>
      <c r="H64" s="3"/>
      <c r="I64" s="2"/>
      <c r="J64" s="2"/>
      <c r="K64" s="4"/>
      <c r="L64" s="4"/>
      <c r="M64" s="5" t="str">
        <f t="shared" si="1"/>
        <v/>
      </c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 t="s">
        <v>23</v>
      </c>
      <c r="G65" s="3"/>
      <c r="H65" s="3"/>
      <c r="I65" s="2"/>
      <c r="J65" s="2"/>
      <c r="K65" s="4"/>
      <c r="L65" s="4"/>
      <c r="M65" s="5" t="str">
        <f t="shared" si="1"/>
        <v/>
      </c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 t="s">
        <v>23</v>
      </c>
      <c r="G66" s="3"/>
      <c r="H66" s="3"/>
      <c r="I66" s="2"/>
      <c r="J66" s="2"/>
      <c r="K66" s="4"/>
      <c r="L66" s="4"/>
      <c r="M66" s="5" t="str">
        <f t="shared" si="1"/>
        <v/>
      </c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 t="s">
        <v>23</v>
      </c>
      <c r="G67" s="3"/>
      <c r="H67" s="3"/>
      <c r="I67" s="2"/>
      <c r="J67" s="2"/>
      <c r="K67" s="4"/>
      <c r="L67" s="4"/>
      <c r="M67" s="5" t="str">
        <f t="shared" ref="M67:M98" si="2">IF(OR(K67="",L67=""),"",IFERROR(L67/K67,0))</f>
        <v/>
      </c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 t="s">
        <v>23</v>
      </c>
      <c r="G68" s="3"/>
      <c r="H68" s="3"/>
      <c r="I68" s="2"/>
      <c r="J68" s="2"/>
      <c r="K68" s="4"/>
      <c r="L68" s="4"/>
      <c r="M68" s="5" t="str">
        <f t="shared" si="2"/>
        <v/>
      </c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 t="s">
        <v>23</v>
      </c>
      <c r="G69" s="3"/>
      <c r="H69" s="3"/>
      <c r="I69" s="2"/>
      <c r="J69" s="2"/>
      <c r="K69" s="4"/>
      <c r="L69" s="4"/>
      <c r="M69" s="5" t="str">
        <f t="shared" si="2"/>
        <v/>
      </c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 t="s">
        <v>23</v>
      </c>
      <c r="G70" s="3"/>
      <c r="H70" s="3"/>
      <c r="I70" s="2"/>
      <c r="J70" s="2"/>
      <c r="K70" s="4"/>
      <c r="L70" s="4"/>
      <c r="M70" s="5" t="str">
        <f t="shared" si="2"/>
        <v/>
      </c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 t="s">
        <v>23</v>
      </c>
      <c r="G71" s="3"/>
      <c r="H71" s="3"/>
      <c r="I71" s="2"/>
      <c r="J71" s="2"/>
      <c r="K71" s="4"/>
      <c r="L71" s="4"/>
      <c r="M71" s="5" t="str">
        <f t="shared" si="2"/>
        <v/>
      </c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 t="s">
        <v>23</v>
      </c>
      <c r="G72" s="3"/>
      <c r="H72" s="3"/>
      <c r="I72" s="2"/>
      <c r="J72" s="2"/>
      <c r="K72" s="4"/>
      <c r="L72" s="4"/>
      <c r="M72" s="5" t="str">
        <f t="shared" si="2"/>
        <v/>
      </c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 t="s">
        <v>23</v>
      </c>
      <c r="G73" s="3"/>
      <c r="H73" s="3"/>
      <c r="I73" s="2"/>
      <c r="J73" s="2"/>
      <c r="K73" s="4"/>
      <c r="L73" s="4"/>
      <c r="M73" s="5" t="str">
        <f t="shared" si="2"/>
        <v/>
      </c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 t="s">
        <v>23</v>
      </c>
      <c r="G74" s="3"/>
      <c r="H74" s="3"/>
      <c r="I74" s="2"/>
      <c r="J74" s="2"/>
      <c r="K74" s="4"/>
      <c r="L74" s="4"/>
      <c r="M74" s="5" t="str">
        <f t="shared" si="2"/>
        <v/>
      </c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 t="s">
        <v>23</v>
      </c>
      <c r="G75" s="3"/>
      <c r="H75" s="3"/>
      <c r="I75" s="2"/>
      <c r="J75" s="2"/>
      <c r="K75" s="4"/>
      <c r="L75" s="4"/>
      <c r="M75" s="5" t="str">
        <f t="shared" si="2"/>
        <v/>
      </c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 t="s">
        <v>23</v>
      </c>
      <c r="G76" s="3"/>
      <c r="H76" s="3"/>
      <c r="I76" s="2"/>
      <c r="J76" s="2"/>
      <c r="K76" s="4"/>
      <c r="L76" s="4"/>
      <c r="M76" s="5" t="str">
        <f t="shared" si="2"/>
        <v/>
      </c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 t="s">
        <v>23</v>
      </c>
      <c r="G77" s="3"/>
      <c r="H77" s="3"/>
      <c r="I77" s="2"/>
      <c r="J77" s="2"/>
      <c r="K77" s="4"/>
      <c r="L77" s="4"/>
      <c r="M77" s="5" t="str">
        <f t="shared" si="2"/>
        <v/>
      </c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 t="s">
        <v>23</v>
      </c>
      <c r="G78" s="3"/>
      <c r="H78" s="3"/>
      <c r="I78" s="2"/>
      <c r="J78" s="2"/>
      <c r="K78" s="4"/>
      <c r="L78" s="4"/>
      <c r="M78" s="5" t="str">
        <f t="shared" si="2"/>
        <v/>
      </c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 t="s">
        <v>23</v>
      </c>
      <c r="G79" s="3"/>
      <c r="H79" s="3"/>
      <c r="I79" s="2"/>
      <c r="J79" s="2"/>
      <c r="K79" s="4"/>
      <c r="L79" s="4"/>
      <c r="M79" s="5" t="str">
        <f t="shared" si="2"/>
        <v/>
      </c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 t="s">
        <v>23</v>
      </c>
      <c r="G80" s="3"/>
      <c r="H80" s="3"/>
      <c r="I80" s="2"/>
      <c r="J80" s="2"/>
      <c r="K80" s="4"/>
      <c r="L80" s="4"/>
      <c r="M80" s="5" t="str">
        <f t="shared" si="2"/>
        <v/>
      </c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 t="s">
        <v>23</v>
      </c>
      <c r="G81" s="3"/>
      <c r="H81" s="3"/>
      <c r="I81" s="2"/>
      <c r="J81" s="2"/>
      <c r="K81" s="4"/>
      <c r="L81" s="4"/>
      <c r="M81" s="5" t="str">
        <f t="shared" si="2"/>
        <v/>
      </c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 t="s">
        <v>23</v>
      </c>
      <c r="G82" s="3"/>
      <c r="H82" s="3"/>
      <c r="I82" s="2"/>
      <c r="J82" s="2"/>
      <c r="K82" s="4"/>
      <c r="L82" s="4"/>
      <c r="M82" s="5" t="str">
        <f t="shared" si="2"/>
        <v/>
      </c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 t="s">
        <v>23</v>
      </c>
      <c r="G83" s="3"/>
      <c r="H83" s="3"/>
      <c r="I83" s="2"/>
      <c r="J83" s="2"/>
      <c r="K83" s="4"/>
      <c r="L83" s="4"/>
      <c r="M83" s="5" t="str">
        <f t="shared" si="2"/>
        <v/>
      </c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 t="s">
        <v>23</v>
      </c>
      <c r="G84" s="3"/>
      <c r="H84" s="3"/>
      <c r="I84" s="2"/>
      <c r="J84" s="2"/>
      <c r="K84" s="4"/>
      <c r="L84" s="4"/>
      <c r="M84" s="5" t="str">
        <f t="shared" si="2"/>
        <v/>
      </c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 t="s">
        <v>23</v>
      </c>
      <c r="G85" s="3"/>
      <c r="H85" s="3"/>
      <c r="I85" s="2"/>
      <c r="J85" s="2"/>
      <c r="K85" s="4"/>
      <c r="L85" s="4"/>
      <c r="M85" s="5" t="str">
        <f t="shared" si="2"/>
        <v/>
      </c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 t="s">
        <v>23</v>
      </c>
      <c r="G86" s="3"/>
      <c r="H86" s="3"/>
      <c r="I86" s="2"/>
      <c r="J86" s="2"/>
      <c r="K86" s="4"/>
      <c r="L86" s="4"/>
      <c r="M86" s="5" t="str">
        <f t="shared" si="2"/>
        <v/>
      </c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 t="s">
        <v>23</v>
      </c>
      <c r="G87" s="3"/>
      <c r="H87" s="3"/>
      <c r="I87" s="2"/>
      <c r="J87" s="2"/>
      <c r="K87" s="4"/>
      <c r="L87" s="4"/>
      <c r="M87" s="5" t="str">
        <f t="shared" si="2"/>
        <v/>
      </c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 t="s">
        <v>23</v>
      </c>
      <c r="G88" s="3"/>
      <c r="H88" s="3"/>
      <c r="I88" s="2"/>
      <c r="J88" s="2"/>
      <c r="K88" s="4"/>
      <c r="L88" s="4"/>
      <c r="M88" s="5" t="str">
        <f t="shared" si="2"/>
        <v/>
      </c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 t="s">
        <v>23</v>
      </c>
      <c r="G89" s="3"/>
      <c r="H89" s="3"/>
      <c r="I89" s="2"/>
      <c r="J89" s="2"/>
      <c r="K89" s="4"/>
      <c r="L89" s="4"/>
      <c r="M89" s="5" t="str">
        <f t="shared" si="2"/>
        <v/>
      </c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 t="s">
        <v>23</v>
      </c>
      <c r="G90" s="3"/>
      <c r="H90" s="3"/>
      <c r="I90" s="2"/>
      <c r="J90" s="2"/>
      <c r="K90" s="4"/>
      <c r="L90" s="4"/>
      <c r="M90" s="5" t="str">
        <f t="shared" si="2"/>
        <v/>
      </c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 t="s">
        <v>23</v>
      </c>
      <c r="G91" s="3"/>
      <c r="H91" s="3"/>
      <c r="I91" s="2"/>
      <c r="J91" s="2"/>
      <c r="K91" s="4"/>
      <c r="L91" s="4"/>
      <c r="M91" s="5" t="str">
        <f t="shared" si="2"/>
        <v/>
      </c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 t="s">
        <v>23</v>
      </c>
      <c r="G92" s="3"/>
      <c r="H92" s="3"/>
      <c r="I92" s="2"/>
      <c r="J92" s="2"/>
      <c r="K92" s="4"/>
      <c r="L92" s="4"/>
      <c r="M92" s="5" t="str">
        <f t="shared" si="2"/>
        <v/>
      </c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 t="s">
        <v>23</v>
      </c>
      <c r="G93" s="3"/>
      <c r="H93" s="3"/>
      <c r="I93" s="2"/>
      <c r="J93" s="2"/>
      <c r="K93" s="4"/>
      <c r="L93" s="4"/>
      <c r="M93" s="5" t="str">
        <f t="shared" si="2"/>
        <v/>
      </c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 t="s">
        <v>23</v>
      </c>
      <c r="G94" s="3"/>
      <c r="H94" s="3"/>
      <c r="I94" s="2"/>
      <c r="J94" s="2"/>
      <c r="K94" s="4"/>
      <c r="L94" s="4"/>
      <c r="M94" s="5" t="str">
        <f t="shared" si="2"/>
        <v/>
      </c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 t="s">
        <v>23</v>
      </c>
      <c r="G95" s="3"/>
      <c r="H95" s="3"/>
      <c r="I95" s="2"/>
      <c r="J95" s="2"/>
      <c r="K95" s="4"/>
      <c r="L95" s="4"/>
      <c r="M95" s="5" t="str">
        <f t="shared" si="2"/>
        <v/>
      </c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 t="s">
        <v>23</v>
      </c>
      <c r="G96" s="3"/>
      <c r="H96" s="3"/>
      <c r="I96" s="2"/>
      <c r="J96" s="2"/>
      <c r="K96" s="4"/>
      <c r="L96" s="4"/>
      <c r="M96" s="5" t="str">
        <f t="shared" si="2"/>
        <v/>
      </c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 t="s">
        <v>23</v>
      </c>
      <c r="G97" s="3"/>
      <c r="H97" s="3"/>
      <c r="I97" s="2"/>
      <c r="J97" s="2"/>
      <c r="K97" s="4"/>
      <c r="L97" s="4"/>
      <c r="M97" s="5" t="str">
        <f t="shared" si="2"/>
        <v/>
      </c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 t="s">
        <v>23</v>
      </c>
      <c r="G98" s="3"/>
      <c r="H98" s="3"/>
      <c r="I98" s="2"/>
      <c r="J98" s="2"/>
      <c r="K98" s="4"/>
      <c r="L98" s="4"/>
      <c r="M98" s="5" t="str">
        <f t="shared" si="2"/>
        <v/>
      </c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 t="s">
        <v>23</v>
      </c>
      <c r="G99" s="3"/>
      <c r="H99" s="3"/>
      <c r="I99" s="2"/>
      <c r="J99" s="2"/>
      <c r="K99" s="4"/>
      <c r="L99" s="4"/>
      <c r="M99" s="5" t="str">
        <f t="shared" ref="M99:M130" si="3">IF(OR(K99="",L99=""),"",IFERROR(L99/K99,0))</f>
        <v/>
      </c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 t="s">
        <v>23</v>
      </c>
      <c r="G100" s="3"/>
      <c r="H100" s="3"/>
      <c r="I100" s="2"/>
      <c r="J100" s="2"/>
      <c r="K100" s="4"/>
      <c r="L100" s="4"/>
      <c r="M100" s="5" t="str">
        <f t="shared" si="3"/>
        <v/>
      </c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 t="s">
        <v>23</v>
      </c>
      <c r="G101" s="3"/>
      <c r="H101" s="3"/>
      <c r="I101" s="2"/>
      <c r="J101" s="2"/>
      <c r="K101" s="4"/>
      <c r="L101" s="4"/>
      <c r="M101" s="5" t="str">
        <f t="shared" si="3"/>
        <v/>
      </c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 t="s">
        <v>23</v>
      </c>
      <c r="G102" s="3"/>
      <c r="H102" s="3"/>
      <c r="I102" s="2"/>
      <c r="J102" s="2"/>
      <c r="K102" s="4"/>
      <c r="L102" s="4"/>
      <c r="M102" s="5" t="str">
        <f t="shared" si="3"/>
        <v/>
      </c>
      <c r="N102" s="2"/>
      <c r="O102" s="2"/>
      <c r="P102" s="2"/>
      <c r="Q102" s="2"/>
    </row>
    <row r="105" spans="1:17" x14ac:dyDescent="0.25">
      <c r="A105" s="20" t="s">
        <v>61</v>
      </c>
      <c r="B105" s="21"/>
      <c r="C105" s="21"/>
      <c r="D105" s="21"/>
      <c r="E105" s="21"/>
      <c r="F105" s="21"/>
      <c r="G105" s="21"/>
    </row>
    <row r="106" spans="1:17" ht="30" x14ac:dyDescent="0.25">
      <c r="A106" s="1" t="s">
        <v>3</v>
      </c>
      <c r="B106" s="1" t="s">
        <v>1</v>
      </c>
      <c r="C106" s="1" t="s">
        <v>62</v>
      </c>
      <c r="D106" s="1" t="s">
        <v>63</v>
      </c>
      <c r="E106" s="1" t="s">
        <v>64</v>
      </c>
      <c r="F106" s="1" t="s">
        <v>65</v>
      </c>
      <c r="G106" s="1" t="s">
        <v>66</v>
      </c>
    </row>
    <row r="107" spans="1:17" x14ac:dyDescent="0.25">
      <c r="A107" s="2" t="s">
        <v>32</v>
      </c>
      <c r="B107" s="2" t="s">
        <v>30</v>
      </c>
      <c r="C107" s="2" t="s">
        <v>67</v>
      </c>
      <c r="D107" s="2" t="s">
        <v>68</v>
      </c>
      <c r="E107" s="3">
        <v>45487</v>
      </c>
      <c r="F107" s="2" t="s">
        <v>69</v>
      </c>
      <c r="G107" s="2" t="s">
        <v>70</v>
      </c>
    </row>
    <row r="108" spans="1:17" x14ac:dyDescent="0.25">
      <c r="A108" s="2" t="s">
        <v>54</v>
      </c>
      <c r="B108" s="2" t="s">
        <v>18</v>
      </c>
      <c r="C108" s="2" t="s">
        <v>71</v>
      </c>
      <c r="D108" s="2" t="s">
        <v>72</v>
      </c>
      <c r="E108" s="3">
        <v>45761</v>
      </c>
      <c r="F108" s="2" t="s">
        <v>73</v>
      </c>
      <c r="G108" s="2" t="s">
        <v>74</v>
      </c>
    </row>
    <row r="109" spans="1:17" x14ac:dyDescent="0.25">
      <c r="A109" s="2"/>
      <c r="B109" s="2"/>
      <c r="C109" s="2"/>
      <c r="D109" s="2"/>
      <c r="E109" s="3"/>
      <c r="F109" s="2"/>
      <c r="G109" s="2"/>
    </row>
    <row r="110" spans="1:17" x14ac:dyDescent="0.25">
      <c r="A110" s="2"/>
      <c r="B110" s="2"/>
      <c r="C110" s="2"/>
      <c r="D110" s="2"/>
      <c r="E110" s="3"/>
      <c r="F110" s="2"/>
      <c r="G110" s="2"/>
    </row>
    <row r="111" spans="1:17" x14ac:dyDescent="0.25">
      <c r="A111" s="2"/>
      <c r="B111" s="2"/>
      <c r="C111" s="2"/>
      <c r="D111" s="2"/>
      <c r="E111" s="3"/>
      <c r="F111" s="2"/>
      <c r="G111" s="2"/>
    </row>
    <row r="112" spans="1:17" x14ac:dyDescent="0.25">
      <c r="A112" s="2"/>
      <c r="B112" s="2"/>
      <c r="C112" s="2"/>
      <c r="D112" s="2"/>
      <c r="E112" s="3"/>
      <c r="F112" s="2"/>
      <c r="G112" s="2"/>
    </row>
    <row r="113" spans="1:7" x14ac:dyDescent="0.25">
      <c r="A113" s="2"/>
      <c r="B113" s="2"/>
      <c r="C113" s="2"/>
      <c r="D113" s="2"/>
      <c r="E113" s="3"/>
      <c r="F113" s="2"/>
      <c r="G113" s="2"/>
    </row>
    <row r="114" spans="1:7" x14ac:dyDescent="0.25">
      <c r="A114" s="2"/>
      <c r="B114" s="2"/>
      <c r="C114" s="2"/>
      <c r="D114" s="2"/>
      <c r="E114" s="3"/>
      <c r="F114" s="2"/>
      <c r="G114" s="2"/>
    </row>
    <row r="115" spans="1:7" x14ac:dyDescent="0.25">
      <c r="A115" s="2"/>
      <c r="B115" s="2"/>
      <c r="C115" s="2"/>
      <c r="D115" s="2"/>
      <c r="E115" s="3"/>
      <c r="F115" s="2"/>
      <c r="G115" s="2"/>
    </row>
    <row r="116" spans="1:7" x14ac:dyDescent="0.25">
      <c r="A116" s="2"/>
      <c r="B116" s="2"/>
      <c r="C116" s="2"/>
      <c r="D116" s="2"/>
      <c r="E116" s="3"/>
      <c r="F116" s="2"/>
      <c r="G116" s="2"/>
    </row>
    <row r="117" spans="1:7" x14ac:dyDescent="0.25">
      <c r="A117" s="2"/>
      <c r="B117" s="2"/>
      <c r="C117" s="2"/>
      <c r="D117" s="2"/>
      <c r="E117" s="3"/>
      <c r="F117" s="2"/>
      <c r="G117" s="2"/>
    </row>
    <row r="118" spans="1:7" x14ac:dyDescent="0.25">
      <c r="A118" s="2"/>
      <c r="B118" s="2"/>
      <c r="C118" s="2"/>
      <c r="D118" s="2"/>
      <c r="E118" s="3"/>
      <c r="F118" s="2"/>
      <c r="G118" s="2"/>
    </row>
    <row r="119" spans="1:7" x14ac:dyDescent="0.25">
      <c r="A119" s="2"/>
      <c r="B119" s="2"/>
      <c r="C119" s="2"/>
      <c r="D119" s="2"/>
      <c r="E119" s="3"/>
      <c r="F119" s="2"/>
      <c r="G119" s="2"/>
    </row>
    <row r="120" spans="1:7" x14ac:dyDescent="0.25">
      <c r="A120" s="2"/>
      <c r="B120" s="2"/>
      <c r="C120" s="2"/>
      <c r="D120" s="2"/>
      <c r="E120" s="3"/>
      <c r="F120" s="2"/>
      <c r="G120" s="2"/>
    </row>
    <row r="121" spans="1:7" x14ac:dyDescent="0.25">
      <c r="A121" s="2"/>
      <c r="B121" s="2"/>
      <c r="C121" s="2"/>
      <c r="D121" s="2"/>
      <c r="E121" s="3"/>
      <c r="F121" s="2"/>
      <c r="G121" s="2"/>
    </row>
    <row r="122" spans="1:7" x14ac:dyDescent="0.25">
      <c r="A122" s="2"/>
      <c r="B122" s="2"/>
      <c r="C122" s="2"/>
      <c r="D122" s="2"/>
      <c r="E122" s="3"/>
      <c r="F122" s="2"/>
      <c r="G122" s="2"/>
    </row>
    <row r="123" spans="1:7" x14ac:dyDescent="0.25">
      <c r="A123" s="2"/>
      <c r="B123" s="2"/>
      <c r="C123" s="2"/>
      <c r="D123" s="2"/>
      <c r="E123" s="3"/>
      <c r="F123" s="2"/>
      <c r="G123" s="2"/>
    </row>
    <row r="124" spans="1:7" x14ac:dyDescent="0.25">
      <c r="A124" s="2"/>
      <c r="B124" s="2"/>
      <c r="C124" s="2"/>
      <c r="D124" s="2"/>
      <c r="E124" s="3"/>
      <c r="F124" s="2"/>
      <c r="G124" s="2"/>
    </row>
    <row r="125" spans="1:7" x14ac:dyDescent="0.25">
      <c r="A125" s="2"/>
      <c r="B125" s="2"/>
      <c r="C125" s="2"/>
      <c r="D125" s="2"/>
      <c r="E125" s="3"/>
      <c r="F125" s="2"/>
      <c r="G125" s="2"/>
    </row>
    <row r="126" spans="1:7" x14ac:dyDescent="0.25">
      <c r="A126" s="2"/>
      <c r="B126" s="2"/>
      <c r="C126" s="2"/>
      <c r="D126" s="2"/>
      <c r="E126" s="3"/>
      <c r="F126" s="2"/>
      <c r="G126" s="2"/>
    </row>
    <row r="127" spans="1:7" x14ac:dyDescent="0.25">
      <c r="A127" s="2"/>
      <c r="B127" s="2"/>
      <c r="C127" s="2"/>
      <c r="D127" s="2"/>
      <c r="E127" s="3"/>
      <c r="F127" s="2"/>
      <c r="G127" s="2"/>
    </row>
    <row r="128" spans="1:7" x14ac:dyDescent="0.25">
      <c r="A128" s="2"/>
      <c r="B128" s="2"/>
      <c r="C128" s="2"/>
      <c r="D128" s="2"/>
      <c r="E128" s="3"/>
      <c r="F128" s="2"/>
      <c r="G128" s="2"/>
    </row>
    <row r="129" spans="1:7" x14ac:dyDescent="0.25">
      <c r="A129" s="2"/>
      <c r="B129" s="2"/>
      <c r="C129" s="2"/>
      <c r="D129" s="2"/>
      <c r="E129" s="3"/>
      <c r="F129" s="2"/>
      <c r="G129" s="2"/>
    </row>
    <row r="130" spans="1:7" x14ac:dyDescent="0.25">
      <c r="A130" s="2"/>
      <c r="B130" s="2"/>
      <c r="C130" s="2"/>
      <c r="D130" s="2"/>
      <c r="E130" s="3"/>
      <c r="F130" s="2"/>
      <c r="G130" s="2"/>
    </row>
    <row r="131" spans="1:7" x14ac:dyDescent="0.25">
      <c r="A131" s="2"/>
      <c r="B131" s="2"/>
      <c r="C131" s="2"/>
      <c r="D131" s="2"/>
      <c r="E131" s="3"/>
      <c r="F131" s="2"/>
      <c r="G131" s="2"/>
    </row>
    <row r="132" spans="1:7" x14ac:dyDescent="0.25">
      <c r="A132" s="2"/>
      <c r="B132" s="2"/>
      <c r="C132" s="2"/>
      <c r="D132" s="2"/>
      <c r="E132" s="3"/>
      <c r="F132" s="2"/>
      <c r="G132" s="2"/>
    </row>
    <row r="133" spans="1:7" x14ac:dyDescent="0.25">
      <c r="A133" s="2"/>
      <c r="B133" s="2"/>
      <c r="C133" s="2"/>
      <c r="D133" s="2"/>
      <c r="E133" s="3"/>
      <c r="F133" s="2"/>
      <c r="G133" s="2"/>
    </row>
    <row r="134" spans="1:7" x14ac:dyDescent="0.25">
      <c r="A134" s="2"/>
      <c r="B134" s="2"/>
      <c r="C134" s="2"/>
      <c r="D134" s="2"/>
      <c r="E134" s="3"/>
      <c r="F134" s="2"/>
      <c r="G134" s="2"/>
    </row>
    <row r="135" spans="1:7" x14ac:dyDescent="0.25">
      <c r="A135" s="2"/>
      <c r="B135" s="2"/>
      <c r="C135" s="2"/>
      <c r="D135" s="2"/>
      <c r="E135" s="3"/>
      <c r="F135" s="2"/>
      <c r="G135" s="2"/>
    </row>
    <row r="136" spans="1:7" x14ac:dyDescent="0.25">
      <c r="A136" s="2"/>
      <c r="B136" s="2"/>
      <c r="C136" s="2"/>
      <c r="D136" s="2"/>
      <c r="E136" s="3"/>
      <c r="F136" s="2"/>
      <c r="G136" s="2"/>
    </row>
    <row r="137" spans="1:7" x14ac:dyDescent="0.25">
      <c r="A137" s="2"/>
      <c r="B137" s="2"/>
      <c r="C137" s="2"/>
      <c r="D137" s="2"/>
      <c r="E137" s="3"/>
      <c r="F137" s="2"/>
      <c r="G137" s="2"/>
    </row>
    <row r="138" spans="1:7" x14ac:dyDescent="0.25">
      <c r="A138" s="2"/>
      <c r="B138" s="2"/>
      <c r="C138" s="2"/>
      <c r="D138" s="2"/>
      <c r="E138" s="3"/>
      <c r="F138" s="2"/>
      <c r="G138" s="2"/>
    </row>
    <row r="139" spans="1:7" x14ac:dyDescent="0.25">
      <c r="A139" s="2"/>
      <c r="B139" s="2"/>
      <c r="C139" s="2"/>
      <c r="D139" s="2"/>
      <c r="E139" s="3"/>
      <c r="F139" s="2"/>
      <c r="G139" s="2"/>
    </row>
    <row r="140" spans="1:7" x14ac:dyDescent="0.25">
      <c r="A140" s="2"/>
      <c r="B140" s="2"/>
      <c r="C140" s="2"/>
      <c r="D140" s="2"/>
      <c r="E140" s="3"/>
      <c r="F140" s="2"/>
      <c r="G140" s="2"/>
    </row>
    <row r="141" spans="1:7" x14ac:dyDescent="0.25">
      <c r="A141" s="2"/>
      <c r="B141" s="2"/>
      <c r="C141" s="2"/>
      <c r="D141" s="2"/>
      <c r="E141" s="3"/>
      <c r="F141" s="2"/>
      <c r="G141" s="2"/>
    </row>
    <row r="142" spans="1:7" x14ac:dyDescent="0.25">
      <c r="A142" s="2"/>
      <c r="B142" s="2"/>
      <c r="C142" s="2"/>
      <c r="D142" s="2"/>
      <c r="E142" s="3"/>
      <c r="F142" s="2"/>
      <c r="G142" s="2"/>
    </row>
    <row r="143" spans="1:7" x14ac:dyDescent="0.25">
      <c r="A143" s="2"/>
      <c r="B143" s="2"/>
      <c r="C143" s="2"/>
      <c r="D143" s="2"/>
      <c r="E143" s="3"/>
      <c r="F143" s="2"/>
      <c r="G143" s="2"/>
    </row>
    <row r="144" spans="1:7" x14ac:dyDescent="0.25">
      <c r="A144" s="2"/>
      <c r="B144" s="2"/>
      <c r="C144" s="2"/>
      <c r="D144" s="2"/>
      <c r="E144" s="3"/>
      <c r="F144" s="2"/>
      <c r="G144" s="2"/>
    </row>
    <row r="145" spans="1:7" x14ac:dyDescent="0.25">
      <c r="A145" s="2"/>
      <c r="B145" s="2"/>
      <c r="C145" s="2"/>
      <c r="D145" s="2"/>
      <c r="E145" s="3"/>
      <c r="F145" s="2"/>
      <c r="G145" s="2"/>
    </row>
    <row r="146" spans="1:7" x14ac:dyDescent="0.25">
      <c r="A146" s="2"/>
      <c r="B146" s="2"/>
      <c r="C146" s="2"/>
      <c r="D146" s="2"/>
      <c r="E146" s="3"/>
      <c r="F146" s="2"/>
      <c r="G146" s="2"/>
    </row>
    <row r="147" spans="1:7" x14ac:dyDescent="0.25">
      <c r="A147" s="2"/>
      <c r="B147" s="2"/>
      <c r="C147" s="2"/>
      <c r="D147" s="2"/>
      <c r="E147" s="3"/>
      <c r="F147" s="2"/>
      <c r="G147" s="2"/>
    </row>
    <row r="148" spans="1:7" x14ac:dyDescent="0.25">
      <c r="A148" s="2"/>
      <c r="B148" s="2"/>
      <c r="C148" s="2"/>
      <c r="D148" s="2"/>
      <c r="E148" s="3"/>
      <c r="F148" s="2"/>
      <c r="G148" s="2"/>
    </row>
    <row r="149" spans="1:7" x14ac:dyDescent="0.25">
      <c r="A149" s="2"/>
      <c r="B149" s="2"/>
      <c r="C149" s="2"/>
      <c r="D149" s="2"/>
      <c r="E149" s="3"/>
      <c r="F149" s="2"/>
      <c r="G149" s="2"/>
    </row>
    <row r="150" spans="1:7" x14ac:dyDescent="0.25">
      <c r="A150" s="2"/>
      <c r="B150" s="2"/>
      <c r="C150" s="2"/>
      <c r="D150" s="2"/>
      <c r="E150" s="3"/>
      <c r="F150" s="2"/>
      <c r="G150" s="2"/>
    </row>
    <row r="151" spans="1:7" x14ac:dyDescent="0.25">
      <c r="A151" s="2"/>
      <c r="B151" s="2"/>
      <c r="C151" s="2"/>
      <c r="D151" s="2"/>
      <c r="E151" s="3"/>
      <c r="F151" s="2"/>
      <c r="G151" s="2"/>
    </row>
    <row r="152" spans="1:7" x14ac:dyDescent="0.25">
      <c r="A152" s="2"/>
      <c r="B152" s="2"/>
      <c r="C152" s="2"/>
      <c r="D152" s="2"/>
      <c r="E152" s="3"/>
      <c r="F152" s="2"/>
      <c r="G152" s="2"/>
    </row>
    <row r="153" spans="1:7" x14ac:dyDescent="0.25">
      <c r="A153" s="2"/>
      <c r="B153" s="2"/>
      <c r="C153" s="2"/>
      <c r="D153" s="2"/>
      <c r="E153" s="3"/>
      <c r="F153" s="2"/>
      <c r="G153" s="2"/>
    </row>
    <row r="154" spans="1:7" x14ac:dyDescent="0.25">
      <c r="A154" s="2"/>
      <c r="B154" s="2"/>
      <c r="C154" s="2"/>
      <c r="D154" s="2"/>
      <c r="E154" s="3"/>
      <c r="F154" s="2"/>
      <c r="G154" s="2"/>
    </row>
    <row r="155" spans="1:7" x14ac:dyDescent="0.25">
      <c r="A155" s="2"/>
      <c r="B155" s="2"/>
      <c r="C155" s="2"/>
      <c r="D155" s="2"/>
      <c r="E155" s="3"/>
      <c r="F155" s="2"/>
      <c r="G155" s="2"/>
    </row>
    <row r="156" spans="1:7" x14ac:dyDescent="0.25">
      <c r="A156" s="2"/>
      <c r="B156" s="2"/>
      <c r="C156" s="2"/>
      <c r="D156" s="2"/>
      <c r="E156" s="3"/>
      <c r="F156" s="2"/>
      <c r="G156" s="2"/>
    </row>
    <row r="157" spans="1:7" x14ac:dyDescent="0.25">
      <c r="A157" s="2"/>
      <c r="B157" s="2"/>
      <c r="C157" s="2"/>
      <c r="D157" s="2"/>
      <c r="E157" s="3"/>
      <c r="F157" s="2"/>
      <c r="G157" s="2"/>
    </row>
    <row r="158" spans="1:7" x14ac:dyDescent="0.25">
      <c r="A158" s="2"/>
      <c r="B158" s="2"/>
      <c r="C158" s="2"/>
      <c r="D158" s="2"/>
      <c r="E158" s="3"/>
      <c r="F158" s="2"/>
      <c r="G158" s="2"/>
    </row>
    <row r="159" spans="1:7" x14ac:dyDescent="0.25">
      <c r="A159" s="2"/>
      <c r="B159" s="2"/>
      <c r="C159" s="2"/>
      <c r="D159" s="2"/>
      <c r="E159" s="3"/>
      <c r="F159" s="2"/>
      <c r="G159" s="2"/>
    </row>
    <row r="160" spans="1:7" x14ac:dyDescent="0.25">
      <c r="A160" s="2"/>
      <c r="B160" s="2"/>
      <c r="C160" s="2"/>
      <c r="D160" s="2"/>
      <c r="E160" s="3"/>
      <c r="F160" s="2"/>
      <c r="G160" s="2"/>
    </row>
    <row r="161" spans="1:7" x14ac:dyDescent="0.25">
      <c r="A161" s="2"/>
      <c r="B161" s="2"/>
      <c r="C161" s="2"/>
      <c r="D161" s="2"/>
      <c r="E161" s="3"/>
      <c r="F161" s="2"/>
      <c r="G161" s="2"/>
    </row>
    <row r="162" spans="1:7" x14ac:dyDescent="0.25">
      <c r="A162" s="2"/>
      <c r="B162" s="2"/>
      <c r="C162" s="2"/>
      <c r="D162" s="2"/>
      <c r="E162" s="3"/>
      <c r="F162" s="2"/>
      <c r="G162" s="2"/>
    </row>
    <row r="163" spans="1:7" x14ac:dyDescent="0.25">
      <c r="A163" s="2"/>
      <c r="B163" s="2"/>
      <c r="C163" s="2"/>
      <c r="D163" s="2"/>
      <c r="E163" s="3"/>
      <c r="F163" s="2"/>
      <c r="G163" s="2"/>
    </row>
    <row r="164" spans="1:7" x14ac:dyDescent="0.25">
      <c r="A164" s="2"/>
      <c r="B164" s="2"/>
      <c r="C164" s="2"/>
      <c r="D164" s="2"/>
      <c r="E164" s="3"/>
      <c r="F164" s="2"/>
      <c r="G164" s="2"/>
    </row>
    <row r="165" spans="1:7" x14ac:dyDescent="0.25">
      <c r="A165" s="2"/>
      <c r="B165" s="2"/>
      <c r="C165" s="2"/>
      <c r="D165" s="2"/>
      <c r="E165" s="3"/>
      <c r="F165" s="2"/>
      <c r="G165" s="2"/>
    </row>
    <row r="166" spans="1:7" x14ac:dyDescent="0.25">
      <c r="A166" s="2"/>
      <c r="B166" s="2"/>
      <c r="C166" s="2"/>
      <c r="D166" s="2"/>
      <c r="E166" s="3"/>
      <c r="F166" s="2"/>
      <c r="G166" s="2"/>
    </row>
  </sheetData>
  <mergeCells count="2">
    <mergeCell ref="A105:G105"/>
    <mergeCell ref="A1:Q1"/>
  </mergeCells>
  <conditionalFormatting sqref="A3:Q102">
    <cfRule type="expression" dxfId="63" priority="8">
      <formula>$O3="Yes"</formula>
    </cfRule>
  </conditionalFormatting>
  <conditionalFormatting sqref="M3:M102">
    <cfRule type="expression" dxfId="62" priority="1">
      <formula>AND(M3&gt;=1,M3&lt;&gt;"")</formula>
    </cfRule>
    <cfRule type="expression" dxfId="61" priority="2">
      <formula>AND(M3&gt;=0.8,M3&lt;1)</formula>
    </cfRule>
    <cfRule type="expression" dxfId="60" priority="3">
      <formula>AND(M3&lt;0.8,M3&lt;&gt;"")</formula>
    </cfRule>
  </conditionalFormatting>
  <conditionalFormatting sqref="P3:P102">
    <cfRule type="expression" dxfId="59" priority="4">
      <formula>$P3="Completed"</formula>
    </cfRule>
    <cfRule type="expression" dxfId="58" priority="5">
      <formula>$P3="In progress"</formula>
    </cfRule>
    <cfRule type="expression" dxfId="57" priority="6">
      <formula>OR($P3="Delayed",$P3="Cancelled")</formula>
    </cfRule>
    <cfRule type="expression" dxfId="56" priority="7">
      <formula>$P3="Not started"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00000000}">
          <x14:formula1>
            <xm:f>Lists!$F$1:$F$5</xm:f>
          </x14:formula1>
          <xm:sqref>P3:P102</xm:sqref>
        </x14:dataValidation>
        <x14:dataValidation type="list" allowBlank="1" xr:uid="{00000000-0002-0000-0000-000001000000}">
          <x14:formula1>
            <xm:f>Lists!$G$1:$G$2</xm:f>
          </x14:formula1>
          <xm:sqref>O3:O102</xm:sqref>
        </x14:dataValidation>
        <x14:dataValidation type="list" allowBlank="1" xr:uid="{00000000-0002-0000-0000-000002000000}">
          <x14:formula1>
            <xm:f>Lists!$D$2:$D$4</xm:f>
          </x14:formula1>
          <xm:sqref>I3:I102</xm:sqref>
        </x14:dataValidation>
        <x14:dataValidation type="list" allowBlank="1" xr:uid="{00000000-0002-0000-0000-000003000000}">
          <x14:formula1>
            <xm:f>Lists!$E$2:$E$13</xm:f>
          </x14:formula1>
          <xm:sqref>J3:J102</xm:sqref>
        </x14:dataValidation>
        <x14:dataValidation type="list" allowBlank="1" xr:uid="{00000000-0002-0000-0000-000004000000}">
          <x14:formula1>
            <xm:f>Lists!$B$2:$B$5</xm:f>
          </x14:formula1>
          <xm:sqref>E3:E102</xm:sqref>
        </x14:dataValidation>
        <x14:dataValidation type="list" allowBlank="1" xr:uid="{00000000-0002-0000-0000-000005000000}">
          <x14:formula1>
            <xm:f>Lists!$C$2:$C$5</xm:f>
          </x14:formula1>
          <xm:sqref>A3:A102</xm:sqref>
        </x14:dataValidation>
        <x14:dataValidation type="list" allowBlank="1" xr:uid="{00000000-0002-0000-0000-000006000000}">
          <x14:formula1>
            <xm:f>Lists!$H$1:$H$4</xm:f>
          </x14:formula1>
          <xm:sqref>C107:C166</xm:sqref>
        </x14:dataValidation>
        <x14:dataValidation type="list" allowBlank="1" xr:uid="{00000000-0002-0000-0000-000007000000}">
          <x14:formula1>
            <xm:f>Lists!$I$1:$I$3</xm:f>
          </x14:formula1>
          <xm:sqref>F107:F166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6"/>
  <sheetViews>
    <sheetView workbookViewId="0">
      <selection sqref="A1:Q1"/>
    </sheetView>
  </sheetViews>
  <sheetFormatPr defaultRowHeight="15" x14ac:dyDescent="0.25"/>
  <cols>
    <col min="1" max="1" width="18" customWidth="1"/>
    <col min="2" max="2" width="32" customWidth="1"/>
    <col min="3" max="3" width="20" customWidth="1"/>
    <col min="4" max="4" width="28" customWidth="1"/>
    <col min="5" max="5" width="18" customWidth="1"/>
    <col min="6" max="6" width="22" customWidth="1"/>
    <col min="7" max="7" width="26" customWidth="1"/>
    <col min="8" max="9" width="12" customWidth="1"/>
    <col min="10" max="10" width="14" customWidth="1"/>
    <col min="11" max="12" width="16" customWidth="1"/>
    <col min="13" max="13" width="12" customWidth="1"/>
    <col min="14" max="14" width="28" customWidth="1"/>
    <col min="15" max="15" width="18" customWidth="1"/>
    <col min="16" max="16" width="16" customWidth="1"/>
    <col min="17" max="17" width="34" customWidth="1"/>
  </cols>
  <sheetData>
    <row r="1" spans="1:17" x14ac:dyDescent="0.25">
      <c r="A1" s="20" t="s">
        <v>75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30</v>
      </c>
      <c r="B3" s="2" t="s">
        <v>31</v>
      </c>
      <c r="C3" s="2" t="s">
        <v>76</v>
      </c>
      <c r="D3" s="2" t="s">
        <v>77</v>
      </c>
      <c r="E3" s="2" t="s">
        <v>34</v>
      </c>
      <c r="F3" s="2" t="s">
        <v>78</v>
      </c>
      <c r="G3" s="3">
        <v>45839</v>
      </c>
      <c r="H3" s="3">
        <v>45930</v>
      </c>
      <c r="I3" s="2" t="s">
        <v>56</v>
      </c>
      <c r="J3" s="2" t="s">
        <v>79</v>
      </c>
      <c r="K3" s="4">
        <v>49</v>
      </c>
      <c r="L3" s="4">
        <v>41</v>
      </c>
      <c r="M3" s="5">
        <f t="shared" ref="M3:M34" si="0">IF(OR(K3="",L3=""),"",IFERROR(L3/K3,0))</f>
        <v>0.83673469387755106</v>
      </c>
      <c r="N3" s="2" t="s">
        <v>36</v>
      </c>
      <c r="O3" s="2" t="s">
        <v>37</v>
      </c>
      <c r="P3" s="2" t="s">
        <v>52</v>
      </c>
      <c r="Q3" s="2" t="s">
        <v>53</v>
      </c>
    </row>
    <row r="4" spans="1:17" x14ac:dyDescent="0.25">
      <c r="A4" s="2" t="s">
        <v>38</v>
      </c>
      <c r="B4" s="2" t="s">
        <v>39</v>
      </c>
      <c r="C4" s="2" t="s">
        <v>80</v>
      </c>
      <c r="D4" s="2" t="s">
        <v>81</v>
      </c>
      <c r="E4" s="2" t="s">
        <v>42</v>
      </c>
      <c r="F4" s="2" t="s">
        <v>78</v>
      </c>
      <c r="G4" s="3">
        <v>45931</v>
      </c>
      <c r="H4" s="3">
        <v>46022</v>
      </c>
      <c r="I4" s="2" t="s">
        <v>56</v>
      </c>
      <c r="J4" s="2" t="s">
        <v>82</v>
      </c>
      <c r="K4" s="4">
        <v>54</v>
      </c>
      <c r="L4" s="4">
        <v>63</v>
      </c>
      <c r="M4" s="5">
        <f t="shared" si="0"/>
        <v>1.1666666666666667</v>
      </c>
      <c r="N4" s="2" t="s">
        <v>44</v>
      </c>
      <c r="O4" s="2" t="s">
        <v>27</v>
      </c>
      <c r="P4" s="2" t="s">
        <v>28</v>
      </c>
      <c r="Q4" s="2" t="s">
        <v>29</v>
      </c>
    </row>
    <row r="5" spans="1:17" x14ac:dyDescent="0.25">
      <c r="A5" s="2" t="s">
        <v>45</v>
      </c>
      <c r="B5" s="2" t="s">
        <v>46</v>
      </c>
      <c r="C5" s="2" t="s">
        <v>83</v>
      </c>
      <c r="D5" s="2" t="s">
        <v>84</v>
      </c>
      <c r="E5" s="2" t="s">
        <v>49</v>
      </c>
      <c r="F5" s="2" t="s">
        <v>78</v>
      </c>
      <c r="G5" s="3">
        <v>46023</v>
      </c>
      <c r="H5" s="3">
        <v>46112</v>
      </c>
      <c r="I5" s="2" t="s">
        <v>85</v>
      </c>
      <c r="J5" s="2" t="s">
        <v>86</v>
      </c>
      <c r="K5" s="4">
        <v>59</v>
      </c>
      <c r="L5" s="4">
        <v>64</v>
      </c>
      <c r="M5" s="5">
        <f t="shared" si="0"/>
        <v>1.0847457627118644</v>
      </c>
      <c r="N5" s="2" t="s">
        <v>51</v>
      </c>
      <c r="O5" s="2" t="s">
        <v>27</v>
      </c>
      <c r="P5" s="2" t="s">
        <v>28</v>
      </c>
      <c r="Q5" s="2" t="s">
        <v>29</v>
      </c>
    </row>
    <row r="6" spans="1:17" x14ac:dyDescent="0.25">
      <c r="A6" s="2" t="s">
        <v>18</v>
      </c>
      <c r="B6" s="2" t="s">
        <v>19</v>
      </c>
      <c r="C6" s="2" t="s">
        <v>87</v>
      </c>
      <c r="D6" s="2" t="s">
        <v>88</v>
      </c>
      <c r="E6" s="2" t="s">
        <v>22</v>
      </c>
      <c r="F6" s="2" t="s">
        <v>78</v>
      </c>
      <c r="G6" s="3">
        <v>46113</v>
      </c>
      <c r="H6" s="3">
        <v>46203</v>
      </c>
      <c r="I6" s="2" t="s">
        <v>85</v>
      </c>
      <c r="J6" s="2" t="s">
        <v>89</v>
      </c>
      <c r="K6" s="4">
        <v>64</v>
      </c>
      <c r="L6" s="4">
        <v>65</v>
      </c>
      <c r="M6" s="5">
        <f t="shared" si="0"/>
        <v>1.015625</v>
      </c>
      <c r="N6" s="2" t="s">
        <v>26</v>
      </c>
      <c r="O6" s="2" t="s">
        <v>37</v>
      </c>
      <c r="P6" s="2" t="s">
        <v>28</v>
      </c>
      <c r="Q6" s="2" t="s">
        <v>29</v>
      </c>
    </row>
    <row r="7" spans="1:17" x14ac:dyDescent="0.25">
      <c r="A7" s="2" t="s">
        <v>30</v>
      </c>
      <c r="B7" s="2" t="s">
        <v>31</v>
      </c>
      <c r="C7" s="2" t="s">
        <v>90</v>
      </c>
      <c r="D7" s="2" t="s">
        <v>91</v>
      </c>
      <c r="E7" s="2" t="s">
        <v>34</v>
      </c>
      <c r="F7" s="2" t="s">
        <v>78</v>
      </c>
      <c r="G7" s="3">
        <v>46204</v>
      </c>
      <c r="H7" s="3">
        <v>46295</v>
      </c>
      <c r="I7" s="2" t="s">
        <v>85</v>
      </c>
      <c r="J7" s="2" t="s">
        <v>92</v>
      </c>
      <c r="K7" s="4">
        <v>69</v>
      </c>
      <c r="L7" s="4">
        <v>0</v>
      </c>
      <c r="M7" s="5">
        <f t="shared" si="0"/>
        <v>0</v>
      </c>
      <c r="N7" s="2" t="s">
        <v>36</v>
      </c>
      <c r="O7" s="2" t="s">
        <v>27</v>
      </c>
      <c r="P7" s="2" t="s">
        <v>93</v>
      </c>
      <c r="Q7" s="2" t="s">
        <v>94</v>
      </c>
    </row>
    <row r="8" spans="1:17" x14ac:dyDescent="0.25">
      <c r="A8" s="2" t="s">
        <v>38</v>
      </c>
      <c r="B8" s="2" t="s">
        <v>39</v>
      </c>
      <c r="C8" s="2" t="s">
        <v>95</v>
      </c>
      <c r="D8" s="2" t="s">
        <v>96</v>
      </c>
      <c r="E8" s="2" t="s">
        <v>42</v>
      </c>
      <c r="F8" s="2" t="s">
        <v>78</v>
      </c>
      <c r="G8" s="3">
        <v>46296</v>
      </c>
      <c r="H8" s="3">
        <v>46387</v>
      </c>
      <c r="I8" s="2" t="s">
        <v>85</v>
      </c>
      <c r="J8" s="2" t="s">
        <v>97</v>
      </c>
      <c r="K8" s="4">
        <v>74</v>
      </c>
      <c r="L8" s="4">
        <v>0</v>
      </c>
      <c r="M8" s="5">
        <f t="shared" si="0"/>
        <v>0</v>
      </c>
      <c r="N8" s="2" t="s">
        <v>44</v>
      </c>
      <c r="O8" s="2" t="s">
        <v>27</v>
      </c>
      <c r="P8" s="2" t="s">
        <v>93</v>
      </c>
      <c r="Q8" s="2" t="s">
        <v>94</v>
      </c>
    </row>
    <row r="9" spans="1:17" x14ac:dyDescent="0.25">
      <c r="A9" s="2"/>
      <c r="B9" s="2"/>
      <c r="C9" s="2"/>
      <c r="D9" s="2"/>
      <c r="E9" s="2"/>
      <c r="F9" s="2" t="s">
        <v>78</v>
      </c>
      <c r="G9" s="3"/>
      <c r="H9" s="3"/>
      <c r="I9" s="2"/>
      <c r="J9" s="2"/>
      <c r="K9" s="4"/>
      <c r="L9" s="4"/>
      <c r="M9" s="5" t="str">
        <f t="shared" si="0"/>
        <v/>
      </c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 t="s">
        <v>78</v>
      </c>
      <c r="G10" s="3"/>
      <c r="H10" s="3"/>
      <c r="I10" s="2"/>
      <c r="J10" s="2"/>
      <c r="K10" s="4"/>
      <c r="L10" s="4"/>
      <c r="M10" s="5" t="str">
        <f t="shared" si="0"/>
        <v/>
      </c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 t="s">
        <v>78</v>
      </c>
      <c r="G11" s="3"/>
      <c r="H11" s="3"/>
      <c r="I11" s="2"/>
      <c r="J11" s="2"/>
      <c r="K11" s="4"/>
      <c r="L11" s="4"/>
      <c r="M11" s="5" t="str">
        <f t="shared" si="0"/>
        <v/>
      </c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 t="s">
        <v>78</v>
      </c>
      <c r="G12" s="3"/>
      <c r="H12" s="3"/>
      <c r="I12" s="2"/>
      <c r="J12" s="2"/>
      <c r="K12" s="4"/>
      <c r="L12" s="4"/>
      <c r="M12" s="5" t="str">
        <f t="shared" si="0"/>
        <v/>
      </c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 t="s">
        <v>78</v>
      </c>
      <c r="G13" s="3"/>
      <c r="H13" s="3"/>
      <c r="I13" s="2"/>
      <c r="J13" s="2"/>
      <c r="K13" s="4"/>
      <c r="L13" s="4"/>
      <c r="M13" s="5" t="str">
        <f t="shared" si="0"/>
        <v/>
      </c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 t="s">
        <v>78</v>
      </c>
      <c r="G14" s="3"/>
      <c r="H14" s="3"/>
      <c r="I14" s="2"/>
      <c r="J14" s="2"/>
      <c r="K14" s="4"/>
      <c r="L14" s="4"/>
      <c r="M14" s="5" t="str">
        <f t="shared" si="0"/>
        <v/>
      </c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 t="s">
        <v>78</v>
      </c>
      <c r="G15" s="3"/>
      <c r="H15" s="3"/>
      <c r="I15" s="2"/>
      <c r="J15" s="2"/>
      <c r="K15" s="4"/>
      <c r="L15" s="4"/>
      <c r="M15" s="5" t="str">
        <f t="shared" si="0"/>
        <v/>
      </c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 t="s">
        <v>78</v>
      </c>
      <c r="G16" s="3"/>
      <c r="H16" s="3"/>
      <c r="I16" s="2"/>
      <c r="J16" s="2"/>
      <c r="K16" s="4"/>
      <c r="L16" s="4"/>
      <c r="M16" s="5" t="str">
        <f t="shared" si="0"/>
        <v/>
      </c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 t="s">
        <v>78</v>
      </c>
      <c r="G17" s="3"/>
      <c r="H17" s="3"/>
      <c r="I17" s="2"/>
      <c r="J17" s="2"/>
      <c r="K17" s="4"/>
      <c r="L17" s="4"/>
      <c r="M17" s="5" t="str">
        <f t="shared" si="0"/>
        <v/>
      </c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 t="s">
        <v>78</v>
      </c>
      <c r="G18" s="3"/>
      <c r="H18" s="3"/>
      <c r="I18" s="2"/>
      <c r="J18" s="2"/>
      <c r="K18" s="4"/>
      <c r="L18" s="4"/>
      <c r="M18" s="5" t="str">
        <f t="shared" si="0"/>
        <v/>
      </c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 t="s">
        <v>78</v>
      </c>
      <c r="G19" s="3"/>
      <c r="H19" s="3"/>
      <c r="I19" s="2"/>
      <c r="J19" s="2"/>
      <c r="K19" s="4"/>
      <c r="L19" s="4"/>
      <c r="M19" s="5" t="str">
        <f t="shared" si="0"/>
        <v/>
      </c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 t="s">
        <v>78</v>
      </c>
      <c r="G20" s="3"/>
      <c r="H20" s="3"/>
      <c r="I20" s="2"/>
      <c r="J20" s="2"/>
      <c r="K20" s="4"/>
      <c r="L20" s="4"/>
      <c r="M20" s="5" t="str">
        <f t="shared" si="0"/>
        <v/>
      </c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 t="s">
        <v>78</v>
      </c>
      <c r="G21" s="3"/>
      <c r="H21" s="3"/>
      <c r="I21" s="2"/>
      <c r="J21" s="2"/>
      <c r="K21" s="4"/>
      <c r="L21" s="4"/>
      <c r="M21" s="5" t="str">
        <f t="shared" si="0"/>
        <v/>
      </c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 t="s">
        <v>78</v>
      </c>
      <c r="G22" s="3"/>
      <c r="H22" s="3"/>
      <c r="I22" s="2"/>
      <c r="J22" s="2"/>
      <c r="K22" s="4"/>
      <c r="L22" s="4"/>
      <c r="M22" s="5" t="str">
        <f t="shared" si="0"/>
        <v/>
      </c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 t="s">
        <v>78</v>
      </c>
      <c r="G23" s="3"/>
      <c r="H23" s="3"/>
      <c r="I23" s="2"/>
      <c r="J23" s="2"/>
      <c r="K23" s="4"/>
      <c r="L23" s="4"/>
      <c r="M23" s="5" t="str">
        <f t="shared" si="0"/>
        <v/>
      </c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 t="s">
        <v>78</v>
      </c>
      <c r="G24" s="3"/>
      <c r="H24" s="3"/>
      <c r="I24" s="2"/>
      <c r="J24" s="2"/>
      <c r="K24" s="4"/>
      <c r="L24" s="4"/>
      <c r="M24" s="5" t="str">
        <f t="shared" si="0"/>
        <v/>
      </c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 t="s">
        <v>78</v>
      </c>
      <c r="G25" s="3"/>
      <c r="H25" s="3"/>
      <c r="I25" s="2"/>
      <c r="J25" s="2"/>
      <c r="K25" s="4"/>
      <c r="L25" s="4"/>
      <c r="M25" s="5" t="str">
        <f t="shared" si="0"/>
        <v/>
      </c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 t="s">
        <v>78</v>
      </c>
      <c r="G26" s="3"/>
      <c r="H26" s="3"/>
      <c r="I26" s="2"/>
      <c r="J26" s="2"/>
      <c r="K26" s="4"/>
      <c r="L26" s="4"/>
      <c r="M26" s="5" t="str">
        <f t="shared" si="0"/>
        <v/>
      </c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 t="s">
        <v>78</v>
      </c>
      <c r="G27" s="3"/>
      <c r="H27" s="3"/>
      <c r="I27" s="2"/>
      <c r="J27" s="2"/>
      <c r="K27" s="4"/>
      <c r="L27" s="4"/>
      <c r="M27" s="5" t="str">
        <f t="shared" si="0"/>
        <v/>
      </c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 t="s">
        <v>78</v>
      </c>
      <c r="G28" s="3"/>
      <c r="H28" s="3"/>
      <c r="I28" s="2"/>
      <c r="J28" s="2"/>
      <c r="K28" s="4"/>
      <c r="L28" s="4"/>
      <c r="M28" s="5" t="str">
        <f t="shared" si="0"/>
        <v/>
      </c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 t="s">
        <v>78</v>
      </c>
      <c r="G29" s="3"/>
      <c r="H29" s="3"/>
      <c r="I29" s="2"/>
      <c r="J29" s="2"/>
      <c r="K29" s="4"/>
      <c r="L29" s="4"/>
      <c r="M29" s="5" t="str">
        <f t="shared" si="0"/>
        <v/>
      </c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 t="s">
        <v>78</v>
      </c>
      <c r="G30" s="3"/>
      <c r="H30" s="3"/>
      <c r="I30" s="2"/>
      <c r="J30" s="2"/>
      <c r="K30" s="4"/>
      <c r="L30" s="4"/>
      <c r="M30" s="5" t="str">
        <f t="shared" si="0"/>
        <v/>
      </c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 t="s">
        <v>78</v>
      </c>
      <c r="G31" s="3"/>
      <c r="H31" s="3"/>
      <c r="I31" s="2"/>
      <c r="J31" s="2"/>
      <c r="K31" s="4"/>
      <c r="L31" s="4"/>
      <c r="M31" s="5" t="str">
        <f t="shared" si="0"/>
        <v/>
      </c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 t="s">
        <v>78</v>
      </c>
      <c r="G32" s="3"/>
      <c r="H32" s="3"/>
      <c r="I32" s="2"/>
      <c r="J32" s="2"/>
      <c r="K32" s="4"/>
      <c r="L32" s="4"/>
      <c r="M32" s="5" t="str">
        <f t="shared" si="0"/>
        <v/>
      </c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 t="s">
        <v>78</v>
      </c>
      <c r="G33" s="3"/>
      <c r="H33" s="3"/>
      <c r="I33" s="2"/>
      <c r="J33" s="2"/>
      <c r="K33" s="4"/>
      <c r="L33" s="4"/>
      <c r="M33" s="5" t="str">
        <f t="shared" si="0"/>
        <v/>
      </c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 t="s">
        <v>78</v>
      </c>
      <c r="G34" s="3"/>
      <c r="H34" s="3"/>
      <c r="I34" s="2"/>
      <c r="J34" s="2"/>
      <c r="K34" s="4"/>
      <c r="L34" s="4"/>
      <c r="M34" s="5" t="str">
        <f t="shared" si="0"/>
        <v/>
      </c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 t="s">
        <v>78</v>
      </c>
      <c r="G35" s="3"/>
      <c r="H35" s="3"/>
      <c r="I35" s="2"/>
      <c r="J35" s="2"/>
      <c r="K35" s="4"/>
      <c r="L35" s="4"/>
      <c r="M35" s="5" t="str">
        <f t="shared" ref="M35:M66" si="1">IF(OR(K35="",L35=""),"",IFERROR(L35/K35,0))</f>
        <v/>
      </c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 t="s">
        <v>78</v>
      </c>
      <c r="G36" s="3"/>
      <c r="H36" s="3"/>
      <c r="I36" s="2"/>
      <c r="J36" s="2"/>
      <c r="K36" s="4"/>
      <c r="L36" s="4"/>
      <c r="M36" s="5" t="str">
        <f t="shared" si="1"/>
        <v/>
      </c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 t="s">
        <v>78</v>
      </c>
      <c r="G37" s="3"/>
      <c r="H37" s="3"/>
      <c r="I37" s="2"/>
      <c r="J37" s="2"/>
      <c r="K37" s="4"/>
      <c r="L37" s="4"/>
      <c r="M37" s="5" t="str">
        <f t="shared" si="1"/>
        <v/>
      </c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 t="s">
        <v>78</v>
      </c>
      <c r="G38" s="3"/>
      <c r="H38" s="3"/>
      <c r="I38" s="2"/>
      <c r="J38" s="2"/>
      <c r="K38" s="4"/>
      <c r="L38" s="4"/>
      <c r="M38" s="5" t="str">
        <f t="shared" si="1"/>
        <v/>
      </c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 t="s">
        <v>78</v>
      </c>
      <c r="G39" s="3"/>
      <c r="H39" s="3"/>
      <c r="I39" s="2"/>
      <c r="J39" s="2"/>
      <c r="K39" s="4"/>
      <c r="L39" s="4"/>
      <c r="M39" s="5" t="str">
        <f t="shared" si="1"/>
        <v/>
      </c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 t="s">
        <v>78</v>
      </c>
      <c r="G40" s="3"/>
      <c r="H40" s="3"/>
      <c r="I40" s="2"/>
      <c r="J40" s="2"/>
      <c r="K40" s="4"/>
      <c r="L40" s="4"/>
      <c r="M40" s="5" t="str">
        <f t="shared" si="1"/>
        <v/>
      </c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 t="s">
        <v>78</v>
      </c>
      <c r="G41" s="3"/>
      <c r="H41" s="3"/>
      <c r="I41" s="2"/>
      <c r="J41" s="2"/>
      <c r="K41" s="4"/>
      <c r="L41" s="4"/>
      <c r="M41" s="5" t="str">
        <f t="shared" si="1"/>
        <v/>
      </c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 t="s">
        <v>78</v>
      </c>
      <c r="G42" s="3"/>
      <c r="H42" s="3"/>
      <c r="I42" s="2"/>
      <c r="J42" s="2"/>
      <c r="K42" s="4"/>
      <c r="L42" s="4"/>
      <c r="M42" s="5" t="str">
        <f t="shared" si="1"/>
        <v/>
      </c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 t="s">
        <v>78</v>
      </c>
      <c r="G43" s="3"/>
      <c r="H43" s="3"/>
      <c r="I43" s="2"/>
      <c r="J43" s="2"/>
      <c r="K43" s="4"/>
      <c r="L43" s="4"/>
      <c r="M43" s="5" t="str">
        <f t="shared" si="1"/>
        <v/>
      </c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 t="s">
        <v>78</v>
      </c>
      <c r="G44" s="3"/>
      <c r="H44" s="3"/>
      <c r="I44" s="2"/>
      <c r="J44" s="2"/>
      <c r="K44" s="4"/>
      <c r="L44" s="4"/>
      <c r="M44" s="5" t="str">
        <f t="shared" si="1"/>
        <v/>
      </c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 t="s">
        <v>78</v>
      </c>
      <c r="G45" s="3"/>
      <c r="H45" s="3"/>
      <c r="I45" s="2"/>
      <c r="J45" s="2"/>
      <c r="K45" s="4"/>
      <c r="L45" s="4"/>
      <c r="M45" s="5" t="str">
        <f t="shared" si="1"/>
        <v/>
      </c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 t="s">
        <v>78</v>
      </c>
      <c r="G46" s="3"/>
      <c r="H46" s="3"/>
      <c r="I46" s="2"/>
      <c r="J46" s="2"/>
      <c r="K46" s="4"/>
      <c r="L46" s="4"/>
      <c r="M46" s="5" t="str">
        <f t="shared" si="1"/>
        <v/>
      </c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 t="s">
        <v>78</v>
      </c>
      <c r="G47" s="3"/>
      <c r="H47" s="3"/>
      <c r="I47" s="2"/>
      <c r="J47" s="2"/>
      <c r="K47" s="4"/>
      <c r="L47" s="4"/>
      <c r="M47" s="5" t="str">
        <f t="shared" si="1"/>
        <v/>
      </c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 t="s">
        <v>78</v>
      </c>
      <c r="G48" s="3"/>
      <c r="H48" s="3"/>
      <c r="I48" s="2"/>
      <c r="J48" s="2"/>
      <c r="K48" s="4"/>
      <c r="L48" s="4"/>
      <c r="M48" s="5" t="str">
        <f t="shared" si="1"/>
        <v/>
      </c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 t="s">
        <v>78</v>
      </c>
      <c r="G49" s="3"/>
      <c r="H49" s="3"/>
      <c r="I49" s="2"/>
      <c r="J49" s="2"/>
      <c r="K49" s="4"/>
      <c r="L49" s="4"/>
      <c r="M49" s="5" t="str">
        <f t="shared" si="1"/>
        <v/>
      </c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 t="s">
        <v>78</v>
      </c>
      <c r="G50" s="3"/>
      <c r="H50" s="3"/>
      <c r="I50" s="2"/>
      <c r="J50" s="2"/>
      <c r="K50" s="4"/>
      <c r="L50" s="4"/>
      <c r="M50" s="5" t="str">
        <f t="shared" si="1"/>
        <v/>
      </c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 t="s">
        <v>78</v>
      </c>
      <c r="G51" s="3"/>
      <c r="H51" s="3"/>
      <c r="I51" s="2"/>
      <c r="J51" s="2"/>
      <c r="K51" s="4"/>
      <c r="L51" s="4"/>
      <c r="M51" s="5" t="str">
        <f t="shared" si="1"/>
        <v/>
      </c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 t="s">
        <v>78</v>
      </c>
      <c r="G52" s="3"/>
      <c r="H52" s="3"/>
      <c r="I52" s="2"/>
      <c r="J52" s="2"/>
      <c r="K52" s="4"/>
      <c r="L52" s="4"/>
      <c r="M52" s="5" t="str">
        <f t="shared" si="1"/>
        <v/>
      </c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 t="s">
        <v>78</v>
      </c>
      <c r="G53" s="3"/>
      <c r="H53" s="3"/>
      <c r="I53" s="2"/>
      <c r="J53" s="2"/>
      <c r="K53" s="4"/>
      <c r="L53" s="4"/>
      <c r="M53" s="5" t="str">
        <f t="shared" si="1"/>
        <v/>
      </c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 t="s">
        <v>78</v>
      </c>
      <c r="G54" s="3"/>
      <c r="H54" s="3"/>
      <c r="I54" s="2"/>
      <c r="J54" s="2"/>
      <c r="K54" s="4"/>
      <c r="L54" s="4"/>
      <c r="M54" s="5" t="str">
        <f t="shared" si="1"/>
        <v/>
      </c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 t="s">
        <v>78</v>
      </c>
      <c r="G55" s="3"/>
      <c r="H55" s="3"/>
      <c r="I55" s="2"/>
      <c r="J55" s="2"/>
      <c r="K55" s="4"/>
      <c r="L55" s="4"/>
      <c r="M55" s="5" t="str">
        <f t="shared" si="1"/>
        <v/>
      </c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 t="s">
        <v>78</v>
      </c>
      <c r="G56" s="3"/>
      <c r="H56" s="3"/>
      <c r="I56" s="2"/>
      <c r="J56" s="2"/>
      <c r="K56" s="4"/>
      <c r="L56" s="4"/>
      <c r="M56" s="5" t="str">
        <f t="shared" si="1"/>
        <v/>
      </c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 t="s">
        <v>78</v>
      </c>
      <c r="G57" s="3"/>
      <c r="H57" s="3"/>
      <c r="I57" s="2"/>
      <c r="J57" s="2"/>
      <c r="K57" s="4"/>
      <c r="L57" s="4"/>
      <c r="M57" s="5" t="str">
        <f t="shared" si="1"/>
        <v/>
      </c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 t="s">
        <v>78</v>
      </c>
      <c r="G58" s="3"/>
      <c r="H58" s="3"/>
      <c r="I58" s="2"/>
      <c r="J58" s="2"/>
      <c r="K58" s="4"/>
      <c r="L58" s="4"/>
      <c r="M58" s="5" t="str">
        <f t="shared" si="1"/>
        <v/>
      </c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 t="s">
        <v>78</v>
      </c>
      <c r="G59" s="3"/>
      <c r="H59" s="3"/>
      <c r="I59" s="2"/>
      <c r="J59" s="2"/>
      <c r="K59" s="4"/>
      <c r="L59" s="4"/>
      <c r="M59" s="5" t="str">
        <f t="shared" si="1"/>
        <v/>
      </c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 t="s">
        <v>78</v>
      </c>
      <c r="G60" s="3"/>
      <c r="H60" s="3"/>
      <c r="I60" s="2"/>
      <c r="J60" s="2"/>
      <c r="K60" s="4"/>
      <c r="L60" s="4"/>
      <c r="M60" s="5" t="str">
        <f t="shared" si="1"/>
        <v/>
      </c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 t="s">
        <v>78</v>
      </c>
      <c r="G61" s="3"/>
      <c r="H61" s="3"/>
      <c r="I61" s="2"/>
      <c r="J61" s="2"/>
      <c r="K61" s="4"/>
      <c r="L61" s="4"/>
      <c r="M61" s="5" t="str">
        <f t="shared" si="1"/>
        <v/>
      </c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 t="s">
        <v>78</v>
      </c>
      <c r="G62" s="3"/>
      <c r="H62" s="3"/>
      <c r="I62" s="2"/>
      <c r="J62" s="2"/>
      <c r="K62" s="4"/>
      <c r="L62" s="4"/>
      <c r="M62" s="5" t="str">
        <f t="shared" si="1"/>
        <v/>
      </c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 t="s">
        <v>78</v>
      </c>
      <c r="G63" s="3"/>
      <c r="H63" s="3"/>
      <c r="I63" s="2"/>
      <c r="J63" s="2"/>
      <c r="K63" s="4"/>
      <c r="L63" s="4"/>
      <c r="M63" s="5" t="str">
        <f t="shared" si="1"/>
        <v/>
      </c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 t="s">
        <v>78</v>
      </c>
      <c r="G64" s="3"/>
      <c r="H64" s="3"/>
      <c r="I64" s="2"/>
      <c r="J64" s="2"/>
      <c r="K64" s="4"/>
      <c r="L64" s="4"/>
      <c r="M64" s="5" t="str">
        <f t="shared" si="1"/>
        <v/>
      </c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 t="s">
        <v>78</v>
      </c>
      <c r="G65" s="3"/>
      <c r="H65" s="3"/>
      <c r="I65" s="2"/>
      <c r="J65" s="2"/>
      <c r="K65" s="4"/>
      <c r="L65" s="4"/>
      <c r="M65" s="5" t="str">
        <f t="shared" si="1"/>
        <v/>
      </c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 t="s">
        <v>78</v>
      </c>
      <c r="G66" s="3"/>
      <c r="H66" s="3"/>
      <c r="I66" s="2"/>
      <c r="J66" s="2"/>
      <c r="K66" s="4"/>
      <c r="L66" s="4"/>
      <c r="M66" s="5" t="str">
        <f t="shared" si="1"/>
        <v/>
      </c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 t="s">
        <v>78</v>
      </c>
      <c r="G67" s="3"/>
      <c r="H67" s="3"/>
      <c r="I67" s="2"/>
      <c r="J67" s="2"/>
      <c r="K67" s="4"/>
      <c r="L67" s="4"/>
      <c r="M67" s="5" t="str">
        <f t="shared" ref="M67:M98" si="2">IF(OR(K67="",L67=""),"",IFERROR(L67/K67,0))</f>
        <v/>
      </c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 t="s">
        <v>78</v>
      </c>
      <c r="G68" s="3"/>
      <c r="H68" s="3"/>
      <c r="I68" s="2"/>
      <c r="J68" s="2"/>
      <c r="K68" s="4"/>
      <c r="L68" s="4"/>
      <c r="M68" s="5" t="str">
        <f t="shared" si="2"/>
        <v/>
      </c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 t="s">
        <v>78</v>
      </c>
      <c r="G69" s="3"/>
      <c r="H69" s="3"/>
      <c r="I69" s="2"/>
      <c r="J69" s="2"/>
      <c r="K69" s="4"/>
      <c r="L69" s="4"/>
      <c r="M69" s="5" t="str">
        <f t="shared" si="2"/>
        <v/>
      </c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 t="s">
        <v>78</v>
      </c>
      <c r="G70" s="3"/>
      <c r="H70" s="3"/>
      <c r="I70" s="2"/>
      <c r="J70" s="2"/>
      <c r="K70" s="4"/>
      <c r="L70" s="4"/>
      <c r="M70" s="5" t="str">
        <f t="shared" si="2"/>
        <v/>
      </c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 t="s">
        <v>78</v>
      </c>
      <c r="G71" s="3"/>
      <c r="H71" s="3"/>
      <c r="I71" s="2"/>
      <c r="J71" s="2"/>
      <c r="K71" s="4"/>
      <c r="L71" s="4"/>
      <c r="M71" s="5" t="str">
        <f t="shared" si="2"/>
        <v/>
      </c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 t="s">
        <v>78</v>
      </c>
      <c r="G72" s="3"/>
      <c r="H72" s="3"/>
      <c r="I72" s="2"/>
      <c r="J72" s="2"/>
      <c r="K72" s="4"/>
      <c r="L72" s="4"/>
      <c r="M72" s="5" t="str">
        <f t="shared" si="2"/>
        <v/>
      </c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 t="s">
        <v>78</v>
      </c>
      <c r="G73" s="3"/>
      <c r="H73" s="3"/>
      <c r="I73" s="2"/>
      <c r="J73" s="2"/>
      <c r="K73" s="4"/>
      <c r="L73" s="4"/>
      <c r="M73" s="5" t="str">
        <f t="shared" si="2"/>
        <v/>
      </c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 t="s">
        <v>78</v>
      </c>
      <c r="G74" s="3"/>
      <c r="H74" s="3"/>
      <c r="I74" s="2"/>
      <c r="J74" s="2"/>
      <c r="K74" s="4"/>
      <c r="L74" s="4"/>
      <c r="M74" s="5" t="str">
        <f t="shared" si="2"/>
        <v/>
      </c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 t="s">
        <v>78</v>
      </c>
      <c r="G75" s="3"/>
      <c r="H75" s="3"/>
      <c r="I75" s="2"/>
      <c r="J75" s="2"/>
      <c r="K75" s="4"/>
      <c r="L75" s="4"/>
      <c r="M75" s="5" t="str">
        <f t="shared" si="2"/>
        <v/>
      </c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 t="s">
        <v>78</v>
      </c>
      <c r="G76" s="3"/>
      <c r="H76" s="3"/>
      <c r="I76" s="2"/>
      <c r="J76" s="2"/>
      <c r="K76" s="4"/>
      <c r="L76" s="4"/>
      <c r="M76" s="5" t="str">
        <f t="shared" si="2"/>
        <v/>
      </c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 t="s">
        <v>78</v>
      </c>
      <c r="G77" s="3"/>
      <c r="H77" s="3"/>
      <c r="I77" s="2"/>
      <c r="J77" s="2"/>
      <c r="K77" s="4"/>
      <c r="L77" s="4"/>
      <c r="M77" s="5" t="str">
        <f t="shared" si="2"/>
        <v/>
      </c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 t="s">
        <v>78</v>
      </c>
      <c r="G78" s="3"/>
      <c r="H78" s="3"/>
      <c r="I78" s="2"/>
      <c r="J78" s="2"/>
      <c r="K78" s="4"/>
      <c r="L78" s="4"/>
      <c r="M78" s="5" t="str">
        <f t="shared" si="2"/>
        <v/>
      </c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 t="s">
        <v>78</v>
      </c>
      <c r="G79" s="3"/>
      <c r="H79" s="3"/>
      <c r="I79" s="2"/>
      <c r="J79" s="2"/>
      <c r="K79" s="4"/>
      <c r="L79" s="4"/>
      <c r="M79" s="5" t="str">
        <f t="shared" si="2"/>
        <v/>
      </c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 t="s">
        <v>78</v>
      </c>
      <c r="G80" s="3"/>
      <c r="H80" s="3"/>
      <c r="I80" s="2"/>
      <c r="J80" s="2"/>
      <c r="K80" s="4"/>
      <c r="L80" s="4"/>
      <c r="M80" s="5" t="str">
        <f t="shared" si="2"/>
        <v/>
      </c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 t="s">
        <v>78</v>
      </c>
      <c r="G81" s="3"/>
      <c r="H81" s="3"/>
      <c r="I81" s="2"/>
      <c r="J81" s="2"/>
      <c r="K81" s="4"/>
      <c r="L81" s="4"/>
      <c r="M81" s="5" t="str">
        <f t="shared" si="2"/>
        <v/>
      </c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 t="s">
        <v>78</v>
      </c>
      <c r="G82" s="3"/>
      <c r="H82" s="3"/>
      <c r="I82" s="2"/>
      <c r="J82" s="2"/>
      <c r="K82" s="4"/>
      <c r="L82" s="4"/>
      <c r="M82" s="5" t="str">
        <f t="shared" si="2"/>
        <v/>
      </c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 t="s">
        <v>78</v>
      </c>
      <c r="G83" s="3"/>
      <c r="H83" s="3"/>
      <c r="I83" s="2"/>
      <c r="J83" s="2"/>
      <c r="K83" s="4"/>
      <c r="L83" s="4"/>
      <c r="M83" s="5" t="str">
        <f t="shared" si="2"/>
        <v/>
      </c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 t="s">
        <v>78</v>
      </c>
      <c r="G84" s="3"/>
      <c r="H84" s="3"/>
      <c r="I84" s="2"/>
      <c r="J84" s="2"/>
      <c r="K84" s="4"/>
      <c r="L84" s="4"/>
      <c r="M84" s="5" t="str">
        <f t="shared" si="2"/>
        <v/>
      </c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 t="s">
        <v>78</v>
      </c>
      <c r="G85" s="3"/>
      <c r="H85" s="3"/>
      <c r="I85" s="2"/>
      <c r="J85" s="2"/>
      <c r="K85" s="4"/>
      <c r="L85" s="4"/>
      <c r="M85" s="5" t="str">
        <f t="shared" si="2"/>
        <v/>
      </c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 t="s">
        <v>78</v>
      </c>
      <c r="G86" s="3"/>
      <c r="H86" s="3"/>
      <c r="I86" s="2"/>
      <c r="J86" s="2"/>
      <c r="K86" s="4"/>
      <c r="L86" s="4"/>
      <c r="M86" s="5" t="str">
        <f t="shared" si="2"/>
        <v/>
      </c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 t="s">
        <v>78</v>
      </c>
      <c r="G87" s="3"/>
      <c r="H87" s="3"/>
      <c r="I87" s="2"/>
      <c r="J87" s="2"/>
      <c r="K87" s="4"/>
      <c r="L87" s="4"/>
      <c r="M87" s="5" t="str">
        <f t="shared" si="2"/>
        <v/>
      </c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 t="s">
        <v>78</v>
      </c>
      <c r="G88" s="3"/>
      <c r="H88" s="3"/>
      <c r="I88" s="2"/>
      <c r="J88" s="2"/>
      <c r="K88" s="4"/>
      <c r="L88" s="4"/>
      <c r="M88" s="5" t="str">
        <f t="shared" si="2"/>
        <v/>
      </c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 t="s">
        <v>78</v>
      </c>
      <c r="G89" s="3"/>
      <c r="H89" s="3"/>
      <c r="I89" s="2"/>
      <c r="J89" s="2"/>
      <c r="K89" s="4"/>
      <c r="L89" s="4"/>
      <c r="M89" s="5" t="str">
        <f t="shared" si="2"/>
        <v/>
      </c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 t="s">
        <v>78</v>
      </c>
      <c r="G90" s="3"/>
      <c r="H90" s="3"/>
      <c r="I90" s="2"/>
      <c r="J90" s="2"/>
      <c r="K90" s="4"/>
      <c r="L90" s="4"/>
      <c r="M90" s="5" t="str">
        <f t="shared" si="2"/>
        <v/>
      </c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 t="s">
        <v>78</v>
      </c>
      <c r="G91" s="3"/>
      <c r="H91" s="3"/>
      <c r="I91" s="2"/>
      <c r="J91" s="2"/>
      <c r="K91" s="4"/>
      <c r="L91" s="4"/>
      <c r="M91" s="5" t="str">
        <f t="shared" si="2"/>
        <v/>
      </c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 t="s">
        <v>78</v>
      </c>
      <c r="G92" s="3"/>
      <c r="H92" s="3"/>
      <c r="I92" s="2"/>
      <c r="J92" s="2"/>
      <c r="K92" s="4"/>
      <c r="L92" s="4"/>
      <c r="M92" s="5" t="str">
        <f t="shared" si="2"/>
        <v/>
      </c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 t="s">
        <v>78</v>
      </c>
      <c r="G93" s="3"/>
      <c r="H93" s="3"/>
      <c r="I93" s="2"/>
      <c r="J93" s="2"/>
      <c r="K93" s="4"/>
      <c r="L93" s="4"/>
      <c r="M93" s="5" t="str">
        <f t="shared" si="2"/>
        <v/>
      </c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 t="s">
        <v>78</v>
      </c>
      <c r="G94" s="3"/>
      <c r="H94" s="3"/>
      <c r="I94" s="2"/>
      <c r="J94" s="2"/>
      <c r="K94" s="4"/>
      <c r="L94" s="4"/>
      <c r="M94" s="5" t="str">
        <f t="shared" si="2"/>
        <v/>
      </c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 t="s">
        <v>78</v>
      </c>
      <c r="G95" s="3"/>
      <c r="H95" s="3"/>
      <c r="I95" s="2"/>
      <c r="J95" s="2"/>
      <c r="K95" s="4"/>
      <c r="L95" s="4"/>
      <c r="M95" s="5" t="str">
        <f t="shared" si="2"/>
        <v/>
      </c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 t="s">
        <v>78</v>
      </c>
      <c r="G96" s="3"/>
      <c r="H96" s="3"/>
      <c r="I96" s="2"/>
      <c r="J96" s="2"/>
      <c r="K96" s="4"/>
      <c r="L96" s="4"/>
      <c r="M96" s="5" t="str">
        <f t="shared" si="2"/>
        <v/>
      </c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 t="s">
        <v>78</v>
      </c>
      <c r="G97" s="3"/>
      <c r="H97" s="3"/>
      <c r="I97" s="2"/>
      <c r="J97" s="2"/>
      <c r="K97" s="4"/>
      <c r="L97" s="4"/>
      <c r="M97" s="5" t="str">
        <f t="shared" si="2"/>
        <v/>
      </c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 t="s">
        <v>78</v>
      </c>
      <c r="G98" s="3"/>
      <c r="H98" s="3"/>
      <c r="I98" s="2"/>
      <c r="J98" s="2"/>
      <c r="K98" s="4"/>
      <c r="L98" s="4"/>
      <c r="M98" s="5" t="str">
        <f t="shared" si="2"/>
        <v/>
      </c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 t="s">
        <v>78</v>
      </c>
      <c r="G99" s="3"/>
      <c r="H99" s="3"/>
      <c r="I99" s="2"/>
      <c r="J99" s="2"/>
      <c r="K99" s="4"/>
      <c r="L99" s="4"/>
      <c r="M99" s="5" t="str">
        <f t="shared" ref="M99:M130" si="3">IF(OR(K99="",L99=""),"",IFERROR(L99/K99,0))</f>
        <v/>
      </c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 t="s">
        <v>78</v>
      </c>
      <c r="G100" s="3"/>
      <c r="H100" s="3"/>
      <c r="I100" s="2"/>
      <c r="J100" s="2"/>
      <c r="K100" s="4"/>
      <c r="L100" s="4"/>
      <c r="M100" s="5" t="str">
        <f t="shared" si="3"/>
        <v/>
      </c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 t="s">
        <v>78</v>
      </c>
      <c r="G101" s="3"/>
      <c r="H101" s="3"/>
      <c r="I101" s="2"/>
      <c r="J101" s="2"/>
      <c r="K101" s="4"/>
      <c r="L101" s="4"/>
      <c r="M101" s="5" t="str">
        <f t="shared" si="3"/>
        <v/>
      </c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 t="s">
        <v>78</v>
      </c>
      <c r="G102" s="3"/>
      <c r="H102" s="3"/>
      <c r="I102" s="2"/>
      <c r="J102" s="2"/>
      <c r="K102" s="4"/>
      <c r="L102" s="4"/>
      <c r="M102" s="5" t="str">
        <f t="shared" si="3"/>
        <v/>
      </c>
      <c r="N102" s="2"/>
      <c r="O102" s="2"/>
      <c r="P102" s="2"/>
      <c r="Q102" s="2"/>
    </row>
    <row r="105" spans="1:17" x14ac:dyDescent="0.25">
      <c r="A105" s="20" t="s">
        <v>61</v>
      </c>
      <c r="B105" s="21"/>
      <c r="C105" s="21"/>
      <c r="D105" s="21"/>
      <c r="E105" s="21"/>
      <c r="F105" s="21"/>
      <c r="G105" s="21"/>
    </row>
    <row r="106" spans="1:17" ht="30" x14ac:dyDescent="0.25">
      <c r="A106" s="1" t="s">
        <v>3</v>
      </c>
      <c r="B106" s="1" t="s">
        <v>1</v>
      </c>
      <c r="C106" s="1" t="s">
        <v>62</v>
      </c>
      <c r="D106" s="1" t="s">
        <v>63</v>
      </c>
      <c r="E106" s="1" t="s">
        <v>64</v>
      </c>
      <c r="F106" s="1" t="s">
        <v>65</v>
      </c>
      <c r="G106" s="1" t="s">
        <v>66</v>
      </c>
    </row>
    <row r="107" spans="1:17" x14ac:dyDescent="0.25">
      <c r="A107" s="2" t="s">
        <v>76</v>
      </c>
      <c r="B107" s="2" t="s">
        <v>30</v>
      </c>
      <c r="C107" s="2" t="s">
        <v>67</v>
      </c>
      <c r="D107" s="2" t="s">
        <v>98</v>
      </c>
      <c r="E107" s="3">
        <v>45944</v>
      </c>
      <c r="F107" s="2" t="s">
        <v>73</v>
      </c>
      <c r="G107" s="2" t="s">
        <v>99</v>
      </c>
    </row>
    <row r="108" spans="1:17" x14ac:dyDescent="0.25">
      <c r="A108" s="2" t="s">
        <v>87</v>
      </c>
      <c r="B108" s="2" t="s">
        <v>18</v>
      </c>
      <c r="C108" s="2" t="s">
        <v>71</v>
      </c>
      <c r="D108" s="2" t="s">
        <v>100</v>
      </c>
      <c r="E108" s="3">
        <v>46217</v>
      </c>
      <c r="F108" s="2" t="s">
        <v>69</v>
      </c>
      <c r="G108" s="2" t="s">
        <v>101</v>
      </c>
    </row>
    <row r="109" spans="1:17" x14ac:dyDescent="0.25">
      <c r="A109" s="2"/>
      <c r="B109" s="2"/>
      <c r="C109" s="2"/>
      <c r="D109" s="2"/>
      <c r="E109" s="3"/>
      <c r="F109" s="2"/>
      <c r="G109" s="2"/>
    </row>
    <row r="110" spans="1:17" x14ac:dyDescent="0.25">
      <c r="A110" s="2"/>
      <c r="B110" s="2"/>
      <c r="C110" s="2"/>
      <c r="D110" s="2"/>
      <c r="E110" s="3"/>
      <c r="F110" s="2"/>
      <c r="G110" s="2"/>
    </row>
    <row r="111" spans="1:17" x14ac:dyDescent="0.25">
      <c r="A111" s="2"/>
      <c r="B111" s="2"/>
      <c r="C111" s="2"/>
      <c r="D111" s="2"/>
      <c r="E111" s="3"/>
      <c r="F111" s="2"/>
      <c r="G111" s="2"/>
    </row>
    <row r="112" spans="1:17" x14ac:dyDescent="0.25">
      <c r="A112" s="2"/>
      <c r="B112" s="2"/>
      <c r="C112" s="2"/>
      <c r="D112" s="2"/>
      <c r="E112" s="3"/>
      <c r="F112" s="2"/>
      <c r="G112" s="2"/>
    </row>
    <row r="113" spans="1:7" x14ac:dyDescent="0.25">
      <c r="A113" s="2"/>
      <c r="B113" s="2"/>
      <c r="C113" s="2"/>
      <c r="D113" s="2"/>
      <c r="E113" s="3"/>
      <c r="F113" s="2"/>
      <c r="G113" s="2"/>
    </row>
    <row r="114" spans="1:7" x14ac:dyDescent="0.25">
      <c r="A114" s="2"/>
      <c r="B114" s="2"/>
      <c r="C114" s="2"/>
      <c r="D114" s="2"/>
      <c r="E114" s="3"/>
      <c r="F114" s="2"/>
      <c r="G114" s="2"/>
    </row>
    <row r="115" spans="1:7" x14ac:dyDescent="0.25">
      <c r="A115" s="2"/>
      <c r="B115" s="2"/>
      <c r="C115" s="2"/>
      <c r="D115" s="2"/>
      <c r="E115" s="3"/>
      <c r="F115" s="2"/>
      <c r="G115" s="2"/>
    </row>
    <row r="116" spans="1:7" x14ac:dyDescent="0.25">
      <c r="A116" s="2"/>
      <c r="B116" s="2"/>
      <c r="C116" s="2"/>
      <c r="D116" s="2"/>
      <c r="E116" s="3"/>
      <c r="F116" s="2"/>
      <c r="G116" s="2"/>
    </row>
    <row r="117" spans="1:7" x14ac:dyDescent="0.25">
      <c r="A117" s="2"/>
      <c r="B117" s="2"/>
      <c r="C117" s="2"/>
      <c r="D117" s="2"/>
      <c r="E117" s="3"/>
      <c r="F117" s="2"/>
      <c r="G117" s="2"/>
    </row>
    <row r="118" spans="1:7" x14ac:dyDescent="0.25">
      <c r="A118" s="2"/>
      <c r="B118" s="2"/>
      <c r="C118" s="2"/>
      <c r="D118" s="2"/>
      <c r="E118" s="3"/>
      <c r="F118" s="2"/>
      <c r="G118" s="2"/>
    </row>
    <row r="119" spans="1:7" x14ac:dyDescent="0.25">
      <c r="A119" s="2"/>
      <c r="B119" s="2"/>
      <c r="C119" s="2"/>
      <c r="D119" s="2"/>
      <c r="E119" s="3"/>
      <c r="F119" s="2"/>
      <c r="G119" s="2"/>
    </row>
    <row r="120" spans="1:7" x14ac:dyDescent="0.25">
      <c r="A120" s="2"/>
      <c r="B120" s="2"/>
      <c r="C120" s="2"/>
      <c r="D120" s="2"/>
      <c r="E120" s="3"/>
      <c r="F120" s="2"/>
      <c r="G120" s="2"/>
    </row>
    <row r="121" spans="1:7" x14ac:dyDescent="0.25">
      <c r="A121" s="2"/>
      <c r="B121" s="2"/>
      <c r="C121" s="2"/>
      <c r="D121" s="2"/>
      <c r="E121" s="3"/>
      <c r="F121" s="2"/>
      <c r="G121" s="2"/>
    </row>
    <row r="122" spans="1:7" x14ac:dyDescent="0.25">
      <c r="A122" s="2"/>
      <c r="B122" s="2"/>
      <c r="C122" s="2"/>
      <c r="D122" s="2"/>
      <c r="E122" s="3"/>
      <c r="F122" s="2"/>
      <c r="G122" s="2"/>
    </row>
    <row r="123" spans="1:7" x14ac:dyDescent="0.25">
      <c r="A123" s="2"/>
      <c r="B123" s="2"/>
      <c r="C123" s="2"/>
      <c r="D123" s="2"/>
      <c r="E123" s="3"/>
      <c r="F123" s="2"/>
      <c r="G123" s="2"/>
    </row>
    <row r="124" spans="1:7" x14ac:dyDescent="0.25">
      <c r="A124" s="2"/>
      <c r="B124" s="2"/>
      <c r="C124" s="2"/>
      <c r="D124" s="2"/>
      <c r="E124" s="3"/>
      <c r="F124" s="2"/>
      <c r="G124" s="2"/>
    </row>
    <row r="125" spans="1:7" x14ac:dyDescent="0.25">
      <c r="A125" s="2"/>
      <c r="B125" s="2"/>
      <c r="C125" s="2"/>
      <c r="D125" s="2"/>
      <c r="E125" s="3"/>
      <c r="F125" s="2"/>
      <c r="G125" s="2"/>
    </row>
    <row r="126" spans="1:7" x14ac:dyDescent="0.25">
      <c r="A126" s="2"/>
      <c r="B126" s="2"/>
      <c r="C126" s="2"/>
      <c r="D126" s="2"/>
      <c r="E126" s="3"/>
      <c r="F126" s="2"/>
      <c r="G126" s="2"/>
    </row>
    <row r="127" spans="1:7" x14ac:dyDescent="0.25">
      <c r="A127" s="2"/>
      <c r="B127" s="2"/>
      <c r="C127" s="2"/>
      <c r="D127" s="2"/>
      <c r="E127" s="3"/>
      <c r="F127" s="2"/>
      <c r="G127" s="2"/>
    </row>
    <row r="128" spans="1:7" x14ac:dyDescent="0.25">
      <c r="A128" s="2"/>
      <c r="B128" s="2"/>
      <c r="C128" s="2"/>
      <c r="D128" s="2"/>
      <c r="E128" s="3"/>
      <c r="F128" s="2"/>
      <c r="G128" s="2"/>
    </row>
    <row r="129" spans="1:7" x14ac:dyDescent="0.25">
      <c r="A129" s="2"/>
      <c r="B129" s="2"/>
      <c r="C129" s="2"/>
      <c r="D129" s="2"/>
      <c r="E129" s="3"/>
      <c r="F129" s="2"/>
      <c r="G129" s="2"/>
    </row>
    <row r="130" spans="1:7" x14ac:dyDescent="0.25">
      <c r="A130" s="2"/>
      <c r="B130" s="2"/>
      <c r="C130" s="2"/>
      <c r="D130" s="2"/>
      <c r="E130" s="3"/>
      <c r="F130" s="2"/>
      <c r="G130" s="2"/>
    </row>
    <row r="131" spans="1:7" x14ac:dyDescent="0.25">
      <c r="A131" s="2"/>
      <c r="B131" s="2"/>
      <c r="C131" s="2"/>
      <c r="D131" s="2"/>
      <c r="E131" s="3"/>
      <c r="F131" s="2"/>
      <c r="G131" s="2"/>
    </row>
    <row r="132" spans="1:7" x14ac:dyDescent="0.25">
      <c r="A132" s="2"/>
      <c r="B132" s="2"/>
      <c r="C132" s="2"/>
      <c r="D132" s="2"/>
      <c r="E132" s="3"/>
      <c r="F132" s="2"/>
      <c r="G132" s="2"/>
    </row>
    <row r="133" spans="1:7" x14ac:dyDescent="0.25">
      <c r="A133" s="2"/>
      <c r="B133" s="2"/>
      <c r="C133" s="2"/>
      <c r="D133" s="2"/>
      <c r="E133" s="3"/>
      <c r="F133" s="2"/>
      <c r="G133" s="2"/>
    </row>
    <row r="134" spans="1:7" x14ac:dyDescent="0.25">
      <c r="A134" s="2"/>
      <c r="B134" s="2"/>
      <c r="C134" s="2"/>
      <c r="D134" s="2"/>
      <c r="E134" s="3"/>
      <c r="F134" s="2"/>
      <c r="G134" s="2"/>
    </row>
    <row r="135" spans="1:7" x14ac:dyDescent="0.25">
      <c r="A135" s="2"/>
      <c r="B135" s="2"/>
      <c r="C135" s="2"/>
      <c r="D135" s="2"/>
      <c r="E135" s="3"/>
      <c r="F135" s="2"/>
      <c r="G135" s="2"/>
    </row>
    <row r="136" spans="1:7" x14ac:dyDescent="0.25">
      <c r="A136" s="2"/>
      <c r="B136" s="2"/>
      <c r="C136" s="2"/>
      <c r="D136" s="2"/>
      <c r="E136" s="3"/>
      <c r="F136" s="2"/>
      <c r="G136" s="2"/>
    </row>
    <row r="137" spans="1:7" x14ac:dyDescent="0.25">
      <c r="A137" s="2"/>
      <c r="B137" s="2"/>
      <c r="C137" s="2"/>
      <c r="D137" s="2"/>
      <c r="E137" s="3"/>
      <c r="F137" s="2"/>
      <c r="G137" s="2"/>
    </row>
    <row r="138" spans="1:7" x14ac:dyDescent="0.25">
      <c r="A138" s="2"/>
      <c r="B138" s="2"/>
      <c r="C138" s="2"/>
      <c r="D138" s="2"/>
      <c r="E138" s="3"/>
      <c r="F138" s="2"/>
      <c r="G138" s="2"/>
    </row>
    <row r="139" spans="1:7" x14ac:dyDescent="0.25">
      <c r="A139" s="2"/>
      <c r="B139" s="2"/>
      <c r="C139" s="2"/>
      <c r="D139" s="2"/>
      <c r="E139" s="3"/>
      <c r="F139" s="2"/>
      <c r="G139" s="2"/>
    </row>
    <row r="140" spans="1:7" x14ac:dyDescent="0.25">
      <c r="A140" s="2"/>
      <c r="B140" s="2"/>
      <c r="C140" s="2"/>
      <c r="D140" s="2"/>
      <c r="E140" s="3"/>
      <c r="F140" s="2"/>
      <c r="G140" s="2"/>
    </row>
    <row r="141" spans="1:7" x14ac:dyDescent="0.25">
      <c r="A141" s="2"/>
      <c r="B141" s="2"/>
      <c r="C141" s="2"/>
      <c r="D141" s="2"/>
      <c r="E141" s="3"/>
      <c r="F141" s="2"/>
      <c r="G141" s="2"/>
    </row>
    <row r="142" spans="1:7" x14ac:dyDescent="0.25">
      <c r="A142" s="2"/>
      <c r="B142" s="2"/>
      <c r="C142" s="2"/>
      <c r="D142" s="2"/>
      <c r="E142" s="3"/>
      <c r="F142" s="2"/>
      <c r="G142" s="2"/>
    </row>
    <row r="143" spans="1:7" x14ac:dyDescent="0.25">
      <c r="A143" s="2"/>
      <c r="B143" s="2"/>
      <c r="C143" s="2"/>
      <c r="D143" s="2"/>
      <c r="E143" s="3"/>
      <c r="F143" s="2"/>
      <c r="G143" s="2"/>
    </row>
    <row r="144" spans="1:7" x14ac:dyDescent="0.25">
      <c r="A144" s="2"/>
      <c r="B144" s="2"/>
      <c r="C144" s="2"/>
      <c r="D144" s="2"/>
      <c r="E144" s="3"/>
      <c r="F144" s="2"/>
      <c r="G144" s="2"/>
    </row>
    <row r="145" spans="1:7" x14ac:dyDescent="0.25">
      <c r="A145" s="2"/>
      <c r="B145" s="2"/>
      <c r="C145" s="2"/>
      <c r="D145" s="2"/>
      <c r="E145" s="3"/>
      <c r="F145" s="2"/>
      <c r="G145" s="2"/>
    </row>
    <row r="146" spans="1:7" x14ac:dyDescent="0.25">
      <c r="A146" s="2"/>
      <c r="B146" s="2"/>
      <c r="C146" s="2"/>
      <c r="D146" s="2"/>
      <c r="E146" s="3"/>
      <c r="F146" s="2"/>
      <c r="G146" s="2"/>
    </row>
    <row r="147" spans="1:7" x14ac:dyDescent="0.25">
      <c r="A147" s="2"/>
      <c r="B147" s="2"/>
      <c r="C147" s="2"/>
      <c r="D147" s="2"/>
      <c r="E147" s="3"/>
      <c r="F147" s="2"/>
      <c r="G147" s="2"/>
    </row>
    <row r="148" spans="1:7" x14ac:dyDescent="0.25">
      <c r="A148" s="2"/>
      <c r="B148" s="2"/>
      <c r="C148" s="2"/>
      <c r="D148" s="2"/>
      <c r="E148" s="3"/>
      <c r="F148" s="2"/>
      <c r="G148" s="2"/>
    </row>
    <row r="149" spans="1:7" x14ac:dyDescent="0.25">
      <c r="A149" s="2"/>
      <c r="B149" s="2"/>
      <c r="C149" s="2"/>
      <c r="D149" s="2"/>
      <c r="E149" s="3"/>
      <c r="F149" s="2"/>
      <c r="G149" s="2"/>
    </row>
    <row r="150" spans="1:7" x14ac:dyDescent="0.25">
      <c r="A150" s="2"/>
      <c r="B150" s="2"/>
      <c r="C150" s="2"/>
      <c r="D150" s="2"/>
      <c r="E150" s="3"/>
      <c r="F150" s="2"/>
      <c r="G150" s="2"/>
    </row>
    <row r="151" spans="1:7" x14ac:dyDescent="0.25">
      <c r="A151" s="2"/>
      <c r="B151" s="2"/>
      <c r="C151" s="2"/>
      <c r="D151" s="2"/>
      <c r="E151" s="3"/>
      <c r="F151" s="2"/>
      <c r="G151" s="2"/>
    </row>
    <row r="152" spans="1:7" x14ac:dyDescent="0.25">
      <c r="A152" s="2"/>
      <c r="B152" s="2"/>
      <c r="C152" s="2"/>
      <c r="D152" s="2"/>
      <c r="E152" s="3"/>
      <c r="F152" s="2"/>
      <c r="G152" s="2"/>
    </row>
    <row r="153" spans="1:7" x14ac:dyDescent="0.25">
      <c r="A153" s="2"/>
      <c r="B153" s="2"/>
      <c r="C153" s="2"/>
      <c r="D153" s="2"/>
      <c r="E153" s="3"/>
      <c r="F153" s="2"/>
      <c r="G153" s="2"/>
    </row>
    <row r="154" spans="1:7" x14ac:dyDescent="0.25">
      <c r="A154" s="2"/>
      <c r="B154" s="2"/>
      <c r="C154" s="2"/>
      <c r="D154" s="2"/>
      <c r="E154" s="3"/>
      <c r="F154" s="2"/>
      <c r="G154" s="2"/>
    </row>
    <row r="155" spans="1:7" x14ac:dyDescent="0.25">
      <c r="A155" s="2"/>
      <c r="B155" s="2"/>
      <c r="C155" s="2"/>
      <c r="D155" s="2"/>
      <c r="E155" s="3"/>
      <c r="F155" s="2"/>
      <c r="G155" s="2"/>
    </row>
    <row r="156" spans="1:7" x14ac:dyDescent="0.25">
      <c r="A156" s="2"/>
      <c r="B156" s="2"/>
      <c r="C156" s="2"/>
      <c r="D156" s="2"/>
      <c r="E156" s="3"/>
      <c r="F156" s="2"/>
      <c r="G156" s="2"/>
    </row>
    <row r="157" spans="1:7" x14ac:dyDescent="0.25">
      <c r="A157" s="2"/>
      <c r="B157" s="2"/>
      <c r="C157" s="2"/>
      <c r="D157" s="2"/>
      <c r="E157" s="3"/>
      <c r="F157" s="2"/>
      <c r="G157" s="2"/>
    </row>
    <row r="158" spans="1:7" x14ac:dyDescent="0.25">
      <c r="A158" s="2"/>
      <c r="B158" s="2"/>
      <c r="C158" s="2"/>
      <c r="D158" s="2"/>
      <c r="E158" s="3"/>
      <c r="F158" s="2"/>
      <c r="G158" s="2"/>
    </row>
    <row r="159" spans="1:7" x14ac:dyDescent="0.25">
      <c r="A159" s="2"/>
      <c r="B159" s="2"/>
      <c r="C159" s="2"/>
      <c r="D159" s="2"/>
      <c r="E159" s="3"/>
      <c r="F159" s="2"/>
      <c r="G159" s="2"/>
    </row>
    <row r="160" spans="1:7" x14ac:dyDescent="0.25">
      <c r="A160" s="2"/>
      <c r="B160" s="2"/>
      <c r="C160" s="2"/>
      <c r="D160" s="2"/>
      <c r="E160" s="3"/>
      <c r="F160" s="2"/>
      <c r="G160" s="2"/>
    </row>
    <row r="161" spans="1:7" x14ac:dyDescent="0.25">
      <c r="A161" s="2"/>
      <c r="B161" s="2"/>
      <c r="C161" s="2"/>
      <c r="D161" s="2"/>
      <c r="E161" s="3"/>
      <c r="F161" s="2"/>
      <c r="G161" s="2"/>
    </row>
    <row r="162" spans="1:7" x14ac:dyDescent="0.25">
      <c r="A162" s="2"/>
      <c r="B162" s="2"/>
      <c r="C162" s="2"/>
      <c r="D162" s="2"/>
      <c r="E162" s="3"/>
      <c r="F162" s="2"/>
      <c r="G162" s="2"/>
    </row>
    <row r="163" spans="1:7" x14ac:dyDescent="0.25">
      <c r="A163" s="2"/>
      <c r="B163" s="2"/>
      <c r="C163" s="2"/>
      <c r="D163" s="2"/>
      <c r="E163" s="3"/>
      <c r="F163" s="2"/>
      <c r="G163" s="2"/>
    </row>
    <row r="164" spans="1:7" x14ac:dyDescent="0.25">
      <c r="A164" s="2"/>
      <c r="B164" s="2"/>
      <c r="C164" s="2"/>
      <c r="D164" s="2"/>
      <c r="E164" s="3"/>
      <c r="F164" s="2"/>
      <c r="G164" s="2"/>
    </row>
    <row r="165" spans="1:7" x14ac:dyDescent="0.25">
      <c r="A165" s="2"/>
      <c r="B165" s="2"/>
      <c r="C165" s="2"/>
      <c r="D165" s="2"/>
      <c r="E165" s="3"/>
      <c r="F165" s="2"/>
      <c r="G165" s="2"/>
    </row>
    <row r="166" spans="1:7" x14ac:dyDescent="0.25">
      <c r="A166" s="2"/>
      <c r="B166" s="2"/>
      <c r="C166" s="2"/>
      <c r="D166" s="2"/>
      <c r="E166" s="3"/>
      <c r="F166" s="2"/>
      <c r="G166" s="2"/>
    </row>
  </sheetData>
  <mergeCells count="2">
    <mergeCell ref="A105:G105"/>
    <mergeCell ref="A1:Q1"/>
  </mergeCells>
  <conditionalFormatting sqref="A3:Q102">
    <cfRule type="expression" dxfId="55" priority="8">
      <formula>$O3="Yes"</formula>
    </cfRule>
  </conditionalFormatting>
  <conditionalFormatting sqref="M3:M102">
    <cfRule type="expression" dxfId="54" priority="1">
      <formula>AND(M3&gt;=1,M3&lt;&gt;"")</formula>
    </cfRule>
    <cfRule type="expression" dxfId="53" priority="2">
      <formula>AND(M3&gt;=0.8,M3&lt;1)</formula>
    </cfRule>
    <cfRule type="expression" dxfId="52" priority="3">
      <formula>AND(M3&lt;0.8,M3&lt;&gt;"")</formula>
    </cfRule>
  </conditionalFormatting>
  <conditionalFormatting sqref="P3:P102">
    <cfRule type="expression" dxfId="51" priority="4">
      <formula>$P3="Completed"</formula>
    </cfRule>
    <cfRule type="expression" dxfId="50" priority="5">
      <formula>$P3="In progress"</formula>
    </cfRule>
    <cfRule type="expression" dxfId="49" priority="6">
      <formula>OR($P3="Delayed",$P3="Cancelled")</formula>
    </cfRule>
    <cfRule type="expression" dxfId="48" priority="7">
      <formula>$P3="Not started"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0000000}">
          <x14:formula1>
            <xm:f>Lists!$F$1:$F$5</xm:f>
          </x14:formula1>
          <xm:sqref>P3:P102</xm:sqref>
        </x14:dataValidation>
        <x14:dataValidation type="list" allowBlank="1" xr:uid="{00000000-0002-0000-0100-000001000000}">
          <x14:formula1>
            <xm:f>Lists!$G$1:$G$2</xm:f>
          </x14:formula1>
          <xm:sqref>O3:O102</xm:sqref>
        </x14:dataValidation>
        <x14:dataValidation type="list" allowBlank="1" xr:uid="{00000000-0002-0000-0100-000002000000}">
          <x14:formula1>
            <xm:f>Lists!$D$2:$D$4</xm:f>
          </x14:formula1>
          <xm:sqref>I3:I102</xm:sqref>
        </x14:dataValidation>
        <x14:dataValidation type="list" allowBlank="1" xr:uid="{00000000-0002-0000-0100-000003000000}">
          <x14:formula1>
            <xm:f>Lists!$E$2:$E$13</xm:f>
          </x14:formula1>
          <xm:sqref>J3:J102</xm:sqref>
        </x14:dataValidation>
        <x14:dataValidation type="list" allowBlank="1" xr:uid="{00000000-0002-0000-0100-000004000000}">
          <x14:formula1>
            <xm:f>Lists!$B$2:$B$5</xm:f>
          </x14:formula1>
          <xm:sqref>E3:E102</xm:sqref>
        </x14:dataValidation>
        <x14:dataValidation type="list" allowBlank="1" xr:uid="{00000000-0002-0000-0100-000005000000}">
          <x14:formula1>
            <xm:f>Lists!$C$2:$C$5</xm:f>
          </x14:formula1>
          <xm:sqref>A3:A102</xm:sqref>
        </x14:dataValidation>
        <x14:dataValidation type="list" allowBlank="1" xr:uid="{00000000-0002-0000-0100-000006000000}">
          <x14:formula1>
            <xm:f>Lists!$H$1:$H$4</xm:f>
          </x14:formula1>
          <xm:sqref>C107:C166</xm:sqref>
        </x14:dataValidation>
        <x14:dataValidation type="list" allowBlank="1" xr:uid="{00000000-0002-0000-0100-000007000000}">
          <x14:formula1>
            <xm:f>Lists!$I$1:$I$3</xm:f>
          </x14:formula1>
          <xm:sqref>F107:F166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6"/>
  <sheetViews>
    <sheetView workbookViewId="0">
      <selection sqref="A1:Q1"/>
    </sheetView>
  </sheetViews>
  <sheetFormatPr defaultRowHeight="15" x14ac:dyDescent="0.25"/>
  <cols>
    <col min="1" max="1" width="18" customWidth="1"/>
    <col min="2" max="2" width="32" customWidth="1"/>
    <col min="3" max="3" width="20" customWidth="1"/>
    <col min="4" max="4" width="28" customWidth="1"/>
    <col min="5" max="5" width="18" customWidth="1"/>
    <col min="6" max="6" width="22" customWidth="1"/>
    <col min="7" max="7" width="26" customWidth="1"/>
    <col min="8" max="9" width="12" customWidth="1"/>
    <col min="10" max="10" width="14" customWidth="1"/>
    <col min="11" max="12" width="16" customWidth="1"/>
    <col min="13" max="13" width="12" customWidth="1"/>
    <col min="14" max="14" width="28" customWidth="1"/>
    <col min="15" max="15" width="18" customWidth="1"/>
    <col min="16" max="16" width="16" customWidth="1"/>
    <col min="17" max="17" width="34" customWidth="1"/>
  </cols>
  <sheetData>
    <row r="1" spans="1:17" x14ac:dyDescent="0.25">
      <c r="A1" s="20" t="s">
        <v>102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38</v>
      </c>
      <c r="B3" s="2" t="s">
        <v>39</v>
      </c>
      <c r="C3" s="2" t="s">
        <v>103</v>
      </c>
      <c r="D3" s="2" t="s">
        <v>104</v>
      </c>
      <c r="E3" s="2" t="s">
        <v>42</v>
      </c>
      <c r="F3" s="2" t="s">
        <v>105</v>
      </c>
      <c r="G3" s="3">
        <v>45292</v>
      </c>
      <c r="H3" s="3">
        <v>45382</v>
      </c>
      <c r="I3" s="2" t="s">
        <v>24</v>
      </c>
      <c r="J3" s="2" t="s">
        <v>25</v>
      </c>
      <c r="K3" s="4">
        <v>56</v>
      </c>
      <c r="L3" s="4">
        <v>51</v>
      </c>
      <c r="M3" s="5">
        <f t="shared" ref="M3:M34" si="0">IF(OR(K3="",L3=""),"",IFERROR(L3/K3,0))</f>
        <v>0.9107142857142857</v>
      </c>
      <c r="N3" s="2" t="s">
        <v>44</v>
      </c>
      <c r="O3" s="2" t="s">
        <v>27</v>
      </c>
      <c r="P3" s="2" t="s">
        <v>52</v>
      </c>
      <c r="Q3" s="2" t="s">
        <v>53</v>
      </c>
    </row>
    <row r="4" spans="1:17" x14ac:dyDescent="0.25">
      <c r="A4" s="2" t="s">
        <v>45</v>
      </c>
      <c r="B4" s="2" t="s">
        <v>46</v>
      </c>
      <c r="C4" s="2" t="s">
        <v>106</v>
      </c>
      <c r="D4" s="2" t="s">
        <v>107</v>
      </c>
      <c r="E4" s="2" t="s">
        <v>49</v>
      </c>
      <c r="F4" s="2" t="s">
        <v>105</v>
      </c>
      <c r="G4" s="3">
        <v>45383</v>
      </c>
      <c r="H4" s="3">
        <v>45473</v>
      </c>
      <c r="I4" s="2" t="s">
        <v>24</v>
      </c>
      <c r="J4" s="2" t="s">
        <v>35</v>
      </c>
      <c r="K4" s="4">
        <v>61</v>
      </c>
      <c r="L4" s="4">
        <v>52</v>
      </c>
      <c r="M4" s="5">
        <f t="shared" si="0"/>
        <v>0.85245901639344257</v>
      </c>
      <c r="N4" s="2" t="s">
        <v>51</v>
      </c>
      <c r="O4" s="2" t="s">
        <v>27</v>
      </c>
      <c r="P4" s="2" t="s">
        <v>52</v>
      </c>
      <c r="Q4" s="2" t="s">
        <v>53</v>
      </c>
    </row>
    <row r="5" spans="1:17" x14ac:dyDescent="0.25">
      <c r="A5" s="2" t="s">
        <v>18</v>
      </c>
      <c r="B5" s="2" t="s">
        <v>19</v>
      </c>
      <c r="C5" s="2" t="s">
        <v>108</v>
      </c>
      <c r="D5" s="2" t="s">
        <v>109</v>
      </c>
      <c r="E5" s="2" t="s">
        <v>22</v>
      </c>
      <c r="F5" s="2" t="s">
        <v>105</v>
      </c>
      <c r="G5" s="3">
        <v>45474</v>
      </c>
      <c r="H5" s="3">
        <v>45565</v>
      </c>
      <c r="I5" s="2" t="s">
        <v>24</v>
      </c>
      <c r="J5" s="2" t="s">
        <v>43</v>
      </c>
      <c r="K5" s="4">
        <v>66</v>
      </c>
      <c r="L5" s="4">
        <v>74</v>
      </c>
      <c r="M5" s="5">
        <f t="shared" si="0"/>
        <v>1.1212121212121211</v>
      </c>
      <c r="N5" s="2" t="s">
        <v>26</v>
      </c>
      <c r="O5" s="2" t="s">
        <v>37</v>
      </c>
      <c r="P5" s="2" t="s">
        <v>28</v>
      </c>
      <c r="Q5" s="2" t="s">
        <v>29</v>
      </c>
    </row>
    <row r="6" spans="1:17" x14ac:dyDescent="0.25">
      <c r="A6" s="2" t="s">
        <v>30</v>
      </c>
      <c r="B6" s="2" t="s">
        <v>31</v>
      </c>
      <c r="C6" s="2" t="s">
        <v>110</v>
      </c>
      <c r="D6" s="2" t="s">
        <v>111</v>
      </c>
      <c r="E6" s="2" t="s">
        <v>34</v>
      </c>
      <c r="F6" s="2" t="s">
        <v>105</v>
      </c>
      <c r="G6" s="3">
        <v>45566</v>
      </c>
      <c r="H6" s="3">
        <v>45657</v>
      </c>
      <c r="I6" s="2" t="s">
        <v>24</v>
      </c>
      <c r="J6" s="2" t="s">
        <v>50</v>
      </c>
      <c r="K6" s="4">
        <v>71</v>
      </c>
      <c r="L6" s="4">
        <v>75</v>
      </c>
      <c r="M6" s="5">
        <f t="shared" si="0"/>
        <v>1.056338028169014</v>
      </c>
      <c r="N6" s="2" t="s">
        <v>36</v>
      </c>
      <c r="O6" s="2" t="s">
        <v>27</v>
      </c>
      <c r="P6" s="2" t="s">
        <v>28</v>
      </c>
      <c r="Q6" s="2" t="s">
        <v>29</v>
      </c>
    </row>
    <row r="7" spans="1:17" x14ac:dyDescent="0.25">
      <c r="A7" s="2" t="s">
        <v>38</v>
      </c>
      <c r="B7" s="2" t="s">
        <v>39</v>
      </c>
      <c r="C7" s="2" t="s">
        <v>112</v>
      </c>
      <c r="D7" s="2" t="s">
        <v>113</v>
      </c>
      <c r="E7" s="2" t="s">
        <v>42</v>
      </c>
      <c r="F7" s="2" t="s">
        <v>105</v>
      </c>
      <c r="G7" s="3">
        <v>45658</v>
      </c>
      <c r="H7" s="3">
        <v>45747</v>
      </c>
      <c r="I7" s="2" t="s">
        <v>56</v>
      </c>
      <c r="J7" s="2" t="s">
        <v>57</v>
      </c>
      <c r="K7" s="4">
        <v>76</v>
      </c>
      <c r="L7" s="4">
        <v>76</v>
      </c>
      <c r="M7" s="5">
        <f t="shared" si="0"/>
        <v>1</v>
      </c>
      <c r="N7" s="2" t="s">
        <v>44</v>
      </c>
      <c r="O7" s="2" t="s">
        <v>27</v>
      </c>
      <c r="P7" s="2" t="s">
        <v>28</v>
      </c>
      <c r="Q7" s="2" t="s">
        <v>29</v>
      </c>
    </row>
    <row r="8" spans="1:17" x14ac:dyDescent="0.25">
      <c r="A8" s="2" t="s">
        <v>45</v>
      </c>
      <c r="B8" s="2" t="s">
        <v>46</v>
      </c>
      <c r="C8" s="2" t="s">
        <v>114</v>
      </c>
      <c r="D8" s="2" t="s">
        <v>115</v>
      </c>
      <c r="E8" s="2" t="s">
        <v>49</v>
      </c>
      <c r="F8" s="2" t="s">
        <v>105</v>
      </c>
      <c r="G8" s="3">
        <v>45748</v>
      </c>
      <c r="H8" s="3">
        <v>45838</v>
      </c>
      <c r="I8" s="2" t="s">
        <v>56</v>
      </c>
      <c r="J8" s="2" t="s">
        <v>60</v>
      </c>
      <c r="K8" s="4">
        <v>31</v>
      </c>
      <c r="L8" s="4">
        <v>27</v>
      </c>
      <c r="M8" s="5">
        <f t="shared" si="0"/>
        <v>0.87096774193548387</v>
      </c>
      <c r="N8" s="2" t="s">
        <v>51</v>
      </c>
      <c r="O8" s="2" t="s">
        <v>37</v>
      </c>
      <c r="P8" s="2" t="s">
        <v>52</v>
      </c>
      <c r="Q8" s="2" t="s">
        <v>53</v>
      </c>
    </row>
    <row r="9" spans="1:17" x14ac:dyDescent="0.25">
      <c r="A9" s="2"/>
      <c r="B9" s="2"/>
      <c r="C9" s="2"/>
      <c r="D9" s="2"/>
      <c r="E9" s="2"/>
      <c r="F9" s="2" t="s">
        <v>105</v>
      </c>
      <c r="G9" s="3"/>
      <c r="H9" s="3"/>
      <c r="I9" s="2"/>
      <c r="J9" s="2"/>
      <c r="K9" s="4"/>
      <c r="L9" s="4"/>
      <c r="M9" s="5" t="str">
        <f t="shared" si="0"/>
        <v/>
      </c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 t="s">
        <v>105</v>
      </c>
      <c r="G10" s="3"/>
      <c r="H10" s="3"/>
      <c r="I10" s="2"/>
      <c r="J10" s="2"/>
      <c r="K10" s="4"/>
      <c r="L10" s="4"/>
      <c r="M10" s="5" t="str">
        <f t="shared" si="0"/>
        <v/>
      </c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 t="s">
        <v>105</v>
      </c>
      <c r="G11" s="3"/>
      <c r="H11" s="3"/>
      <c r="I11" s="2"/>
      <c r="J11" s="2"/>
      <c r="K11" s="4"/>
      <c r="L11" s="4"/>
      <c r="M11" s="5" t="str">
        <f t="shared" si="0"/>
        <v/>
      </c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 t="s">
        <v>105</v>
      </c>
      <c r="G12" s="3"/>
      <c r="H12" s="3"/>
      <c r="I12" s="2"/>
      <c r="J12" s="2"/>
      <c r="K12" s="4"/>
      <c r="L12" s="4"/>
      <c r="M12" s="5" t="str">
        <f t="shared" si="0"/>
        <v/>
      </c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 t="s">
        <v>105</v>
      </c>
      <c r="G13" s="3"/>
      <c r="H13" s="3"/>
      <c r="I13" s="2"/>
      <c r="J13" s="2"/>
      <c r="K13" s="4"/>
      <c r="L13" s="4"/>
      <c r="M13" s="5" t="str">
        <f t="shared" si="0"/>
        <v/>
      </c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 t="s">
        <v>105</v>
      </c>
      <c r="G14" s="3"/>
      <c r="H14" s="3"/>
      <c r="I14" s="2"/>
      <c r="J14" s="2"/>
      <c r="K14" s="4"/>
      <c r="L14" s="4"/>
      <c r="M14" s="5" t="str">
        <f t="shared" si="0"/>
        <v/>
      </c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 t="s">
        <v>105</v>
      </c>
      <c r="G15" s="3"/>
      <c r="H15" s="3"/>
      <c r="I15" s="2"/>
      <c r="J15" s="2"/>
      <c r="K15" s="4"/>
      <c r="L15" s="4"/>
      <c r="M15" s="5" t="str">
        <f t="shared" si="0"/>
        <v/>
      </c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 t="s">
        <v>105</v>
      </c>
      <c r="G16" s="3"/>
      <c r="H16" s="3"/>
      <c r="I16" s="2"/>
      <c r="J16" s="2"/>
      <c r="K16" s="4"/>
      <c r="L16" s="4"/>
      <c r="M16" s="5" t="str">
        <f t="shared" si="0"/>
        <v/>
      </c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 t="s">
        <v>105</v>
      </c>
      <c r="G17" s="3"/>
      <c r="H17" s="3"/>
      <c r="I17" s="2"/>
      <c r="J17" s="2"/>
      <c r="K17" s="4"/>
      <c r="L17" s="4"/>
      <c r="M17" s="5" t="str">
        <f t="shared" si="0"/>
        <v/>
      </c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 t="s">
        <v>105</v>
      </c>
      <c r="G18" s="3"/>
      <c r="H18" s="3"/>
      <c r="I18" s="2"/>
      <c r="J18" s="2"/>
      <c r="K18" s="4"/>
      <c r="L18" s="4"/>
      <c r="M18" s="5" t="str">
        <f t="shared" si="0"/>
        <v/>
      </c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 t="s">
        <v>105</v>
      </c>
      <c r="G19" s="3"/>
      <c r="H19" s="3"/>
      <c r="I19" s="2"/>
      <c r="J19" s="2"/>
      <c r="K19" s="4"/>
      <c r="L19" s="4"/>
      <c r="M19" s="5" t="str">
        <f t="shared" si="0"/>
        <v/>
      </c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 t="s">
        <v>105</v>
      </c>
      <c r="G20" s="3"/>
      <c r="H20" s="3"/>
      <c r="I20" s="2"/>
      <c r="J20" s="2"/>
      <c r="K20" s="4"/>
      <c r="L20" s="4"/>
      <c r="M20" s="5" t="str">
        <f t="shared" si="0"/>
        <v/>
      </c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 t="s">
        <v>105</v>
      </c>
      <c r="G21" s="3"/>
      <c r="H21" s="3"/>
      <c r="I21" s="2"/>
      <c r="J21" s="2"/>
      <c r="K21" s="4"/>
      <c r="L21" s="4"/>
      <c r="M21" s="5" t="str">
        <f t="shared" si="0"/>
        <v/>
      </c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 t="s">
        <v>105</v>
      </c>
      <c r="G22" s="3"/>
      <c r="H22" s="3"/>
      <c r="I22" s="2"/>
      <c r="J22" s="2"/>
      <c r="K22" s="4"/>
      <c r="L22" s="4"/>
      <c r="M22" s="5" t="str">
        <f t="shared" si="0"/>
        <v/>
      </c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 t="s">
        <v>105</v>
      </c>
      <c r="G23" s="3"/>
      <c r="H23" s="3"/>
      <c r="I23" s="2"/>
      <c r="J23" s="2"/>
      <c r="K23" s="4"/>
      <c r="L23" s="4"/>
      <c r="M23" s="5" t="str">
        <f t="shared" si="0"/>
        <v/>
      </c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 t="s">
        <v>105</v>
      </c>
      <c r="G24" s="3"/>
      <c r="H24" s="3"/>
      <c r="I24" s="2"/>
      <c r="J24" s="2"/>
      <c r="K24" s="4"/>
      <c r="L24" s="4"/>
      <c r="M24" s="5" t="str">
        <f t="shared" si="0"/>
        <v/>
      </c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 t="s">
        <v>105</v>
      </c>
      <c r="G25" s="3"/>
      <c r="H25" s="3"/>
      <c r="I25" s="2"/>
      <c r="J25" s="2"/>
      <c r="K25" s="4"/>
      <c r="L25" s="4"/>
      <c r="M25" s="5" t="str">
        <f t="shared" si="0"/>
        <v/>
      </c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 t="s">
        <v>105</v>
      </c>
      <c r="G26" s="3"/>
      <c r="H26" s="3"/>
      <c r="I26" s="2"/>
      <c r="J26" s="2"/>
      <c r="K26" s="4"/>
      <c r="L26" s="4"/>
      <c r="M26" s="5" t="str">
        <f t="shared" si="0"/>
        <v/>
      </c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 t="s">
        <v>105</v>
      </c>
      <c r="G27" s="3"/>
      <c r="H27" s="3"/>
      <c r="I27" s="2"/>
      <c r="J27" s="2"/>
      <c r="K27" s="4"/>
      <c r="L27" s="4"/>
      <c r="M27" s="5" t="str">
        <f t="shared" si="0"/>
        <v/>
      </c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 t="s">
        <v>105</v>
      </c>
      <c r="G28" s="3"/>
      <c r="H28" s="3"/>
      <c r="I28" s="2"/>
      <c r="J28" s="2"/>
      <c r="K28" s="4"/>
      <c r="L28" s="4"/>
      <c r="M28" s="5" t="str">
        <f t="shared" si="0"/>
        <v/>
      </c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 t="s">
        <v>105</v>
      </c>
      <c r="G29" s="3"/>
      <c r="H29" s="3"/>
      <c r="I29" s="2"/>
      <c r="J29" s="2"/>
      <c r="K29" s="4"/>
      <c r="L29" s="4"/>
      <c r="M29" s="5" t="str">
        <f t="shared" si="0"/>
        <v/>
      </c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 t="s">
        <v>105</v>
      </c>
      <c r="G30" s="3"/>
      <c r="H30" s="3"/>
      <c r="I30" s="2"/>
      <c r="J30" s="2"/>
      <c r="K30" s="4"/>
      <c r="L30" s="4"/>
      <c r="M30" s="5" t="str">
        <f t="shared" si="0"/>
        <v/>
      </c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 t="s">
        <v>105</v>
      </c>
      <c r="G31" s="3"/>
      <c r="H31" s="3"/>
      <c r="I31" s="2"/>
      <c r="J31" s="2"/>
      <c r="K31" s="4"/>
      <c r="L31" s="4"/>
      <c r="M31" s="5" t="str">
        <f t="shared" si="0"/>
        <v/>
      </c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 t="s">
        <v>105</v>
      </c>
      <c r="G32" s="3"/>
      <c r="H32" s="3"/>
      <c r="I32" s="2"/>
      <c r="J32" s="2"/>
      <c r="K32" s="4"/>
      <c r="L32" s="4"/>
      <c r="M32" s="5" t="str">
        <f t="shared" si="0"/>
        <v/>
      </c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 t="s">
        <v>105</v>
      </c>
      <c r="G33" s="3"/>
      <c r="H33" s="3"/>
      <c r="I33" s="2"/>
      <c r="J33" s="2"/>
      <c r="K33" s="4"/>
      <c r="L33" s="4"/>
      <c r="M33" s="5" t="str">
        <f t="shared" si="0"/>
        <v/>
      </c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 t="s">
        <v>105</v>
      </c>
      <c r="G34" s="3"/>
      <c r="H34" s="3"/>
      <c r="I34" s="2"/>
      <c r="J34" s="2"/>
      <c r="K34" s="4"/>
      <c r="L34" s="4"/>
      <c r="M34" s="5" t="str">
        <f t="shared" si="0"/>
        <v/>
      </c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 t="s">
        <v>105</v>
      </c>
      <c r="G35" s="3"/>
      <c r="H35" s="3"/>
      <c r="I35" s="2"/>
      <c r="J35" s="2"/>
      <c r="K35" s="4"/>
      <c r="L35" s="4"/>
      <c r="M35" s="5" t="str">
        <f t="shared" ref="M35:M66" si="1">IF(OR(K35="",L35=""),"",IFERROR(L35/K35,0))</f>
        <v/>
      </c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 t="s">
        <v>105</v>
      </c>
      <c r="G36" s="3"/>
      <c r="H36" s="3"/>
      <c r="I36" s="2"/>
      <c r="J36" s="2"/>
      <c r="K36" s="4"/>
      <c r="L36" s="4"/>
      <c r="M36" s="5" t="str">
        <f t="shared" si="1"/>
        <v/>
      </c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 t="s">
        <v>105</v>
      </c>
      <c r="G37" s="3"/>
      <c r="H37" s="3"/>
      <c r="I37" s="2"/>
      <c r="J37" s="2"/>
      <c r="K37" s="4"/>
      <c r="L37" s="4"/>
      <c r="M37" s="5" t="str">
        <f t="shared" si="1"/>
        <v/>
      </c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 t="s">
        <v>105</v>
      </c>
      <c r="G38" s="3"/>
      <c r="H38" s="3"/>
      <c r="I38" s="2"/>
      <c r="J38" s="2"/>
      <c r="K38" s="4"/>
      <c r="L38" s="4"/>
      <c r="M38" s="5" t="str">
        <f t="shared" si="1"/>
        <v/>
      </c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 t="s">
        <v>105</v>
      </c>
      <c r="G39" s="3"/>
      <c r="H39" s="3"/>
      <c r="I39" s="2"/>
      <c r="J39" s="2"/>
      <c r="K39" s="4"/>
      <c r="L39" s="4"/>
      <c r="M39" s="5" t="str">
        <f t="shared" si="1"/>
        <v/>
      </c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 t="s">
        <v>105</v>
      </c>
      <c r="G40" s="3"/>
      <c r="H40" s="3"/>
      <c r="I40" s="2"/>
      <c r="J40" s="2"/>
      <c r="K40" s="4"/>
      <c r="L40" s="4"/>
      <c r="M40" s="5" t="str">
        <f t="shared" si="1"/>
        <v/>
      </c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 t="s">
        <v>105</v>
      </c>
      <c r="G41" s="3"/>
      <c r="H41" s="3"/>
      <c r="I41" s="2"/>
      <c r="J41" s="2"/>
      <c r="K41" s="4"/>
      <c r="L41" s="4"/>
      <c r="M41" s="5" t="str">
        <f t="shared" si="1"/>
        <v/>
      </c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 t="s">
        <v>105</v>
      </c>
      <c r="G42" s="3"/>
      <c r="H42" s="3"/>
      <c r="I42" s="2"/>
      <c r="J42" s="2"/>
      <c r="K42" s="4"/>
      <c r="L42" s="4"/>
      <c r="M42" s="5" t="str">
        <f t="shared" si="1"/>
        <v/>
      </c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 t="s">
        <v>105</v>
      </c>
      <c r="G43" s="3"/>
      <c r="H43" s="3"/>
      <c r="I43" s="2"/>
      <c r="J43" s="2"/>
      <c r="K43" s="4"/>
      <c r="L43" s="4"/>
      <c r="M43" s="5" t="str">
        <f t="shared" si="1"/>
        <v/>
      </c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 t="s">
        <v>105</v>
      </c>
      <c r="G44" s="3"/>
      <c r="H44" s="3"/>
      <c r="I44" s="2"/>
      <c r="J44" s="2"/>
      <c r="K44" s="4"/>
      <c r="L44" s="4"/>
      <c r="M44" s="5" t="str">
        <f t="shared" si="1"/>
        <v/>
      </c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 t="s">
        <v>105</v>
      </c>
      <c r="G45" s="3"/>
      <c r="H45" s="3"/>
      <c r="I45" s="2"/>
      <c r="J45" s="2"/>
      <c r="K45" s="4"/>
      <c r="L45" s="4"/>
      <c r="M45" s="5" t="str">
        <f t="shared" si="1"/>
        <v/>
      </c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 t="s">
        <v>105</v>
      </c>
      <c r="G46" s="3"/>
      <c r="H46" s="3"/>
      <c r="I46" s="2"/>
      <c r="J46" s="2"/>
      <c r="K46" s="4"/>
      <c r="L46" s="4"/>
      <c r="M46" s="5" t="str">
        <f t="shared" si="1"/>
        <v/>
      </c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 t="s">
        <v>105</v>
      </c>
      <c r="G47" s="3"/>
      <c r="H47" s="3"/>
      <c r="I47" s="2"/>
      <c r="J47" s="2"/>
      <c r="K47" s="4"/>
      <c r="L47" s="4"/>
      <c r="M47" s="5" t="str">
        <f t="shared" si="1"/>
        <v/>
      </c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 t="s">
        <v>105</v>
      </c>
      <c r="G48" s="3"/>
      <c r="H48" s="3"/>
      <c r="I48" s="2"/>
      <c r="J48" s="2"/>
      <c r="K48" s="4"/>
      <c r="L48" s="4"/>
      <c r="M48" s="5" t="str">
        <f t="shared" si="1"/>
        <v/>
      </c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 t="s">
        <v>105</v>
      </c>
      <c r="G49" s="3"/>
      <c r="H49" s="3"/>
      <c r="I49" s="2"/>
      <c r="J49" s="2"/>
      <c r="K49" s="4"/>
      <c r="L49" s="4"/>
      <c r="M49" s="5" t="str">
        <f t="shared" si="1"/>
        <v/>
      </c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 t="s">
        <v>105</v>
      </c>
      <c r="G50" s="3"/>
      <c r="H50" s="3"/>
      <c r="I50" s="2"/>
      <c r="J50" s="2"/>
      <c r="K50" s="4"/>
      <c r="L50" s="4"/>
      <c r="M50" s="5" t="str">
        <f t="shared" si="1"/>
        <v/>
      </c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 t="s">
        <v>105</v>
      </c>
      <c r="G51" s="3"/>
      <c r="H51" s="3"/>
      <c r="I51" s="2"/>
      <c r="J51" s="2"/>
      <c r="K51" s="4"/>
      <c r="L51" s="4"/>
      <c r="M51" s="5" t="str">
        <f t="shared" si="1"/>
        <v/>
      </c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 t="s">
        <v>105</v>
      </c>
      <c r="G52" s="3"/>
      <c r="H52" s="3"/>
      <c r="I52" s="2"/>
      <c r="J52" s="2"/>
      <c r="K52" s="4"/>
      <c r="L52" s="4"/>
      <c r="M52" s="5" t="str">
        <f t="shared" si="1"/>
        <v/>
      </c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 t="s">
        <v>105</v>
      </c>
      <c r="G53" s="3"/>
      <c r="H53" s="3"/>
      <c r="I53" s="2"/>
      <c r="J53" s="2"/>
      <c r="K53" s="4"/>
      <c r="L53" s="4"/>
      <c r="M53" s="5" t="str">
        <f t="shared" si="1"/>
        <v/>
      </c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 t="s">
        <v>105</v>
      </c>
      <c r="G54" s="3"/>
      <c r="H54" s="3"/>
      <c r="I54" s="2"/>
      <c r="J54" s="2"/>
      <c r="K54" s="4"/>
      <c r="L54" s="4"/>
      <c r="M54" s="5" t="str">
        <f t="shared" si="1"/>
        <v/>
      </c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 t="s">
        <v>105</v>
      </c>
      <c r="G55" s="3"/>
      <c r="H55" s="3"/>
      <c r="I55" s="2"/>
      <c r="J55" s="2"/>
      <c r="K55" s="4"/>
      <c r="L55" s="4"/>
      <c r="M55" s="5" t="str">
        <f t="shared" si="1"/>
        <v/>
      </c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 t="s">
        <v>105</v>
      </c>
      <c r="G56" s="3"/>
      <c r="H56" s="3"/>
      <c r="I56" s="2"/>
      <c r="J56" s="2"/>
      <c r="K56" s="4"/>
      <c r="L56" s="4"/>
      <c r="M56" s="5" t="str">
        <f t="shared" si="1"/>
        <v/>
      </c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 t="s">
        <v>105</v>
      </c>
      <c r="G57" s="3"/>
      <c r="H57" s="3"/>
      <c r="I57" s="2"/>
      <c r="J57" s="2"/>
      <c r="K57" s="4"/>
      <c r="L57" s="4"/>
      <c r="M57" s="5" t="str">
        <f t="shared" si="1"/>
        <v/>
      </c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 t="s">
        <v>105</v>
      </c>
      <c r="G58" s="3"/>
      <c r="H58" s="3"/>
      <c r="I58" s="2"/>
      <c r="J58" s="2"/>
      <c r="K58" s="4"/>
      <c r="L58" s="4"/>
      <c r="M58" s="5" t="str">
        <f t="shared" si="1"/>
        <v/>
      </c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 t="s">
        <v>105</v>
      </c>
      <c r="G59" s="3"/>
      <c r="H59" s="3"/>
      <c r="I59" s="2"/>
      <c r="J59" s="2"/>
      <c r="K59" s="4"/>
      <c r="L59" s="4"/>
      <c r="M59" s="5" t="str">
        <f t="shared" si="1"/>
        <v/>
      </c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 t="s">
        <v>105</v>
      </c>
      <c r="G60" s="3"/>
      <c r="H60" s="3"/>
      <c r="I60" s="2"/>
      <c r="J60" s="2"/>
      <c r="K60" s="4"/>
      <c r="L60" s="4"/>
      <c r="M60" s="5" t="str">
        <f t="shared" si="1"/>
        <v/>
      </c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 t="s">
        <v>105</v>
      </c>
      <c r="G61" s="3"/>
      <c r="H61" s="3"/>
      <c r="I61" s="2"/>
      <c r="J61" s="2"/>
      <c r="K61" s="4"/>
      <c r="L61" s="4"/>
      <c r="M61" s="5" t="str">
        <f t="shared" si="1"/>
        <v/>
      </c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 t="s">
        <v>105</v>
      </c>
      <c r="G62" s="3"/>
      <c r="H62" s="3"/>
      <c r="I62" s="2"/>
      <c r="J62" s="2"/>
      <c r="K62" s="4"/>
      <c r="L62" s="4"/>
      <c r="M62" s="5" t="str">
        <f t="shared" si="1"/>
        <v/>
      </c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 t="s">
        <v>105</v>
      </c>
      <c r="G63" s="3"/>
      <c r="H63" s="3"/>
      <c r="I63" s="2"/>
      <c r="J63" s="2"/>
      <c r="K63" s="4"/>
      <c r="L63" s="4"/>
      <c r="M63" s="5" t="str">
        <f t="shared" si="1"/>
        <v/>
      </c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 t="s">
        <v>105</v>
      </c>
      <c r="G64" s="3"/>
      <c r="H64" s="3"/>
      <c r="I64" s="2"/>
      <c r="J64" s="2"/>
      <c r="K64" s="4"/>
      <c r="L64" s="4"/>
      <c r="M64" s="5" t="str">
        <f t="shared" si="1"/>
        <v/>
      </c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 t="s">
        <v>105</v>
      </c>
      <c r="G65" s="3"/>
      <c r="H65" s="3"/>
      <c r="I65" s="2"/>
      <c r="J65" s="2"/>
      <c r="K65" s="4"/>
      <c r="L65" s="4"/>
      <c r="M65" s="5" t="str">
        <f t="shared" si="1"/>
        <v/>
      </c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 t="s">
        <v>105</v>
      </c>
      <c r="G66" s="3"/>
      <c r="H66" s="3"/>
      <c r="I66" s="2"/>
      <c r="J66" s="2"/>
      <c r="K66" s="4"/>
      <c r="L66" s="4"/>
      <c r="M66" s="5" t="str">
        <f t="shared" si="1"/>
        <v/>
      </c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 t="s">
        <v>105</v>
      </c>
      <c r="G67" s="3"/>
      <c r="H67" s="3"/>
      <c r="I67" s="2"/>
      <c r="J67" s="2"/>
      <c r="K67" s="4"/>
      <c r="L67" s="4"/>
      <c r="M67" s="5" t="str">
        <f t="shared" ref="M67:M98" si="2">IF(OR(K67="",L67=""),"",IFERROR(L67/K67,0))</f>
        <v/>
      </c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 t="s">
        <v>105</v>
      </c>
      <c r="G68" s="3"/>
      <c r="H68" s="3"/>
      <c r="I68" s="2"/>
      <c r="J68" s="2"/>
      <c r="K68" s="4"/>
      <c r="L68" s="4"/>
      <c r="M68" s="5" t="str">
        <f t="shared" si="2"/>
        <v/>
      </c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 t="s">
        <v>105</v>
      </c>
      <c r="G69" s="3"/>
      <c r="H69" s="3"/>
      <c r="I69" s="2"/>
      <c r="J69" s="2"/>
      <c r="K69" s="4"/>
      <c r="L69" s="4"/>
      <c r="M69" s="5" t="str">
        <f t="shared" si="2"/>
        <v/>
      </c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 t="s">
        <v>105</v>
      </c>
      <c r="G70" s="3"/>
      <c r="H70" s="3"/>
      <c r="I70" s="2"/>
      <c r="J70" s="2"/>
      <c r="K70" s="4"/>
      <c r="L70" s="4"/>
      <c r="M70" s="5" t="str">
        <f t="shared" si="2"/>
        <v/>
      </c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 t="s">
        <v>105</v>
      </c>
      <c r="G71" s="3"/>
      <c r="H71" s="3"/>
      <c r="I71" s="2"/>
      <c r="J71" s="2"/>
      <c r="K71" s="4"/>
      <c r="L71" s="4"/>
      <c r="M71" s="5" t="str">
        <f t="shared" si="2"/>
        <v/>
      </c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 t="s">
        <v>105</v>
      </c>
      <c r="G72" s="3"/>
      <c r="H72" s="3"/>
      <c r="I72" s="2"/>
      <c r="J72" s="2"/>
      <c r="K72" s="4"/>
      <c r="L72" s="4"/>
      <c r="M72" s="5" t="str">
        <f t="shared" si="2"/>
        <v/>
      </c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 t="s">
        <v>105</v>
      </c>
      <c r="G73" s="3"/>
      <c r="H73" s="3"/>
      <c r="I73" s="2"/>
      <c r="J73" s="2"/>
      <c r="K73" s="4"/>
      <c r="L73" s="4"/>
      <c r="M73" s="5" t="str">
        <f t="shared" si="2"/>
        <v/>
      </c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 t="s">
        <v>105</v>
      </c>
      <c r="G74" s="3"/>
      <c r="H74" s="3"/>
      <c r="I74" s="2"/>
      <c r="J74" s="2"/>
      <c r="K74" s="4"/>
      <c r="L74" s="4"/>
      <c r="M74" s="5" t="str">
        <f t="shared" si="2"/>
        <v/>
      </c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 t="s">
        <v>105</v>
      </c>
      <c r="G75" s="3"/>
      <c r="H75" s="3"/>
      <c r="I75" s="2"/>
      <c r="J75" s="2"/>
      <c r="K75" s="4"/>
      <c r="L75" s="4"/>
      <c r="M75" s="5" t="str">
        <f t="shared" si="2"/>
        <v/>
      </c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 t="s">
        <v>105</v>
      </c>
      <c r="G76" s="3"/>
      <c r="H76" s="3"/>
      <c r="I76" s="2"/>
      <c r="J76" s="2"/>
      <c r="K76" s="4"/>
      <c r="L76" s="4"/>
      <c r="M76" s="5" t="str">
        <f t="shared" si="2"/>
        <v/>
      </c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 t="s">
        <v>105</v>
      </c>
      <c r="G77" s="3"/>
      <c r="H77" s="3"/>
      <c r="I77" s="2"/>
      <c r="J77" s="2"/>
      <c r="K77" s="4"/>
      <c r="L77" s="4"/>
      <c r="M77" s="5" t="str">
        <f t="shared" si="2"/>
        <v/>
      </c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 t="s">
        <v>105</v>
      </c>
      <c r="G78" s="3"/>
      <c r="H78" s="3"/>
      <c r="I78" s="2"/>
      <c r="J78" s="2"/>
      <c r="K78" s="4"/>
      <c r="L78" s="4"/>
      <c r="M78" s="5" t="str">
        <f t="shared" si="2"/>
        <v/>
      </c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 t="s">
        <v>105</v>
      </c>
      <c r="G79" s="3"/>
      <c r="H79" s="3"/>
      <c r="I79" s="2"/>
      <c r="J79" s="2"/>
      <c r="K79" s="4"/>
      <c r="L79" s="4"/>
      <c r="M79" s="5" t="str">
        <f t="shared" si="2"/>
        <v/>
      </c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 t="s">
        <v>105</v>
      </c>
      <c r="G80" s="3"/>
      <c r="H80" s="3"/>
      <c r="I80" s="2"/>
      <c r="J80" s="2"/>
      <c r="K80" s="4"/>
      <c r="L80" s="4"/>
      <c r="M80" s="5" t="str">
        <f t="shared" si="2"/>
        <v/>
      </c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 t="s">
        <v>105</v>
      </c>
      <c r="G81" s="3"/>
      <c r="H81" s="3"/>
      <c r="I81" s="2"/>
      <c r="J81" s="2"/>
      <c r="K81" s="4"/>
      <c r="L81" s="4"/>
      <c r="M81" s="5" t="str">
        <f t="shared" si="2"/>
        <v/>
      </c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 t="s">
        <v>105</v>
      </c>
      <c r="G82" s="3"/>
      <c r="H82" s="3"/>
      <c r="I82" s="2"/>
      <c r="J82" s="2"/>
      <c r="K82" s="4"/>
      <c r="L82" s="4"/>
      <c r="M82" s="5" t="str">
        <f t="shared" si="2"/>
        <v/>
      </c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 t="s">
        <v>105</v>
      </c>
      <c r="G83" s="3"/>
      <c r="H83" s="3"/>
      <c r="I83" s="2"/>
      <c r="J83" s="2"/>
      <c r="K83" s="4"/>
      <c r="L83" s="4"/>
      <c r="M83" s="5" t="str">
        <f t="shared" si="2"/>
        <v/>
      </c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 t="s">
        <v>105</v>
      </c>
      <c r="G84" s="3"/>
      <c r="H84" s="3"/>
      <c r="I84" s="2"/>
      <c r="J84" s="2"/>
      <c r="K84" s="4"/>
      <c r="L84" s="4"/>
      <c r="M84" s="5" t="str">
        <f t="shared" si="2"/>
        <v/>
      </c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 t="s">
        <v>105</v>
      </c>
      <c r="G85" s="3"/>
      <c r="H85" s="3"/>
      <c r="I85" s="2"/>
      <c r="J85" s="2"/>
      <c r="K85" s="4"/>
      <c r="L85" s="4"/>
      <c r="M85" s="5" t="str">
        <f t="shared" si="2"/>
        <v/>
      </c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 t="s">
        <v>105</v>
      </c>
      <c r="G86" s="3"/>
      <c r="H86" s="3"/>
      <c r="I86" s="2"/>
      <c r="J86" s="2"/>
      <c r="K86" s="4"/>
      <c r="L86" s="4"/>
      <c r="M86" s="5" t="str">
        <f t="shared" si="2"/>
        <v/>
      </c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 t="s">
        <v>105</v>
      </c>
      <c r="G87" s="3"/>
      <c r="H87" s="3"/>
      <c r="I87" s="2"/>
      <c r="J87" s="2"/>
      <c r="K87" s="4"/>
      <c r="L87" s="4"/>
      <c r="M87" s="5" t="str">
        <f t="shared" si="2"/>
        <v/>
      </c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 t="s">
        <v>105</v>
      </c>
      <c r="G88" s="3"/>
      <c r="H88" s="3"/>
      <c r="I88" s="2"/>
      <c r="J88" s="2"/>
      <c r="K88" s="4"/>
      <c r="L88" s="4"/>
      <c r="M88" s="5" t="str">
        <f t="shared" si="2"/>
        <v/>
      </c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 t="s">
        <v>105</v>
      </c>
      <c r="G89" s="3"/>
      <c r="H89" s="3"/>
      <c r="I89" s="2"/>
      <c r="J89" s="2"/>
      <c r="K89" s="4"/>
      <c r="L89" s="4"/>
      <c r="M89" s="5" t="str">
        <f t="shared" si="2"/>
        <v/>
      </c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 t="s">
        <v>105</v>
      </c>
      <c r="G90" s="3"/>
      <c r="H90" s="3"/>
      <c r="I90" s="2"/>
      <c r="J90" s="2"/>
      <c r="K90" s="4"/>
      <c r="L90" s="4"/>
      <c r="M90" s="5" t="str">
        <f t="shared" si="2"/>
        <v/>
      </c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 t="s">
        <v>105</v>
      </c>
      <c r="G91" s="3"/>
      <c r="H91" s="3"/>
      <c r="I91" s="2"/>
      <c r="J91" s="2"/>
      <c r="K91" s="4"/>
      <c r="L91" s="4"/>
      <c r="M91" s="5" t="str">
        <f t="shared" si="2"/>
        <v/>
      </c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 t="s">
        <v>105</v>
      </c>
      <c r="G92" s="3"/>
      <c r="H92" s="3"/>
      <c r="I92" s="2"/>
      <c r="J92" s="2"/>
      <c r="K92" s="4"/>
      <c r="L92" s="4"/>
      <c r="M92" s="5" t="str">
        <f t="shared" si="2"/>
        <v/>
      </c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 t="s">
        <v>105</v>
      </c>
      <c r="G93" s="3"/>
      <c r="H93" s="3"/>
      <c r="I93" s="2"/>
      <c r="J93" s="2"/>
      <c r="K93" s="4"/>
      <c r="L93" s="4"/>
      <c r="M93" s="5" t="str">
        <f t="shared" si="2"/>
        <v/>
      </c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 t="s">
        <v>105</v>
      </c>
      <c r="G94" s="3"/>
      <c r="H94" s="3"/>
      <c r="I94" s="2"/>
      <c r="J94" s="2"/>
      <c r="K94" s="4"/>
      <c r="L94" s="4"/>
      <c r="M94" s="5" t="str">
        <f t="shared" si="2"/>
        <v/>
      </c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 t="s">
        <v>105</v>
      </c>
      <c r="G95" s="3"/>
      <c r="H95" s="3"/>
      <c r="I95" s="2"/>
      <c r="J95" s="2"/>
      <c r="K95" s="4"/>
      <c r="L95" s="4"/>
      <c r="M95" s="5" t="str">
        <f t="shared" si="2"/>
        <v/>
      </c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 t="s">
        <v>105</v>
      </c>
      <c r="G96" s="3"/>
      <c r="H96" s="3"/>
      <c r="I96" s="2"/>
      <c r="J96" s="2"/>
      <c r="K96" s="4"/>
      <c r="L96" s="4"/>
      <c r="M96" s="5" t="str">
        <f t="shared" si="2"/>
        <v/>
      </c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 t="s">
        <v>105</v>
      </c>
      <c r="G97" s="3"/>
      <c r="H97" s="3"/>
      <c r="I97" s="2"/>
      <c r="J97" s="2"/>
      <c r="K97" s="4"/>
      <c r="L97" s="4"/>
      <c r="M97" s="5" t="str">
        <f t="shared" si="2"/>
        <v/>
      </c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 t="s">
        <v>105</v>
      </c>
      <c r="G98" s="3"/>
      <c r="H98" s="3"/>
      <c r="I98" s="2"/>
      <c r="J98" s="2"/>
      <c r="K98" s="4"/>
      <c r="L98" s="4"/>
      <c r="M98" s="5" t="str">
        <f t="shared" si="2"/>
        <v/>
      </c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 t="s">
        <v>105</v>
      </c>
      <c r="G99" s="3"/>
      <c r="H99" s="3"/>
      <c r="I99" s="2"/>
      <c r="J99" s="2"/>
      <c r="K99" s="4"/>
      <c r="L99" s="4"/>
      <c r="M99" s="5" t="str">
        <f t="shared" ref="M99:M130" si="3">IF(OR(K99="",L99=""),"",IFERROR(L99/K99,0))</f>
        <v/>
      </c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 t="s">
        <v>105</v>
      </c>
      <c r="G100" s="3"/>
      <c r="H100" s="3"/>
      <c r="I100" s="2"/>
      <c r="J100" s="2"/>
      <c r="K100" s="4"/>
      <c r="L100" s="4"/>
      <c r="M100" s="5" t="str">
        <f t="shared" si="3"/>
        <v/>
      </c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 t="s">
        <v>105</v>
      </c>
      <c r="G101" s="3"/>
      <c r="H101" s="3"/>
      <c r="I101" s="2"/>
      <c r="J101" s="2"/>
      <c r="K101" s="4"/>
      <c r="L101" s="4"/>
      <c r="M101" s="5" t="str">
        <f t="shared" si="3"/>
        <v/>
      </c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 t="s">
        <v>105</v>
      </c>
      <c r="G102" s="3"/>
      <c r="H102" s="3"/>
      <c r="I102" s="2"/>
      <c r="J102" s="2"/>
      <c r="K102" s="4"/>
      <c r="L102" s="4"/>
      <c r="M102" s="5" t="str">
        <f t="shared" si="3"/>
        <v/>
      </c>
      <c r="N102" s="2"/>
      <c r="O102" s="2"/>
      <c r="P102" s="2"/>
      <c r="Q102" s="2"/>
    </row>
    <row r="105" spans="1:17" x14ac:dyDescent="0.25">
      <c r="A105" s="20" t="s">
        <v>61</v>
      </c>
      <c r="B105" s="21"/>
      <c r="C105" s="21"/>
      <c r="D105" s="21"/>
      <c r="E105" s="21"/>
      <c r="F105" s="21"/>
      <c r="G105" s="21"/>
    </row>
    <row r="106" spans="1:17" ht="30" x14ac:dyDescent="0.25">
      <c r="A106" s="1" t="s">
        <v>3</v>
      </c>
      <c r="B106" s="1" t="s">
        <v>1</v>
      </c>
      <c r="C106" s="1" t="s">
        <v>62</v>
      </c>
      <c r="D106" s="1" t="s">
        <v>63</v>
      </c>
      <c r="E106" s="1" t="s">
        <v>64</v>
      </c>
      <c r="F106" s="1" t="s">
        <v>65</v>
      </c>
      <c r="G106" s="1" t="s">
        <v>66</v>
      </c>
    </row>
    <row r="107" spans="1:17" x14ac:dyDescent="0.25">
      <c r="A107" s="2" t="s">
        <v>108</v>
      </c>
      <c r="B107" s="2" t="s">
        <v>18</v>
      </c>
      <c r="C107" s="2" t="s">
        <v>71</v>
      </c>
      <c r="D107" s="2" t="s">
        <v>116</v>
      </c>
      <c r="E107" s="3">
        <v>45579</v>
      </c>
      <c r="F107" s="2" t="s">
        <v>69</v>
      </c>
      <c r="G107" s="2" t="s">
        <v>117</v>
      </c>
    </row>
    <row r="108" spans="1:17" x14ac:dyDescent="0.25">
      <c r="A108" s="2" t="s">
        <v>114</v>
      </c>
      <c r="B108" s="2" t="s">
        <v>45</v>
      </c>
      <c r="C108" s="2" t="s">
        <v>118</v>
      </c>
      <c r="D108" s="2" t="s">
        <v>119</v>
      </c>
      <c r="E108" s="3">
        <v>45852</v>
      </c>
      <c r="F108" s="2" t="s">
        <v>73</v>
      </c>
      <c r="G108" s="2" t="s">
        <v>120</v>
      </c>
    </row>
    <row r="109" spans="1:17" x14ac:dyDescent="0.25">
      <c r="A109" s="2"/>
      <c r="B109" s="2"/>
      <c r="C109" s="2"/>
      <c r="D109" s="2"/>
      <c r="E109" s="3"/>
      <c r="F109" s="2"/>
      <c r="G109" s="2"/>
    </row>
    <row r="110" spans="1:17" x14ac:dyDescent="0.25">
      <c r="A110" s="2"/>
      <c r="B110" s="2"/>
      <c r="C110" s="2"/>
      <c r="D110" s="2"/>
      <c r="E110" s="3"/>
      <c r="F110" s="2"/>
      <c r="G110" s="2"/>
    </row>
    <row r="111" spans="1:17" x14ac:dyDescent="0.25">
      <c r="A111" s="2"/>
      <c r="B111" s="2"/>
      <c r="C111" s="2"/>
      <c r="D111" s="2"/>
      <c r="E111" s="3"/>
      <c r="F111" s="2"/>
      <c r="G111" s="2"/>
    </row>
    <row r="112" spans="1:17" x14ac:dyDescent="0.25">
      <c r="A112" s="2"/>
      <c r="B112" s="2"/>
      <c r="C112" s="2"/>
      <c r="D112" s="2"/>
      <c r="E112" s="3"/>
      <c r="F112" s="2"/>
      <c r="G112" s="2"/>
    </row>
    <row r="113" spans="1:7" x14ac:dyDescent="0.25">
      <c r="A113" s="2"/>
      <c r="B113" s="2"/>
      <c r="C113" s="2"/>
      <c r="D113" s="2"/>
      <c r="E113" s="3"/>
      <c r="F113" s="2"/>
      <c r="G113" s="2"/>
    </row>
    <row r="114" spans="1:7" x14ac:dyDescent="0.25">
      <c r="A114" s="2"/>
      <c r="B114" s="2"/>
      <c r="C114" s="2"/>
      <c r="D114" s="2"/>
      <c r="E114" s="3"/>
      <c r="F114" s="2"/>
      <c r="G114" s="2"/>
    </row>
    <row r="115" spans="1:7" x14ac:dyDescent="0.25">
      <c r="A115" s="2"/>
      <c r="B115" s="2"/>
      <c r="C115" s="2"/>
      <c r="D115" s="2"/>
      <c r="E115" s="3"/>
      <c r="F115" s="2"/>
      <c r="G115" s="2"/>
    </row>
    <row r="116" spans="1:7" x14ac:dyDescent="0.25">
      <c r="A116" s="2"/>
      <c r="B116" s="2"/>
      <c r="C116" s="2"/>
      <c r="D116" s="2"/>
      <c r="E116" s="3"/>
      <c r="F116" s="2"/>
      <c r="G116" s="2"/>
    </row>
    <row r="117" spans="1:7" x14ac:dyDescent="0.25">
      <c r="A117" s="2"/>
      <c r="B117" s="2"/>
      <c r="C117" s="2"/>
      <c r="D117" s="2"/>
      <c r="E117" s="3"/>
      <c r="F117" s="2"/>
      <c r="G117" s="2"/>
    </row>
    <row r="118" spans="1:7" x14ac:dyDescent="0.25">
      <c r="A118" s="2"/>
      <c r="B118" s="2"/>
      <c r="C118" s="2"/>
      <c r="D118" s="2"/>
      <c r="E118" s="3"/>
      <c r="F118" s="2"/>
      <c r="G118" s="2"/>
    </row>
    <row r="119" spans="1:7" x14ac:dyDescent="0.25">
      <c r="A119" s="2"/>
      <c r="B119" s="2"/>
      <c r="C119" s="2"/>
      <c r="D119" s="2"/>
      <c r="E119" s="3"/>
      <c r="F119" s="2"/>
      <c r="G119" s="2"/>
    </row>
    <row r="120" spans="1:7" x14ac:dyDescent="0.25">
      <c r="A120" s="2"/>
      <c r="B120" s="2"/>
      <c r="C120" s="2"/>
      <c r="D120" s="2"/>
      <c r="E120" s="3"/>
      <c r="F120" s="2"/>
      <c r="G120" s="2"/>
    </row>
    <row r="121" spans="1:7" x14ac:dyDescent="0.25">
      <c r="A121" s="2"/>
      <c r="B121" s="2"/>
      <c r="C121" s="2"/>
      <c r="D121" s="2"/>
      <c r="E121" s="3"/>
      <c r="F121" s="2"/>
      <c r="G121" s="2"/>
    </row>
    <row r="122" spans="1:7" x14ac:dyDescent="0.25">
      <c r="A122" s="2"/>
      <c r="B122" s="2"/>
      <c r="C122" s="2"/>
      <c r="D122" s="2"/>
      <c r="E122" s="3"/>
      <c r="F122" s="2"/>
      <c r="G122" s="2"/>
    </row>
    <row r="123" spans="1:7" x14ac:dyDescent="0.25">
      <c r="A123" s="2"/>
      <c r="B123" s="2"/>
      <c r="C123" s="2"/>
      <c r="D123" s="2"/>
      <c r="E123" s="3"/>
      <c r="F123" s="2"/>
      <c r="G123" s="2"/>
    </row>
    <row r="124" spans="1:7" x14ac:dyDescent="0.25">
      <c r="A124" s="2"/>
      <c r="B124" s="2"/>
      <c r="C124" s="2"/>
      <c r="D124" s="2"/>
      <c r="E124" s="3"/>
      <c r="F124" s="2"/>
      <c r="G124" s="2"/>
    </row>
    <row r="125" spans="1:7" x14ac:dyDescent="0.25">
      <c r="A125" s="2"/>
      <c r="B125" s="2"/>
      <c r="C125" s="2"/>
      <c r="D125" s="2"/>
      <c r="E125" s="3"/>
      <c r="F125" s="2"/>
      <c r="G125" s="2"/>
    </row>
    <row r="126" spans="1:7" x14ac:dyDescent="0.25">
      <c r="A126" s="2"/>
      <c r="B126" s="2"/>
      <c r="C126" s="2"/>
      <c r="D126" s="2"/>
      <c r="E126" s="3"/>
      <c r="F126" s="2"/>
      <c r="G126" s="2"/>
    </row>
    <row r="127" spans="1:7" x14ac:dyDescent="0.25">
      <c r="A127" s="2"/>
      <c r="B127" s="2"/>
      <c r="C127" s="2"/>
      <c r="D127" s="2"/>
      <c r="E127" s="3"/>
      <c r="F127" s="2"/>
      <c r="G127" s="2"/>
    </row>
    <row r="128" spans="1:7" x14ac:dyDescent="0.25">
      <c r="A128" s="2"/>
      <c r="B128" s="2"/>
      <c r="C128" s="2"/>
      <c r="D128" s="2"/>
      <c r="E128" s="3"/>
      <c r="F128" s="2"/>
      <c r="G128" s="2"/>
    </row>
    <row r="129" spans="1:7" x14ac:dyDescent="0.25">
      <c r="A129" s="2"/>
      <c r="B129" s="2"/>
      <c r="C129" s="2"/>
      <c r="D129" s="2"/>
      <c r="E129" s="3"/>
      <c r="F129" s="2"/>
      <c r="G129" s="2"/>
    </row>
    <row r="130" spans="1:7" x14ac:dyDescent="0.25">
      <c r="A130" s="2"/>
      <c r="B130" s="2"/>
      <c r="C130" s="2"/>
      <c r="D130" s="2"/>
      <c r="E130" s="3"/>
      <c r="F130" s="2"/>
      <c r="G130" s="2"/>
    </row>
    <row r="131" spans="1:7" x14ac:dyDescent="0.25">
      <c r="A131" s="2"/>
      <c r="B131" s="2"/>
      <c r="C131" s="2"/>
      <c r="D131" s="2"/>
      <c r="E131" s="3"/>
      <c r="F131" s="2"/>
      <c r="G131" s="2"/>
    </row>
    <row r="132" spans="1:7" x14ac:dyDescent="0.25">
      <c r="A132" s="2"/>
      <c r="B132" s="2"/>
      <c r="C132" s="2"/>
      <c r="D132" s="2"/>
      <c r="E132" s="3"/>
      <c r="F132" s="2"/>
      <c r="G132" s="2"/>
    </row>
    <row r="133" spans="1:7" x14ac:dyDescent="0.25">
      <c r="A133" s="2"/>
      <c r="B133" s="2"/>
      <c r="C133" s="2"/>
      <c r="D133" s="2"/>
      <c r="E133" s="3"/>
      <c r="F133" s="2"/>
      <c r="G133" s="2"/>
    </row>
    <row r="134" spans="1:7" x14ac:dyDescent="0.25">
      <c r="A134" s="2"/>
      <c r="B134" s="2"/>
      <c r="C134" s="2"/>
      <c r="D134" s="2"/>
      <c r="E134" s="3"/>
      <c r="F134" s="2"/>
      <c r="G134" s="2"/>
    </row>
    <row r="135" spans="1:7" x14ac:dyDescent="0.25">
      <c r="A135" s="2"/>
      <c r="B135" s="2"/>
      <c r="C135" s="2"/>
      <c r="D135" s="2"/>
      <c r="E135" s="3"/>
      <c r="F135" s="2"/>
      <c r="G135" s="2"/>
    </row>
    <row r="136" spans="1:7" x14ac:dyDescent="0.25">
      <c r="A136" s="2"/>
      <c r="B136" s="2"/>
      <c r="C136" s="2"/>
      <c r="D136" s="2"/>
      <c r="E136" s="3"/>
      <c r="F136" s="2"/>
      <c r="G136" s="2"/>
    </row>
    <row r="137" spans="1:7" x14ac:dyDescent="0.25">
      <c r="A137" s="2"/>
      <c r="B137" s="2"/>
      <c r="C137" s="2"/>
      <c r="D137" s="2"/>
      <c r="E137" s="3"/>
      <c r="F137" s="2"/>
      <c r="G137" s="2"/>
    </row>
    <row r="138" spans="1:7" x14ac:dyDescent="0.25">
      <c r="A138" s="2"/>
      <c r="B138" s="2"/>
      <c r="C138" s="2"/>
      <c r="D138" s="2"/>
      <c r="E138" s="3"/>
      <c r="F138" s="2"/>
      <c r="G138" s="2"/>
    </row>
    <row r="139" spans="1:7" x14ac:dyDescent="0.25">
      <c r="A139" s="2"/>
      <c r="B139" s="2"/>
      <c r="C139" s="2"/>
      <c r="D139" s="2"/>
      <c r="E139" s="3"/>
      <c r="F139" s="2"/>
      <c r="G139" s="2"/>
    </row>
    <row r="140" spans="1:7" x14ac:dyDescent="0.25">
      <c r="A140" s="2"/>
      <c r="B140" s="2"/>
      <c r="C140" s="2"/>
      <c r="D140" s="2"/>
      <c r="E140" s="3"/>
      <c r="F140" s="2"/>
      <c r="G140" s="2"/>
    </row>
    <row r="141" spans="1:7" x14ac:dyDescent="0.25">
      <c r="A141" s="2"/>
      <c r="B141" s="2"/>
      <c r="C141" s="2"/>
      <c r="D141" s="2"/>
      <c r="E141" s="3"/>
      <c r="F141" s="2"/>
      <c r="G141" s="2"/>
    </row>
    <row r="142" spans="1:7" x14ac:dyDescent="0.25">
      <c r="A142" s="2"/>
      <c r="B142" s="2"/>
      <c r="C142" s="2"/>
      <c r="D142" s="2"/>
      <c r="E142" s="3"/>
      <c r="F142" s="2"/>
      <c r="G142" s="2"/>
    </row>
    <row r="143" spans="1:7" x14ac:dyDescent="0.25">
      <c r="A143" s="2"/>
      <c r="B143" s="2"/>
      <c r="C143" s="2"/>
      <c r="D143" s="2"/>
      <c r="E143" s="3"/>
      <c r="F143" s="2"/>
      <c r="G143" s="2"/>
    </row>
    <row r="144" spans="1:7" x14ac:dyDescent="0.25">
      <c r="A144" s="2"/>
      <c r="B144" s="2"/>
      <c r="C144" s="2"/>
      <c r="D144" s="2"/>
      <c r="E144" s="3"/>
      <c r="F144" s="2"/>
      <c r="G144" s="2"/>
    </row>
    <row r="145" spans="1:7" x14ac:dyDescent="0.25">
      <c r="A145" s="2"/>
      <c r="B145" s="2"/>
      <c r="C145" s="2"/>
      <c r="D145" s="2"/>
      <c r="E145" s="3"/>
      <c r="F145" s="2"/>
      <c r="G145" s="2"/>
    </row>
    <row r="146" spans="1:7" x14ac:dyDescent="0.25">
      <c r="A146" s="2"/>
      <c r="B146" s="2"/>
      <c r="C146" s="2"/>
      <c r="D146" s="2"/>
      <c r="E146" s="3"/>
      <c r="F146" s="2"/>
      <c r="G146" s="2"/>
    </row>
    <row r="147" spans="1:7" x14ac:dyDescent="0.25">
      <c r="A147" s="2"/>
      <c r="B147" s="2"/>
      <c r="C147" s="2"/>
      <c r="D147" s="2"/>
      <c r="E147" s="3"/>
      <c r="F147" s="2"/>
      <c r="G147" s="2"/>
    </row>
    <row r="148" spans="1:7" x14ac:dyDescent="0.25">
      <c r="A148" s="2"/>
      <c r="B148" s="2"/>
      <c r="C148" s="2"/>
      <c r="D148" s="2"/>
      <c r="E148" s="3"/>
      <c r="F148" s="2"/>
      <c r="G148" s="2"/>
    </row>
    <row r="149" spans="1:7" x14ac:dyDescent="0.25">
      <c r="A149" s="2"/>
      <c r="B149" s="2"/>
      <c r="C149" s="2"/>
      <c r="D149" s="2"/>
      <c r="E149" s="3"/>
      <c r="F149" s="2"/>
      <c r="G149" s="2"/>
    </row>
    <row r="150" spans="1:7" x14ac:dyDescent="0.25">
      <c r="A150" s="2"/>
      <c r="B150" s="2"/>
      <c r="C150" s="2"/>
      <c r="D150" s="2"/>
      <c r="E150" s="3"/>
      <c r="F150" s="2"/>
      <c r="G150" s="2"/>
    </row>
    <row r="151" spans="1:7" x14ac:dyDescent="0.25">
      <c r="A151" s="2"/>
      <c r="B151" s="2"/>
      <c r="C151" s="2"/>
      <c r="D151" s="2"/>
      <c r="E151" s="3"/>
      <c r="F151" s="2"/>
      <c r="G151" s="2"/>
    </row>
    <row r="152" spans="1:7" x14ac:dyDescent="0.25">
      <c r="A152" s="2"/>
      <c r="B152" s="2"/>
      <c r="C152" s="2"/>
      <c r="D152" s="2"/>
      <c r="E152" s="3"/>
      <c r="F152" s="2"/>
      <c r="G152" s="2"/>
    </row>
    <row r="153" spans="1:7" x14ac:dyDescent="0.25">
      <c r="A153" s="2"/>
      <c r="B153" s="2"/>
      <c r="C153" s="2"/>
      <c r="D153" s="2"/>
      <c r="E153" s="3"/>
      <c r="F153" s="2"/>
      <c r="G153" s="2"/>
    </row>
    <row r="154" spans="1:7" x14ac:dyDescent="0.25">
      <c r="A154" s="2"/>
      <c r="B154" s="2"/>
      <c r="C154" s="2"/>
      <c r="D154" s="2"/>
      <c r="E154" s="3"/>
      <c r="F154" s="2"/>
      <c r="G154" s="2"/>
    </row>
    <row r="155" spans="1:7" x14ac:dyDescent="0.25">
      <c r="A155" s="2"/>
      <c r="B155" s="2"/>
      <c r="C155" s="2"/>
      <c r="D155" s="2"/>
      <c r="E155" s="3"/>
      <c r="F155" s="2"/>
      <c r="G155" s="2"/>
    </row>
    <row r="156" spans="1:7" x14ac:dyDescent="0.25">
      <c r="A156" s="2"/>
      <c r="B156" s="2"/>
      <c r="C156" s="2"/>
      <c r="D156" s="2"/>
      <c r="E156" s="3"/>
      <c r="F156" s="2"/>
      <c r="G156" s="2"/>
    </row>
    <row r="157" spans="1:7" x14ac:dyDescent="0.25">
      <c r="A157" s="2"/>
      <c r="B157" s="2"/>
      <c r="C157" s="2"/>
      <c r="D157" s="2"/>
      <c r="E157" s="3"/>
      <c r="F157" s="2"/>
      <c r="G157" s="2"/>
    </row>
    <row r="158" spans="1:7" x14ac:dyDescent="0.25">
      <c r="A158" s="2"/>
      <c r="B158" s="2"/>
      <c r="C158" s="2"/>
      <c r="D158" s="2"/>
      <c r="E158" s="3"/>
      <c r="F158" s="2"/>
      <c r="G158" s="2"/>
    </row>
    <row r="159" spans="1:7" x14ac:dyDescent="0.25">
      <c r="A159" s="2"/>
      <c r="B159" s="2"/>
      <c r="C159" s="2"/>
      <c r="D159" s="2"/>
      <c r="E159" s="3"/>
      <c r="F159" s="2"/>
      <c r="G159" s="2"/>
    </row>
    <row r="160" spans="1:7" x14ac:dyDescent="0.25">
      <c r="A160" s="2"/>
      <c r="B160" s="2"/>
      <c r="C160" s="2"/>
      <c r="D160" s="2"/>
      <c r="E160" s="3"/>
      <c r="F160" s="2"/>
      <c r="G160" s="2"/>
    </row>
    <row r="161" spans="1:7" x14ac:dyDescent="0.25">
      <c r="A161" s="2"/>
      <c r="B161" s="2"/>
      <c r="C161" s="2"/>
      <c r="D161" s="2"/>
      <c r="E161" s="3"/>
      <c r="F161" s="2"/>
      <c r="G161" s="2"/>
    </row>
    <row r="162" spans="1:7" x14ac:dyDescent="0.25">
      <c r="A162" s="2"/>
      <c r="B162" s="2"/>
      <c r="C162" s="2"/>
      <c r="D162" s="2"/>
      <c r="E162" s="3"/>
      <c r="F162" s="2"/>
      <c r="G162" s="2"/>
    </row>
    <row r="163" spans="1:7" x14ac:dyDescent="0.25">
      <c r="A163" s="2"/>
      <c r="B163" s="2"/>
      <c r="C163" s="2"/>
      <c r="D163" s="2"/>
      <c r="E163" s="3"/>
      <c r="F163" s="2"/>
      <c r="G163" s="2"/>
    </row>
    <row r="164" spans="1:7" x14ac:dyDescent="0.25">
      <c r="A164" s="2"/>
      <c r="B164" s="2"/>
      <c r="C164" s="2"/>
      <c r="D164" s="2"/>
      <c r="E164" s="3"/>
      <c r="F164" s="2"/>
      <c r="G164" s="2"/>
    </row>
    <row r="165" spans="1:7" x14ac:dyDescent="0.25">
      <c r="A165" s="2"/>
      <c r="B165" s="2"/>
      <c r="C165" s="2"/>
      <c r="D165" s="2"/>
      <c r="E165" s="3"/>
      <c r="F165" s="2"/>
      <c r="G165" s="2"/>
    </row>
    <row r="166" spans="1:7" x14ac:dyDescent="0.25">
      <c r="A166" s="2"/>
      <c r="B166" s="2"/>
      <c r="C166" s="2"/>
      <c r="D166" s="2"/>
      <c r="E166" s="3"/>
      <c r="F166" s="2"/>
      <c r="G166" s="2"/>
    </row>
  </sheetData>
  <mergeCells count="2">
    <mergeCell ref="A105:G105"/>
    <mergeCell ref="A1:Q1"/>
  </mergeCells>
  <conditionalFormatting sqref="A3:Q102">
    <cfRule type="expression" dxfId="47" priority="8">
      <formula>$O3="Yes"</formula>
    </cfRule>
  </conditionalFormatting>
  <conditionalFormatting sqref="M3:M102">
    <cfRule type="expression" dxfId="46" priority="1">
      <formula>AND(M3&gt;=1,M3&lt;&gt;"")</formula>
    </cfRule>
    <cfRule type="expression" dxfId="45" priority="2">
      <formula>AND(M3&gt;=0.8,M3&lt;1)</formula>
    </cfRule>
    <cfRule type="expression" dxfId="44" priority="3">
      <formula>AND(M3&lt;0.8,M3&lt;&gt;"")</formula>
    </cfRule>
  </conditionalFormatting>
  <conditionalFormatting sqref="P3:P102">
    <cfRule type="expression" dxfId="43" priority="4">
      <formula>$P3="Completed"</formula>
    </cfRule>
    <cfRule type="expression" dxfId="42" priority="5">
      <formula>$P3="In progress"</formula>
    </cfRule>
    <cfRule type="expression" dxfId="41" priority="6">
      <formula>OR($P3="Delayed",$P3="Cancelled")</formula>
    </cfRule>
    <cfRule type="expression" dxfId="40" priority="7">
      <formula>$P3="Not started"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200-000000000000}">
          <x14:formula1>
            <xm:f>Lists!$F$1:$F$5</xm:f>
          </x14:formula1>
          <xm:sqref>P3:P102</xm:sqref>
        </x14:dataValidation>
        <x14:dataValidation type="list" allowBlank="1" xr:uid="{00000000-0002-0000-0200-000001000000}">
          <x14:formula1>
            <xm:f>Lists!$G$1:$G$2</xm:f>
          </x14:formula1>
          <xm:sqref>O3:O102</xm:sqref>
        </x14:dataValidation>
        <x14:dataValidation type="list" allowBlank="1" xr:uid="{00000000-0002-0000-0200-000002000000}">
          <x14:formula1>
            <xm:f>Lists!$D$2:$D$4</xm:f>
          </x14:formula1>
          <xm:sqref>I3:I102</xm:sqref>
        </x14:dataValidation>
        <x14:dataValidation type="list" allowBlank="1" xr:uid="{00000000-0002-0000-0200-000003000000}">
          <x14:formula1>
            <xm:f>Lists!$E$2:$E$13</xm:f>
          </x14:formula1>
          <xm:sqref>J3:J102</xm:sqref>
        </x14:dataValidation>
        <x14:dataValidation type="list" allowBlank="1" xr:uid="{00000000-0002-0000-0200-000004000000}">
          <x14:formula1>
            <xm:f>Lists!$B$2:$B$5</xm:f>
          </x14:formula1>
          <xm:sqref>E3:E102</xm:sqref>
        </x14:dataValidation>
        <x14:dataValidation type="list" allowBlank="1" xr:uid="{00000000-0002-0000-0200-000005000000}">
          <x14:formula1>
            <xm:f>Lists!$C$2:$C$5</xm:f>
          </x14:formula1>
          <xm:sqref>A3:A102</xm:sqref>
        </x14:dataValidation>
        <x14:dataValidation type="list" allowBlank="1" xr:uid="{00000000-0002-0000-0200-000006000000}">
          <x14:formula1>
            <xm:f>Lists!$H$1:$H$4</xm:f>
          </x14:formula1>
          <xm:sqref>C107:C166</xm:sqref>
        </x14:dataValidation>
        <x14:dataValidation type="list" allowBlank="1" xr:uid="{00000000-0002-0000-0200-000007000000}">
          <x14:formula1>
            <xm:f>Lists!$I$1:$I$3</xm:f>
          </x14:formula1>
          <xm:sqref>F107:F166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6"/>
  <sheetViews>
    <sheetView workbookViewId="0">
      <selection sqref="A1:Q1"/>
    </sheetView>
  </sheetViews>
  <sheetFormatPr defaultRowHeight="15" x14ac:dyDescent="0.25"/>
  <cols>
    <col min="1" max="1" width="18" customWidth="1"/>
    <col min="2" max="2" width="32" customWidth="1"/>
    <col min="3" max="3" width="20" customWidth="1"/>
    <col min="4" max="4" width="28" customWidth="1"/>
    <col min="5" max="5" width="18" customWidth="1"/>
    <col min="6" max="6" width="22" customWidth="1"/>
    <col min="7" max="7" width="26" customWidth="1"/>
    <col min="8" max="9" width="12" customWidth="1"/>
    <col min="10" max="10" width="14" customWidth="1"/>
    <col min="11" max="12" width="16" customWidth="1"/>
    <col min="13" max="13" width="12" customWidth="1"/>
    <col min="14" max="14" width="28" customWidth="1"/>
    <col min="15" max="15" width="18" customWidth="1"/>
    <col min="16" max="16" width="16" customWidth="1"/>
    <col min="17" max="17" width="34" customWidth="1"/>
  </cols>
  <sheetData>
    <row r="1" spans="1:17" x14ac:dyDescent="0.25">
      <c r="A1" s="20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45</v>
      </c>
      <c r="B3" s="2" t="s">
        <v>46</v>
      </c>
      <c r="C3" s="2" t="s">
        <v>122</v>
      </c>
      <c r="D3" s="2" t="s">
        <v>123</v>
      </c>
      <c r="E3" s="2" t="s">
        <v>49</v>
      </c>
      <c r="F3" s="2" t="s">
        <v>124</v>
      </c>
      <c r="G3" s="3">
        <v>45839</v>
      </c>
      <c r="H3" s="3">
        <v>45930</v>
      </c>
      <c r="I3" s="2" t="s">
        <v>56</v>
      </c>
      <c r="J3" s="2" t="s">
        <v>79</v>
      </c>
      <c r="K3" s="4">
        <v>63</v>
      </c>
      <c r="L3" s="4">
        <v>61</v>
      </c>
      <c r="M3" s="5">
        <f t="shared" ref="M3:M34" si="0">IF(OR(K3="",L3=""),"",IFERROR(L3/K3,0))</f>
        <v>0.96825396825396826</v>
      </c>
      <c r="N3" s="2" t="s">
        <v>51</v>
      </c>
      <c r="O3" s="2" t="s">
        <v>27</v>
      </c>
      <c r="P3" s="2" t="s">
        <v>52</v>
      </c>
      <c r="Q3" s="2" t="s">
        <v>53</v>
      </c>
    </row>
    <row r="4" spans="1:17" x14ac:dyDescent="0.25">
      <c r="A4" s="2" t="s">
        <v>18</v>
      </c>
      <c r="B4" s="2" t="s">
        <v>19</v>
      </c>
      <c r="C4" s="2" t="s">
        <v>125</v>
      </c>
      <c r="D4" s="2" t="s">
        <v>126</v>
      </c>
      <c r="E4" s="2" t="s">
        <v>22</v>
      </c>
      <c r="F4" s="2" t="s">
        <v>124</v>
      </c>
      <c r="G4" s="3">
        <v>45931</v>
      </c>
      <c r="H4" s="3">
        <v>46022</v>
      </c>
      <c r="I4" s="2" t="s">
        <v>56</v>
      </c>
      <c r="J4" s="2" t="s">
        <v>82</v>
      </c>
      <c r="K4" s="4">
        <v>68</v>
      </c>
      <c r="L4" s="4">
        <v>62</v>
      </c>
      <c r="M4" s="5">
        <f t="shared" si="0"/>
        <v>0.91176470588235292</v>
      </c>
      <c r="N4" s="2" t="s">
        <v>26</v>
      </c>
      <c r="O4" s="2" t="s">
        <v>37</v>
      </c>
      <c r="P4" s="2" t="s">
        <v>52</v>
      </c>
      <c r="Q4" s="2" t="s">
        <v>53</v>
      </c>
    </row>
    <row r="5" spans="1:17" x14ac:dyDescent="0.25">
      <c r="A5" s="2" t="s">
        <v>30</v>
      </c>
      <c r="B5" s="2" t="s">
        <v>31</v>
      </c>
      <c r="C5" s="2" t="s">
        <v>127</v>
      </c>
      <c r="D5" s="2" t="s">
        <v>128</v>
      </c>
      <c r="E5" s="2" t="s">
        <v>34</v>
      </c>
      <c r="F5" s="2" t="s">
        <v>124</v>
      </c>
      <c r="G5" s="3">
        <v>46023</v>
      </c>
      <c r="H5" s="3">
        <v>46112</v>
      </c>
      <c r="I5" s="2" t="s">
        <v>85</v>
      </c>
      <c r="J5" s="2" t="s">
        <v>86</v>
      </c>
      <c r="K5" s="4">
        <v>73</v>
      </c>
      <c r="L5" s="4">
        <v>63</v>
      </c>
      <c r="M5" s="5">
        <f t="shared" si="0"/>
        <v>0.86301369863013699</v>
      </c>
      <c r="N5" s="2" t="s">
        <v>36</v>
      </c>
      <c r="O5" s="2" t="s">
        <v>27</v>
      </c>
      <c r="P5" s="2" t="s">
        <v>52</v>
      </c>
      <c r="Q5" s="2" t="s">
        <v>53</v>
      </c>
    </row>
    <row r="6" spans="1:17" x14ac:dyDescent="0.25">
      <c r="A6" s="2" t="s">
        <v>38</v>
      </c>
      <c r="B6" s="2" t="s">
        <v>39</v>
      </c>
      <c r="C6" s="2" t="s">
        <v>129</v>
      </c>
      <c r="D6" s="2" t="s">
        <v>130</v>
      </c>
      <c r="E6" s="2" t="s">
        <v>42</v>
      </c>
      <c r="F6" s="2" t="s">
        <v>124</v>
      </c>
      <c r="G6" s="3">
        <v>46113</v>
      </c>
      <c r="H6" s="3">
        <v>46203</v>
      </c>
      <c r="I6" s="2" t="s">
        <v>85</v>
      </c>
      <c r="J6" s="2" t="s">
        <v>89</v>
      </c>
      <c r="K6" s="4">
        <v>78</v>
      </c>
      <c r="L6" s="4">
        <v>85</v>
      </c>
      <c r="M6" s="5">
        <f t="shared" si="0"/>
        <v>1.0897435897435896</v>
      </c>
      <c r="N6" s="2" t="s">
        <v>44</v>
      </c>
      <c r="O6" s="2" t="s">
        <v>27</v>
      </c>
      <c r="P6" s="2" t="s">
        <v>28</v>
      </c>
      <c r="Q6" s="2" t="s">
        <v>29</v>
      </c>
    </row>
    <row r="7" spans="1:17" x14ac:dyDescent="0.25">
      <c r="A7" s="2" t="s">
        <v>45</v>
      </c>
      <c r="B7" s="2" t="s">
        <v>46</v>
      </c>
      <c r="C7" s="2" t="s">
        <v>131</v>
      </c>
      <c r="D7" s="2" t="s">
        <v>132</v>
      </c>
      <c r="E7" s="2" t="s">
        <v>49</v>
      </c>
      <c r="F7" s="2" t="s">
        <v>124</v>
      </c>
      <c r="G7" s="3">
        <v>46204</v>
      </c>
      <c r="H7" s="3">
        <v>46295</v>
      </c>
      <c r="I7" s="2" t="s">
        <v>85</v>
      </c>
      <c r="J7" s="2" t="s">
        <v>92</v>
      </c>
      <c r="K7" s="4">
        <v>33</v>
      </c>
      <c r="L7" s="4">
        <v>0</v>
      </c>
      <c r="M7" s="5">
        <f t="shared" si="0"/>
        <v>0</v>
      </c>
      <c r="N7" s="2" t="s">
        <v>51</v>
      </c>
      <c r="O7" s="2" t="s">
        <v>37</v>
      </c>
      <c r="P7" s="2" t="s">
        <v>93</v>
      </c>
      <c r="Q7" s="2" t="s">
        <v>94</v>
      </c>
    </row>
    <row r="8" spans="1:17" x14ac:dyDescent="0.25">
      <c r="A8" s="2" t="s">
        <v>18</v>
      </c>
      <c r="B8" s="2" t="s">
        <v>19</v>
      </c>
      <c r="C8" s="2" t="s">
        <v>133</v>
      </c>
      <c r="D8" s="2" t="s">
        <v>134</v>
      </c>
      <c r="E8" s="2" t="s">
        <v>22</v>
      </c>
      <c r="F8" s="2" t="s">
        <v>124</v>
      </c>
      <c r="G8" s="3">
        <v>46296</v>
      </c>
      <c r="H8" s="3">
        <v>46387</v>
      </c>
      <c r="I8" s="2" t="s">
        <v>85</v>
      </c>
      <c r="J8" s="2" t="s">
        <v>97</v>
      </c>
      <c r="K8" s="4">
        <v>38</v>
      </c>
      <c r="L8" s="4">
        <v>0</v>
      </c>
      <c r="M8" s="5">
        <f t="shared" si="0"/>
        <v>0</v>
      </c>
      <c r="N8" s="2" t="s">
        <v>26</v>
      </c>
      <c r="O8" s="2" t="s">
        <v>27</v>
      </c>
      <c r="P8" s="2" t="s">
        <v>93</v>
      </c>
      <c r="Q8" s="2" t="s">
        <v>94</v>
      </c>
    </row>
    <row r="9" spans="1:17" x14ac:dyDescent="0.25">
      <c r="A9" s="2"/>
      <c r="B9" s="2"/>
      <c r="C9" s="2"/>
      <c r="D9" s="2"/>
      <c r="E9" s="2"/>
      <c r="F9" s="2" t="s">
        <v>124</v>
      </c>
      <c r="G9" s="3"/>
      <c r="H9" s="3"/>
      <c r="I9" s="2"/>
      <c r="J9" s="2"/>
      <c r="K9" s="4"/>
      <c r="L9" s="4"/>
      <c r="M9" s="5" t="str">
        <f t="shared" si="0"/>
        <v/>
      </c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 t="s">
        <v>124</v>
      </c>
      <c r="G10" s="3"/>
      <c r="H10" s="3"/>
      <c r="I10" s="2"/>
      <c r="J10" s="2"/>
      <c r="K10" s="4"/>
      <c r="L10" s="4"/>
      <c r="M10" s="5" t="str">
        <f t="shared" si="0"/>
        <v/>
      </c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 t="s">
        <v>124</v>
      </c>
      <c r="G11" s="3"/>
      <c r="H11" s="3"/>
      <c r="I11" s="2"/>
      <c r="J11" s="2"/>
      <c r="K11" s="4"/>
      <c r="L11" s="4"/>
      <c r="M11" s="5" t="str">
        <f t="shared" si="0"/>
        <v/>
      </c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 t="s">
        <v>124</v>
      </c>
      <c r="G12" s="3"/>
      <c r="H12" s="3"/>
      <c r="I12" s="2"/>
      <c r="J12" s="2"/>
      <c r="K12" s="4"/>
      <c r="L12" s="4"/>
      <c r="M12" s="5" t="str">
        <f t="shared" si="0"/>
        <v/>
      </c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 t="s">
        <v>124</v>
      </c>
      <c r="G13" s="3"/>
      <c r="H13" s="3"/>
      <c r="I13" s="2"/>
      <c r="J13" s="2"/>
      <c r="K13" s="4"/>
      <c r="L13" s="4"/>
      <c r="M13" s="5" t="str">
        <f t="shared" si="0"/>
        <v/>
      </c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 t="s">
        <v>124</v>
      </c>
      <c r="G14" s="3"/>
      <c r="H14" s="3"/>
      <c r="I14" s="2"/>
      <c r="J14" s="2"/>
      <c r="K14" s="4"/>
      <c r="L14" s="4"/>
      <c r="M14" s="5" t="str">
        <f t="shared" si="0"/>
        <v/>
      </c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 t="s">
        <v>124</v>
      </c>
      <c r="G15" s="3"/>
      <c r="H15" s="3"/>
      <c r="I15" s="2"/>
      <c r="J15" s="2"/>
      <c r="K15" s="4"/>
      <c r="L15" s="4"/>
      <c r="M15" s="5" t="str">
        <f t="shared" si="0"/>
        <v/>
      </c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 t="s">
        <v>124</v>
      </c>
      <c r="G16" s="3"/>
      <c r="H16" s="3"/>
      <c r="I16" s="2"/>
      <c r="J16" s="2"/>
      <c r="K16" s="4"/>
      <c r="L16" s="4"/>
      <c r="M16" s="5" t="str">
        <f t="shared" si="0"/>
        <v/>
      </c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 t="s">
        <v>124</v>
      </c>
      <c r="G17" s="3"/>
      <c r="H17" s="3"/>
      <c r="I17" s="2"/>
      <c r="J17" s="2"/>
      <c r="K17" s="4"/>
      <c r="L17" s="4"/>
      <c r="M17" s="5" t="str">
        <f t="shared" si="0"/>
        <v/>
      </c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 t="s">
        <v>124</v>
      </c>
      <c r="G18" s="3"/>
      <c r="H18" s="3"/>
      <c r="I18" s="2"/>
      <c r="J18" s="2"/>
      <c r="K18" s="4"/>
      <c r="L18" s="4"/>
      <c r="M18" s="5" t="str">
        <f t="shared" si="0"/>
        <v/>
      </c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 t="s">
        <v>124</v>
      </c>
      <c r="G19" s="3"/>
      <c r="H19" s="3"/>
      <c r="I19" s="2"/>
      <c r="J19" s="2"/>
      <c r="K19" s="4"/>
      <c r="L19" s="4"/>
      <c r="M19" s="5" t="str">
        <f t="shared" si="0"/>
        <v/>
      </c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 t="s">
        <v>124</v>
      </c>
      <c r="G20" s="3"/>
      <c r="H20" s="3"/>
      <c r="I20" s="2"/>
      <c r="J20" s="2"/>
      <c r="K20" s="4"/>
      <c r="L20" s="4"/>
      <c r="M20" s="5" t="str">
        <f t="shared" si="0"/>
        <v/>
      </c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 t="s">
        <v>124</v>
      </c>
      <c r="G21" s="3"/>
      <c r="H21" s="3"/>
      <c r="I21" s="2"/>
      <c r="J21" s="2"/>
      <c r="K21" s="4"/>
      <c r="L21" s="4"/>
      <c r="M21" s="5" t="str">
        <f t="shared" si="0"/>
        <v/>
      </c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 t="s">
        <v>124</v>
      </c>
      <c r="G22" s="3"/>
      <c r="H22" s="3"/>
      <c r="I22" s="2"/>
      <c r="J22" s="2"/>
      <c r="K22" s="4"/>
      <c r="L22" s="4"/>
      <c r="M22" s="5" t="str">
        <f t="shared" si="0"/>
        <v/>
      </c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 t="s">
        <v>124</v>
      </c>
      <c r="G23" s="3"/>
      <c r="H23" s="3"/>
      <c r="I23" s="2"/>
      <c r="J23" s="2"/>
      <c r="K23" s="4"/>
      <c r="L23" s="4"/>
      <c r="M23" s="5" t="str">
        <f t="shared" si="0"/>
        <v/>
      </c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 t="s">
        <v>124</v>
      </c>
      <c r="G24" s="3"/>
      <c r="H24" s="3"/>
      <c r="I24" s="2"/>
      <c r="J24" s="2"/>
      <c r="K24" s="4"/>
      <c r="L24" s="4"/>
      <c r="M24" s="5" t="str">
        <f t="shared" si="0"/>
        <v/>
      </c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 t="s">
        <v>124</v>
      </c>
      <c r="G25" s="3"/>
      <c r="H25" s="3"/>
      <c r="I25" s="2"/>
      <c r="J25" s="2"/>
      <c r="K25" s="4"/>
      <c r="L25" s="4"/>
      <c r="M25" s="5" t="str">
        <f t="shared" si="0"/>
        <v/>
      </c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 t="s">
        <v>124</v>
      </c>
      <c r="G26" s="3"/>
      <c r="H26" s="3"/>
      <c r="I26" s="2"/>
      <c r="J26" s="2"/>
      <c r="K26" s="4"/>
      <c r="L26" s="4"/>
      <c r="M26" s="5" t="str">
        <f t="shared" si="0"/>
        <v/>
      </c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 t="s">
        <v>124</v>
      </c>
      <c r="G27" s="3"/>
      <c r="H27" s="3"/>
      <c r="I27" s="2"/>
      <c r="J27" s="2"/>
      <c r="K27" s="4"/>
      <c r="L27" s="4"/>
      <c r="M27" s="5" t="str">
        <f t="shared" si="0"/>
        <v/>
      </c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 t="s">
        <v>124</v>
      </c>
      <c r="G28" s="3"/>
      <c r="H28" s="3"/>
      <c r="I28" s="2"/>
      <c r="J28" s="2"/>
      <c r="K28" s="4"/>
      <c r="L28" s="4"/>
      <c r="M28" s="5" t="str">
        <f t="shared" si="0"/>
        <v/>
      </c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 t="s">
        <v>124</v>
      </c>
      <c r="G29" s="3"/>
      <c r="H29" s="3"/>
      <c r="I29" s="2"/>
      <c r="J29" s="2"/>
      <c r="K29" s="4"/>
      <c r="L29" s="4"/>
      <c r="M29" s="5" t="str">
        <f t="shared" si="0"/>
        <v/>
      </c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 t="s">
        <v>124</v>
      </c>
      <c r="G30" s="3"/>
      <c r="H30" s="3"/>
      <c r="I30" s="2"/>
      <c r="J30" s="2"/>
      <c r="K30" s="4"/>
      <c r="L30" s="4"/>
      <c r="M30" s="5" t="str">
        <f t="shared" si="0"/>
        <v/>
      </c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 t="s">
        <v>124</v>
      </c>
      <c r="G31" s="3"/>
      <c r="H31" s="3"/>
      <c r="I31" s="2"/>
      <c r="J31" s="2"/>
      <c r="K31" s="4"/>
      <c r="L31" s="4"/>
      <c r="M31" s="5" t="str">
        <f t="shared" si="0"/>
        <v/>
      </c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 t="s">
        <v>124</v>
      </c>
      <c r="G32" s="3"/>
      <c r="H32" s="3"/>
      <c r="I32" s="2"/>
      <c r="J32" s="2"/>
      <c r="K32" s="4"/>
      <c r="L32" s="4"/>
      <c r="M32" s="5" t="str">
        <f t="shared" si="0"/>
        <v/>
      </c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 t="s">
        <v>124</v>
      </c>
      <c r="G33" s="3"/>
      <c r="H33" s="3"/>
      <c r="I33" s="2"/>
      <c r="J33" s="2"/>
      <c r="K33" s="4"/>
      <c r="L33" s="4"/>
      <c r="M33" s="5" t="str">
        <f t="shared" si="0"/>
        <v/>
      </c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 t="s">
        <v>124</v>
      </c>
      <c r="G34" s="3"/>
      <c r="H34" s="3"/>
      <c r="I34" s="2"/>
      <c r="J34" s="2"/>
      <c r="K34" s="4"/>
      <c r="L34" s="4"/>
      <c r="M34" s="5" t="str">
        <f t="shared" si="0"/>
        <v/>
      </c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 t="s">
        <v>124</v>
      </c>
      <c r="G35" s="3"/>
      <c r="H35" s="3"/>
      <c r="I35" s="2"/>
      <c r="J35" s="2"/>
      <c r="K35" s="4"/>
      <c r="L35" s="4"/>
      <c r="M35" s="5" t="str">
        <f t="shared" ref="M35:M66" si="1">IF(OR(K35="",L35=""),"",IFERROR(L35/K35,0))</f>
        <v/>
      </c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 t="s">
        <v>124</v>
      </c>
      <c r="G36" s="3"/>
      <c r="H36" s="3"/>
      <c r="I36" s="2"/>
      <c r="J36" s="2"/>
      <c r="K36" s="4"/>
      <c r="L36" s="4"/>
      <c r="M36" s="5" t="str">
        <f t="shared" si="1"/>
        <v/>
      </c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 t="s">
        <v>124</v>
      </c>
      <c r="G37" s="3"/>
      <c r="H37" s="3"/>
      <c r="I37" s="2"/>
      <c r="J37" s="2"/>
      <c r="K37" s="4"/>
      <c r="L37" s="4"/>
      <c r="M37" s="5" t="str">
        <f t="shared" si="1"/>
        <v/>
      </c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 t="s">
        <v>124</v>
      </c>
      <c r="G38" s="3"/>
      <c r="H38" s="3"/>
      <c r="I38" s="2"/>
      <c r="J38" s="2"/>
      <c r="K38" s="4"/>
      <c r="L38" s="4"/>
      <c r="M38" s="5" t="str">
        <f t="shared" si="1"/>
        <v/>
      </c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 t="s">
        <v>124</v>
      </c>
      <c r="G39" s="3"/>
      <c r="H39" s="3"/>
      <c r="I39" s="2"/>
      <c r="J39" s="2"/>
      <c r="K39" s="4"/>
      <c r="L39" s="4"/>
      <c r="M39" s="5" t="str">
        <f t="shared" si="1"/>
        <v/>
      </c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 t="s">
        <v>124</v>
      </c>
      <c r="G40" s="3"/>
      <c r="H40" s="3"/>
      <c r="I40" s="2"/>
      <c r="J40" s="2"/>
      <c r="K40" s="4"/>
      <c r="L40" s="4"/>
      <c r="M40" s="5" t="str">
        <f t="shared" si="1"/>
        <v/>
      </c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 t="s">
        <v>124</v>
      </c>
      <c r="G41" s="3"/>
      <c r="H41" s="3"/>
      <c r="I41" s="2"/>
      <c r="J41" s="2"/>
      <c r="K41" s="4"/>
      <c r="L41" s="4"/>
      <c r="M41" s="5" t="str">
        <f t="shared" si="1"/>
        <v/>
      </c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 t="s">
        <v>124</v>
      </c>
      <c r="G42" s="3"/>
      <c r="H42" s="3"/>
      <c r="I42" s="2"/>
      <c r="J42" s="2"/>
      <c r="K42" s="4"/>
      <c r="L42" s="4"/>
      <c r="M42" s="5" t="str">
        <f t="shared" si="1"/>
        <v/>
      </c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 t="s">
        <v>124</v>
      </c>
      <c r="G43" s="3"/>
      <c r="H43" s="3"/>
      <c r="I43" s="2"/>
      <c r="J43" s="2"/>
      <c r="K43" s="4"/>
      <c r="L43" s="4"/>
      <c r="M43" s="5" t="str">
        <f t="shared" si="1"/>
        <v/>
      </c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 t="s">
        <v>124</v>
      </c>
      <c r="G44" s="3"/>
      <c r="H44" s="3"/>
      <c r="I44" s="2"/>
      <c r="J44" s="2"/>
      <c r="K44" s="4"/>
      <c r="L44" s="4"/>
      <c r="M44" s="5" t="str">
        <f t="shared" si="1"/>
        <v/>
      </c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 t="s">
        <v>124</v>
      </c>
      <c r="G45" s="3"/>
      <c r="H45" s="3"/>
      <c r="I45" s="2"/>
      <c r="J45" s="2"/>
      <c r="K45" s="4"/>
      <c r="L45" s="4"/>
      <c r="M45" s="5" t="str">
        <f t="shared" si="1"/>
        <v/>
      </c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 t="s">
        <v>124</v>
      </c>
      <c r="G46" s="3"/>
      <c r="H46" s="3"/>
      <c r="I46" s="2"/>
      <c r="J46" s="2"/>
      <c r="K46" s="4"/>
      <c r="L46" s="4"/>
      <c r="M46" s="5" t="str">
        <f t="shared" si="1"/>
        <v/>
      </c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 t="s">
        <v>124</v>
      </c>
      <c r="G47" s="3"/>
      <c r="H47" s="3"/>
      <c r="I47" s="2"/>
      <c r="J47" s="2"/>
      <c r="K47" s="4"/>
      <c r="L47" s="4"/>
      <c r="M47" s="5" t="str">
        <f t="shared" si="1"/>
        <v/>
      </c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 t="s">
        <v>124</v>
      </c>
      <c r="G48" s="3"/>
      <c r="H48" s="3"/>
      <c r="I48" s="2"/>
      <c r="J48" s="2"/>
      <c r="K48" s="4"/>
      <c r="L48" s="4"/>
      <c r="M48" s="5" t="str">
        <f t="shared" si="1"/>
        <v/>
      </c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 t="s">
        <v>124</v>
      </c>
      <c r="G49" s="3"/>
      <c r="H49" s="3"/>
      <c r="I49" s="2"/>
      <c r="J49" s="2"/>
      <c r="K49" s="4"/>
      <c r="L49" s="4"/>
      <c r="M49" s="5" t="str">
        <f t="shared" si="1"/>
        <v/>
      </c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 t="s">
        <v>124</v>
      </c>
      <c r="G50" s="3"/>
      <c r="H50" s="3"/>
      <c r="I50" s="2"/>
      <c r="J50" s="2"/>
      <c r="K50" s="4"/>
      <c r="L50" s="4"/>
      <c r="M50" s="5" t="str">
        <f t="shared" si="1"/>
        <v/>
      </c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 t="s">
        <v>124</v>
      </c>
      <c r="G51" s="3"/>
      <c r="H51" s="3"/>
      <c r="I51" s="2"/>
      <c r="J51" s="2"/>
      <c r="K51" s="4"/>
      <c r="L51" s="4"/>
      <c r="M51" s="5" t="str">
        <f t="shared" si="1"/>
        <v/>
      </c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 t="s">
        <v>124</v>
      </c>
      <c r="G52" s="3"/>
      <c r="H52" s="3"/>
      <c r="I52" s="2"/>
      <c r="J52" s="2"/>
      <c r="K52" s="4"/>
      <c r="L52" s="4"/>
      <c r="M52" s="5" t="str">
        <f t="shared" si="1"/>
        <v/>
      </c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 t="s">
        <v>124</v>
      </c>
      <c r="G53" s="3"/>
      <c r="H53" s="3"/>
      <c r="I53" s="2"/>
      <c r="J53" s="2"/>
      <c r="K53" s="4"/>
      <c r="L53" s="4"/>
      <c r="M53" s="5" t="str">
        <f t="shared" si="1"/>
        <v/>
      </c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 t="s">
        <v>124</v>
      </c>
      <c r="G54" s="3"/>
      <c r="H54" s="3"/>
      <c r="I54" s="2"/>
      <c r="J54" s="2"/>
      <c r="K54" s="4"/>
      <c r="L54" s="4"/>
      <c r="M54" s="5" t="str">
        <f t="shared" si="1"/>
        <v/>
      </c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 t="s">
        <v>124</v>
      </c>
      <c r="G55" s="3"/>
      <c r="H55" s="3"/>
      <c r="I55" s="2"/>
      <c r="J55" s="2"/>
      <c r="K55" s="4"/>
      <c r="L55" s="4"/>
      <c r="M55" s="5" t="str">
        <f t="shared" si="1"/>
        <v/>
      </c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 t="s">
        <v>124</v>
      </c>
      <c r="G56" s="3"/>
      <c r="H56" s="3"/>
      <c r="I56" s="2"/>
      <c r="J56" s="2"/>
      <c r="K56" s="4"/>
      <c r="L56" s="4"/>
      <c r="M56" s="5" t="str">
        <f t="shared" si="1"/>
        <v/>
      </c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 t="s">
        <v>124</v>
      </c>
      <c r="G57" s="3"/>
      <c r="H57" s="3"/>
      <c r="I57" s="2"/>
      <c r="J57" s="2"/>
      <c r="K57" s="4"/>
      <c r="L57" s="4"/>
      <c r="M57" s="5" t="str">
        <f t="shared" si="1"/>
        <v/>
      </c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 t="s">
        <v>124</v>
      </c>
      <c r="G58" s="3"/>
      <c r="H58" s="3"/>
      <c r="I58" s="2"/>
      <c r="J58" s="2"/>
      <c r="K58" s="4"/>
      <c r="L58" s="4"/>
      <c r="M58" s="5" t="str">
        <f t="shared" si="1"/>
        <v/>
      </c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 t="s">
        <v>124</v>
      </c>
      <c r="G59" s="3"/>
      <c r="H59" s="3"/>
      <c r="I59" s="2"/>
      <c r="J59" s="2"/>
      <c r="K59" s="4"/>
      <c r="L59" s="4"/>
      <c r="M59" s="5" t="str">
        <f t="shared" si="1"/>
        <v/>
      </c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 t="s">
        <v>124</v>
      </c>
      <c r="G60" s="3"/>
      <c r="H60" s="3"/>
      <c r="I60" s="2"/>
      <c r="J60" s="2"/>
      <c r="K60" s="4"/>
      <c r="L60" s="4"/>
      <c r="M60" s="5" t="str">
        <f t="shared" si="1"/>
        <v/>
      </c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 t="s">
        <v>124</v>
      </c>
      <c r="G61" s="3"/>
      <c r="H61" s="3"/>
      <c r="I61" s="2"/>
      <c r="J61" s="2"/>
      <c r="K61" s="4"/>
      <c r="L61" s="4"/>
      <c r="M61" s="5" t="str">
        <f t="shared" si="1"/>
        <v/>
      </c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 t="s">
        <v>124</v>
      </c>
      <c r="G62" s="3"/>
      <c r="H62" s="3"/>
      <c r="I62" s="2"/>
      <c r="J62" s="2"/>
      <c r="K62" s="4"/>
      <c r="L62" s="4"/>
      <c r="M62" s="5" t="str">
        <f t="shared" si="1"/>
        <v/>
      </c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 t="s">
        <v>124</v>
      </c>
      <c r="G63" s="3"/>
      <c r="H63" s="3"/>
      <c r="I63" s="2"/>
      <c r="J63" s="2"/>
      <c r="K63" s="4"/>
      <c r="L63" s="4"/>
      <c r="M63" s="5" t="str">
        <f t="shared" si="1"/>
        <v/>
      </c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 t="s">
        <v>124</v>
      </c>
      <c r="G64" s="3"/>
      <c r="H64" s="3"/>
      <c r="I64" s="2"/>
      <c r="J64" s="2"/>
      <c r="K64" s="4"/>
      <c r="L64" s="4"/>
      <c r="M64" s="5" t="str">
        <f t="shared" si="1"/>
        <v/>
      </c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 t="s">
        <v>124</v>
      </c>
      <c r="G65" s="3"/>
      <c r="H65" s="3"/>
      <c r="I65" s="2"/>
      <c r="J65" s="2"/>
      <c r="K65" s="4"/>
      <c r="L65" s="4"/>
      <c r="M65" s="5" t="str">
        <f t="shared" si="1"/>
        <v/>
      </c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 t="s">
        <v>124</v>
      </c>
      <c r="G66" s="3"/>
      <c r="H66" s="3"/>
      <c r="I66" s="2"/>
      <c r="J66" s="2"/>
      <c r="K66" s="4"/>
      <c r="L66" s="4"/>
      <c r="M66" s="5" t="str">
        <f t="shared" si="1"/>
        <v/>
      </c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 t="s">
        <v>124</v>
      </c>
      <c r="G67" s="3"/>
      <c r="H67" s="3"/>
      <c r="I67" s="2"/>
      <c r="J67" s="2"/>
      <c r="K67" s="4"/>
      <c r="L67" s="4"/>
      <c r="M67" s="5" t="str">
        <f t="shared" ref="M67:M98" si="2">IF(OR(K67="",L67=""),"",IFERROR(L67/K67,0))</f>
        <v/>
      </c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 t="s">
        <v>124</v>
      </c>
      <c r="G68" s="3"/>
      <c r="H68" s="3"/>
      <c r="I68" s="2"/>
      <c r="J68" s="2"/>
      <c r="K68" s="4"/>
      <c r="L68" s="4"/>
      <c r="M68" s="5" t="str">
        <f t="shared" si="2"/>
        <v/>
      </c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 t="s">
        <v>124</v>
      </c>
      <c r="G69" s="3"/>
      <c r="H69" s="3"/>
      <c r="I69" s="2"/>
      <c r="J69" s="2"/>
      <c r="K69" s="4"/>
      <c r="L69" s="4"/>
      <c r="M69" s="5" t="str">
        <f t="shared" si="2"/>
        <v/>
      </c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 t="s">
        <v>124</v>
      </c>
      <c r="G70" s="3"/>
      <c r="H70" s="3"/>
      <c r="I70" s="2"/>
      <c r="J70" s="2"/>
      <c r="K70" s="4"/>
      <c r="L70" s="4"/>
      <c r="M70" s="5" t="str">
        <f t="shared" si="2"/>
        <v/>
      </c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 t="s">
        <v>124</v>
      </c>
      <c r="G71" s="3"/>
      <c r="H71" s="3"/>
      <c r="I71" s="2"/>
      <c r="J71" s="2"/>
      <c r="K71" s="4"/>
      <c r="L71" s="4"/>
      <c r="M71" s="5" t="str">
        <f t="shared" si="2"/>
        <v/>
      </c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 t="s">
        <v>124</v>
      </c>
      <c r="G72" s="3"/>
      <c r="H72" s="3"/>
      <c r="I72" s="2"/>
      <c r="J72" s="2"/>
      <c r="K72" s="4"/>
      <c r="L72" s="4"/>
      <c r="M72" s="5" t="str">
        <f t="shared" si="2"/>
        <v/>
      </c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 t="s">
        <v>124</v>
      </c>
      <c r="G73" s="3"/>
      <c r="H73" s="3"/>
      <c r="I73" s="2"/>
      <c r="J73" s="2"/>
      <c r="K73" s="4"/>
      <c r="L73" s="4"/>
      <c r="M73" s="5" t="str">
        <f t="shared" si="2"/>
        <v/>
      </c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 t="s">
        <v>124</v>
      </c>
      <c r="G74" s="3"/>
      <c r="H74" s="3"/>
      <c r="I74" s="2"/>
      <c r="J74" s="2"/>
      <c r="K74" s="4"/>
      <c r="L74" s="4"/>
      <c r="M74" s="5" t="str">
        <f t="shared" si="2"/>
        <v/>
      </c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 t="s">
        <v>124</v>
      </c>
      <c r="G75" s="3"/>
      <c r="H75" s="3"/>
      <c r="I75" s="2"/>
      <c r="J75" s="2"/>
      <c r="K75" s="4"/>
      <c r="L75" s="4"/>
      <c r="M75" s="5" t="str">
        <f t="shared" si="2"/>
        <v/>
      </c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 t="s">
        <v>124</v>
      </c>
      <c r="G76" s="3"/>
      <c r="H76" s="3"/>
      <c r="I76" s="2"/>
      <c r="J76" s="2"/>
      <c r="K76" s="4"/>
      <c r="L76" s="4"/>
      <c r="M76" s="5" t="str">
        <f t="shared" si="2"/>
        <v/>
      </c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 t="s">
        <v>124</v>
      </c>
      <c r="G77" s="3"/>
      <c r="H77" s="3"/>
      <c r="I77" s="2"/>
      <c r="J77" s="2"/>
      <c r="K77" s="4"/>
      <c r="L77" s="4"/>
      <c r="M77" s="5" t="str">
        <f t="shared" si="2"/>
        <v/>
      </c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 t="s">
        <v>124</v>
      </c>
      <c r="G78" s="3"/>
      <c r="H78" s="3"/>
      <c r="I78" s="2"/>
      <c r="J78" s="2"/>
      <c r="K78" s="4"/>
      <c r="L78" s="4"/>
      <c r="M78" s="5" t="str">
        <f t="shared" si="2"/>
        <v/>
      </c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 t="s">
        <v>124</v>
      </c>
      <c r="G79" s="3"/>
      <c r="H79" s="3"/>
      <c r="I79" s="2"/>
      <c r="J79" s="2"/>
      <c r="K79" s="4"/>
      <c r="L79" s="4"/>
      <c r="M79" s="5" t="str">
        <f t="shared" si="2"/>
        <v/>
      </c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 t="s">
        <v>124</v>
      </c>
      <c r="G80" s="3"/>
      <c r="H80" s="3"/>
      <c r="I80" s="2"/>
      <c r="J80" s="2"/>
      <c r="K80" s="4"/>
      <c r="L80" s="4"/>
      <c r="M80" s="5" t="str">
        <f t="shared" si="2"/>
        <v/>
      </c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 t="s">
        <v>124</v>
      </c>
      <c r="G81" s="3"/>
      <c r="H81" s="3"/>
      <c r="I81" s="2"/>
      <c r="J81" s="2"/>
      <c r="K81" s="4"/>
      <c r="L81" s="4"/>
      <c r="M81" s="5" t="str">
        <f t="shared" si="2"/>
        <v/>
      </c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 t="s">
        <v>124</v>
      </c>
      <c r="G82" s="3"/>
      <c r="H82" s="3"/>
      <c r="I82" s="2"/>
      <c r="J82" s="2"/>
      <c r="K82" s="4"/>
      <c r="L82" s="4"/>
      <c r="M82" s="5" t="str">
        <f t="shared" si="2"/>
        <v/>
      </c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 t="s">
        <v>124</v>
      </c>
      <c r="G83" s="3"/>
      <c r="H83" s="3"/>
      <c r="I83" s="2"/>
      <c r="J83" s="2"/>
      <c r="K83" s="4"/>
      <c r="L83" s="4"/>
      <c r="M83" s="5" t="str">
        <f t="shared" si="2"/>
        <v/>
      </c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 t="s">
        <v>124</v>
      </c>
      <c r="G84" s="3"/>
      <c r="H84" s="3"/>
      <c r="I84" s="2"/>
      <c r="J84" s="2"/>
      <c r="K84" s="4"/>
      <c r="L84" s="4"/>
      <c r="M84" s="5" t="str">
        <f t="shared" si="2"/>
        <v/>
      </c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 t="s">
        <v>124</v>
      </c>
      <c r="G85" s="3"/>
      <c r="H85" s="3"/>
      <c r="I85" s="2"/>
      <c r="J85" s="2"/>
      <c r="K85" s="4"/>
      <c r="L85" s="4"/>
      <c r="M85" s="5" t="str">
        <f t="shared" si="2"/>
        <v/>
      </c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 t="s">
        <v>124</v>
      </c>
      <c r="G86" s="3"/>
      <c r="H86" s="3"/>
      <c r="I86" s="2"/>
      <c r="J86" s="2"/>
      <c r="K86" s="4"/>
      <c r="L86" s="4"/>
      <c r="M86" s="5" t="str">
        <f t="shared" si="2"/>
        <v/>
      </c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 t="s">
        <v>124</v>
      </c>
      <c r="G87" s="3"/>
      <c r="H87" s="3"/>
      <c r="I87" s="2"/>
      <c r="J87" s="2"/>
      <c r="K87" s="4"/>
      <c r="L87" s="4"/>
      <c r="M87" s="5" t="str">
        <f t="shared" si="2"/>
        <v/>
      </c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 t="s">
        <v>124</v>
      </c>
      <c r="G88" s="3"/>
      <c r="H88" s="3"/>
      <c r="I88" s="2"/>
      <c r="J88" s="2"/>
      <c r="K88" s="4"/>
      <c r="L88" s="4"/>
      <c r="M88" s="5" t="str">
        <f t="shared" si="2"/>
        <v/>
      </c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 t="s">
        <v>124</v>
      </c>
      <c r="G89" s="3"/>
      <c r="H89" s="3"/>
      <c r="I89" s="2"/>
      <c r="J89" s="2"/>
      <c r="K89" s="4"/>
      <c r="L89" s="4"/>
      <c r="M89" s="5" t="str">
        <f t="shared" si="2"/>
        <v/>
      </c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 t="s">
        <v>124</v>
      </c>
      <c r="G90" s="3"/>
      <c r="H90" s="3"/>
      <c r="I90" s="2"/>
      <c r="J90" s="2"/>
      <c r="K90" s="4"/>
      <c r="L90" s="4"/>
      <c r="M90" s="5" t="str">
        <f t="shared" si="2"/>
        <v/>
      </c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 t="s">
        <v>124</v>
      </c>
      <c r="G91" s="3"/>
      <c r="H91" s="3"/>
      <c r="I91" s="2"/>
      <c r="J91" s="2"/>
      <c r="K91" s="4"/>
      <c r="L91" s="4"/>
      <c r="M91" s="5" t="str">
        <f t="shared" si="2"/>
        <v/>
      </c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 t="s">
        <v>124</v>
      </c>
      <c r="G92" s="3"/>
      <c r="H92" s="3"/>
      <c r="I92" s="2"/>
      <c r="J92" s="2"/>
      <c r="K92" s="4"/>
      <c r="L92" s="4"/>
      <c r="M92" s="5" t="str">
        <f t="shared" si="2"/>
        <v/>
      </c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 t="s">
        <v>124</v>
      </c>
      <c r="G93" s="3"/>
      <c r="H93" s="3"/>
      <c r="I93" s="2"/>
      <c r="J93" s="2"/>
      <c r="K93" s="4"/>
      <c r="L93" s="4"/>
      <c r="M93" s="5" t="str">
        <f t="shared" si="2"/>
        <v/>
      </c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 t="s">
        <v>124</v>
      </c>
      <c r="G94" s="3"/>
      <c r="H94" s="3"/>
      <c r="I94" s="2"/>
      <c r="J94" s="2"/>
      <c r="K94" s="4"/>
      <c r="L94" s="4"/>
      <c r="M94" s="5" t="str">
        <f t="shared" si="2"/>
        <v/>
      </c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 t="s">
        <v>124</v>
      </c>
      <c r="G95" s="3"/>
      <c r="H95" s="3"/>
      <c r="I95" s="2"/>
      <c r="J95" s="2"/>
      <c r="K95" s="4"/>
      <c r="L95" s="4"/>
      <c r="M95" s="5" t="str">
        <f t="shared" si="2"/>
        <v/>
      </c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 t="s">
        <v>124</v>
      </c>
      <c r="G96" s="3"/>
      <c r="H96" s="3"/>
      <c r="I96" s="2"/>
      <c r="J96" s="2"/>
      <c r="K96" s="4"/>
      <c r="L96" s="4"/>
      <c r="M96" s="5" t="str">
        <f t="shared" si="2"/>
        <v/>
      </c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 t="s">
        <v>124</v>
      </c>
      <c r="G97" s="3"/>
      <c r="H97" s="3"/>
      <c r="I97" s="2"/>
      <c r="J97" s="2"/>
      <c r="K97" s="4"/>
      <c r="L97" s="4"/>
      <c r="M97" s="5" t="str">
        <f t="shared" si="2"/>
        <v/>
      </c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 t="s">
        <v>124</v>
      </c>
      <c r="G98" s="3"/>
      <c r="H98" s="3"/>
      <c r="I98" s="2"/>
      <c r="J98" s="2"/>
      <c r="K98" s="4"/>
      <c r="L98" s="4"/>
      <c r="M98" s="5" t="str">
        <f t="shared" si="2"/>
        <v/>
      </c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 t="s">
        <v>124</v>
      </c>
      <c r="G99" s="3"/>
      <c r="H99" s="3"/>
      <c r="I99" s="2"/>
      <c r="J99" s="2"/>
      <c r="K99" s="4"/>
      <c r="L99" s="4"/>
      <c r="M99" s="5" t="str">
        <f t="shared" ref="M99:M130" si="3">IF(OR(K99="",L99=""),"",IFERROR(L99/K99,0))</f>
        <v/>
      </c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 t="s">
        <v>124</v>
      </c>
      <c r="G100" s="3"/>
      <c r="H100" s="3"/>
      <c r="I100" s="2"/>
      <c r="J100" s="2"/>
      <c r="K100" s="4"/>
      <c r="L100" s="4"/>
      <c r="M100" s="5" t="str">
        <f t="shared" si="3"/>
        <v/>
      </c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 t="s">
        <v>124</v>
      </c>
      <c r="G101" s="3"/>
      <c r="H101" s="3"/>
      <c r="I101" s="2"/>
      <c r="J101" s="2"/>
      <c r="K101" s="4"/>
      <c r="L101" s="4"/>
      <c r="M101" s="5" t="str">
        <f t="shared" si="3"/>
        <v/>
      </c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 t="s">
        <v>124</v>
      </c>
      <c r="G102" s="3"/>
      <c r="H102" s="3"/>
      <c r="I102" s="2"/>
      <c r="J102" s="2"/>
      <c r="K102" s="4"/>
      <c r="L102" s="4"/>
      <c r="M102" s="5" t="str">
        <f t="shared" si="3"/>
        <v/>
      </c>
      <c r="N102" s="2"/>
      <c r="O102" s="2"/>
      <c r="P102" s="2"/>
      <c r="Q102" s="2"/>
    </row>
    <row r="105" spans="1:17" x14ac:dyDescent="0.25">
      <c r="A105" s="20" t="s">
        <v>61</v>
      </c>
      <c r="B105" s="21"/>
      <c r="C105" s="21"/>
      <c r="D105" s="21"/>
      <c r="E105" s="21"/>
      <c r="F105" s="21"/>
      <c r="G105" s="21"/>
    </row>
    <row r="106" spans="1:17" ht="30" x14ac:dyDescent="0.25">
      <c r="A106" s="1" t="s">
        <v>3</v>
      </c>
      <c r="B106" s="1" t="s">
        <v>1</v>
      </c>
      <c r="C106" s="1" t="s">
        <v>62</v>
      </c>
      <c r="D106" s="1" t="s">
        <v>63</v>
      </c>
      <c r="E106" s="1" t="s">
        <v>64</v>
      </c>
      <c r="F106" s="1" t="s">
        <v>65</v>
      </c>
      <c r="G106" s="1" t="s">
        <v>66</v>
      </c>
    </row>
    <row r="107" spans="1:17" x14ac:dyDescent="0.25">
      <c r="A107" s="2" t="s">
        <v>125</v>
      </c>
      <c r="B107" s="2" t="s">
        <v>18</v>
      </c>
      <c r="C107" s="2" t="s">
        <v>71</v>
      </c>
      <c r="D107" s="2" t="s">
        <v>135</v>
      </c>
      <c r="E107" s="3">
        <v>46036</v>
      </c>
      <c r="F107" s="2" t="s">
        <v>73</v>
      </c>
      <c r="G107" s="2" t="s">
        <v>136</v>
      </c>
    </row>
    <row r="108" spans="1:17" x14ac:dyDescent="0.25">
      <c r="A108" s="2" t="s">
        <v>131</v>
      </c>
      <c r="B108" s="2" t="s">
        <v>45</v>
      </c>
      <c r="C108" s="2" t="s">
        <v>118</v>
      </c>
      <c r="D108" s="2" t="s">
        <v>137</v>
      </c>
      <c r="E108" s="3"/>
      <c r="F108" s="2" t="s">
        <v>138</v>
      </c>
      <c r="G108" s="2" t="s">
        <v>139</v>
      </c>
    </row>
    <row r="109" spans="1:17" x14ac:dyDescent="0.25">
      <c r="A109" s="2"/>
      <c r="B109" s="2"/>
      <c r="C109" s="2"/>
      <c r="D109" s="2"/>
      <c r="E109" s="3"/>
      <c r="F109" s="2"/>
      <c r="G109" s="2"/>
    </row>
    <row r="110" spans="1:17" x14ac:dyDescent="0.25">
      <c r="A110" s="2"/>
      <c r="B110" s="2"/>
      <c r="C110" s="2"/>
      <c r="D110" s="2"/>
      <c r="E110" s="3"/>
      <c r="F110" s="2"/>
      <c r="G110" s="2"/>
    </row>
    <row r="111" spans="1:17" x14ac:dyDescent="0.25">
      <c r="A111" s="2"/>
      <c r="B111" s="2"/>
      <c r="C111" s="2"/>
      <c r="D111" s="2"/>
      <c r="E111" s="3"/>
      <c r="F111" s="2"/>
      <c r="G111" s="2"/>
    </row>
    <row r="112" spans="1:17" x14ac:dyDescent="0.25">
      <c r="A112" s="2"/>
      <c r="B112" s="2"/>
      <c r="C112" s="2"/>
      <c r="D112" s="2"/>
      <c r="E112" s="3"/>
      <c r="F112" s="2"/>
      <c r="G112" s="2"/>
    </row>
    <row r="113" spans="1:7" x14ac:dyDescent="0.25">
      <c r="A113" s="2"/>
      <c r="B113" s="2"/>
      <c r="C113" s="2"/>
      <c r="D113" s="2"/>
      <c r="E113" s="3"/>
      <c r="F113" s="2"/>
      <c r="G113" s="2"/>
    </row>
    <row r="114" spans="1:7" x14ac:dyDescent="0.25">
      <c r="A114" s="2"/>
      <c r="B114" s="2"/>
      <c r="C114" s="2"/>
      <c r="D114" s="2"/>
      <c r="E114" s="3"/>
      <c r="F114" s="2"/>
      <c r="G114" s="2"/>
    </row>
    <row r="115" spans="1:7" x14ac:dyDescent="0.25">
      <c r="A115" s="2"/>
      <c r="B115" s="2"/>
      <c r="C115" s="2"/>
      <c r="D115" s="2"/>
      <c r="E115" s="3"/>
      <c r="F115" s="2"/>
      <c r="G115" s="2"/>
    </row>
    <row r="116" spans="1:7" x14ac:dyDescent="0.25">
      <c r="A116" s="2"/>
      <c r="B116" s="2"/>
      <c r="C116" s="2"/>
      <c r="D116" s="2"/>
      <c r="E116" s="3"/>
      <c r="F116" s="2"/>
      <c r="G116" s="2"/>
    </row>
    <row r="117" spans="1:7" x14ac:dyDescent="0.25">
      <c r="A117" s="2"/>
      <c r="B117" s="2"/>
      <c r="C117" s="2"/>
      <c r="D117" s="2"/>
      <c r="E117" s="3"/>
      <c r="F117" s="2"/>
      <c r="G117" s="2"/>
    </row>
    <row r="118" spans="1:7" x14ac:dyDescent="0.25">
      <c r="A118" s="2"/>
      <c r="B118" s="2"/>
      <c r="C118" s="2"/>
      <c r="D118" s="2"/>
      <c r="E118" s="3"/>
      <c r="F118" s="2"/>
      <c r="G118" s="2"/>
    </row>
    <row r="119" spans="1:7" x14ac:dyDescent="0.25">
      <c r="A119" s="2"/>
      <c r="B119" s="2"/>
      <c r="C119" s="2"/>
      <c r="D119" s="2"/>
      <c r="E119" s="3"/>
      <c r="F119" s="2"/>
      <c r="G119" s="2"/>
    </row>
    <row r="120" spans="1:7" x14ac:dyDescent="0.25">
      <c r="A120" s="2"/>
      <c r="B120" s="2"/>
      <c r="C120" s="2"/>
      <c r="D120" s="2"/>
      <c r="E120" s="3"/>
      <c r="F120" s="2"/>
      <c r="G120" s="2"/>
    </row>
    <row r="121" spans="1:7" x14ac:dyDescent="0.25">
      <c r="A121" s="2"/>
      <c r="B121" s="2"/>
      <c r="C121" s="2"/>
      <c r="D121" s="2"/>
      <c r="E121" s="3"/>
      <c r="F121" s="2"/>
      <c r="G121" s="2"/>
    </row>
    <row r="122" spans="1:7" x14ac:dyDescent="0.25">
      <c r="A122" s="2"/>
      <c r="B122" s="2"/>
      <c r="C122" s="2"/>
      <c r="D122" s="2"/>
      <c r="E122" s="3"/>
      <c r="F122" s="2"/>
      <c r="G122" s="2"/>
    </row>
    <row r="123" spans="1:7" x14ac:dyDescent="0.25">
      <c r="A123" s="2"/>
      <c r="B123" s="2"/>
      <c r="C123" s="2"/>
      <c r="D123" s="2"/>
      <c r="E123" s="3"/>
      <c r="F123" s="2"/>
      <c r="G123" s="2"/>
    </row>
    <row r="124" spans="1:7" x14ac:dyDescent="0.25">
      <c r="A124" s="2"/>
      <c r="B124" s="2"/>
      <c r="C124" s="2"/>
      <c r="D124" s="2"/>
      <c r="E124" s="3"/>
      <c r="F124" s="2"/>
      <c r="G124" s="2"/>
    </row>
    <row r="125" spans="1:7" x14ac:dyDescent="0.25">
      <c r="A125" s="2"/>
      <c r="B125" s="2"/>
      <c r="C125" s="2"/>
      <c r="D125" s="2"/>
      <c r="E125" s="3"/>
      <c r="F125" s="2"/>
      <c r="G125" s="2"/>
    </row>
    <row r="126" spans="1:7" x14ac:dyDescent="0.25">
      <c r="A126" s="2"/>
      <c r="B126" s="2"/>
      <c r="C126" s="2"/>
      <c r="D126" s="2"/>
      <c r="E126" s="3"/>
      <c r="F126" s="2"/>
      <c r="G126" s="2"/>
    </row>
    <row r="127" spans="1:7" x14ac:dyDescent="0.25">
      <c r="A127" s="2"/>
      <c r="B127" s="2"/>
      <c r="C127" s="2"/>
      <c r="D127" s="2"/>
      <c r="E127" s="3"/>
      <c r="F127" s="2"/>
      <c r="G127" s="2"/>
    </row>
    <row r="128" spans="1:7" x14ac:dyDescent="0.25">
      <c r="A128" s="2"/>
      <c r="B128" s="2"/>
      <c r="C128" s="2"/>
      <c r="D128" s="2"/>
      <c r="E128" s="3"/>
      <c r="F128" s="2"/>
      <c r="G128" s="2"/>
    </row>
    <row r="129" spans="1:7" x14ac:dyDescent="0.25">
      <c r="A129" s="2"/>
      <c r="B129" s="2"/>
      <c r="C129" s="2"/>
      <c r="D129" s="2"/>
      <c r="E129" s="3"/>
      <c r="F129" s="2"/>
      <c r="G129" s="2"/>
    </row>
    <row r="130" spans="1:7" x14ac:dyDescent="0.25">
      <c r="A130" s="2"/>
      <c r="B130" s="2"/>
      <c r="C130" s="2"/>
      <c r="D130" s="2"/>
      <c r="E130" s="3"/>
      <c r="F130" s="2"/>
      <c r="G130" s="2"/>
    </row>
    <row r="131" spans="1:7" x14ac:dyDescent="0.25">
      <c r="A131" s="2"/>
      <c r="B131" s="2"/>
      <c r="C131" s="2"/>
      <c r="D131" s="2"/>
      <c r="E131" s="3"/>
      <c r="F131" s="2"/>
      <c r="G131" s="2"/>
    </row>
    <row r="132" spans="1:7" x14ac:dyDescent="0.25">
      <c r="A132" s="2"/>
      <c r="B132" s="2"/>
      <c r="C132" s="2"/>
      <c r="D132" s="2"/>
      <c r="E132" s="3"/>
      <c r="F132" s="2"/>
      <c r="G132" s="2"/>
    </row>
    <row r="133" spans="1:7" x14ac:dyDescent="0.25">
      <c r="A133" s="2"/>
      <c r="B133" s="2"/>
      <c r="C133" s="2"/>
      <c r="D133" s="2"/>
      <c r="E133" s="3"/>
      <c r="F133" s="2"/>
      <c r="G133" s="2"/>
    </row>
    <row r="134" spans="1:7" x14ac:dyDescent="0.25">
      <c r="A134" s="2"/>
      <c r="B134" s="2"/>
      <c r="C134" s="2"/>
      <c r="D134" s="2"/>
      <c r="E134" s="3"/>
      <c r="F134" s="2"/>
      <c r="G134" s="2"/>
    </row>
    <row r="135" spans="1:7" x14ac:dyDescent="0.25">
      <c r="A135" s="2"/>
      <c r="B135" s="2"/>
      <c r="C135" s="2"/>
      <c r="D135" s="2"/>
      <c r="E135" s="3"/>
      <c r="F135" s="2"/>
      <c r="G135" s="2"/>
    </row>
    <row r="136" spans="1:7" x14ac:dyDescent="0.25">
      <c r="A136" s="2"/>
      <c r="B136" s="2"/>
      <c r="C136" s="2"/>
      <c r="D136" s="2"/>
      <c r="E136" s="3"/>
      <c r="F136" s="2"/>
      <c r="G136" s="2"/>
    </row>
    <row r="137" spans="1:7" x14ac:dyDescent="0.25">
      <c r="A137" s="2"/>
      <c r="B137" s="2"/>
      <c r="C137" s="2"/>
      <c r="D137" s="2"/>
      <c r="E137" s="3"/>
      <c r="F137" s="2"/>
      <c r="G137" s="2"/>
    </row>
    <row r="138" spans="1:7" x14ac:dyDescent="0.25">
      <c r="A138" s="2"/>
      <c r="B138" s="2"/>
      <c r="C138" s="2"/>
      <c r="D138" s="2"/>
      <c r="E138" s="3"/>
      <c r="F138" s="2"/>
      <c r="G138" s="2"/>
    </row>
    <row r="139" spans="1:7" x14ac:dyDescent="0.25">
      <c r="A139" s="2"/>
      <c r="B139" s="2"/>
      <c r="C139" s="2"/>
      <c r="D139" s="2"/>
      <c r="E139" s="3"/>
      <c r="F139" s="2"/>
      <c r="G139" s="2"/>
    </row>
    <row r="140" spans="1:7" x14ac:dyDescent="0.25">
      <c r="A140" s="2"/>
      <c r="B140" s="2"/>
      <c r="C140" s="2"/>
      <c r="D140" s="2"/>
      <c r="E140" s="3"/>
      <c r="F140" s="2"/>
      <c r="G140" s="2"/>
    </row>
    <row r="141" spans="1:7" x14ac:dyDescent="0.25">
      <c r="A141" s="2"/>
      <c r="B141" s="2"/>
      <c r="C141" s="2"/>
      <c r="D141" s="2"/>
      <c r="E141" s="3"/>
      <c r="F141" s="2"/>
      <c r="G141" s="2"/>
    </row>
    <row r="142" spans="1:7" x14ac:dyDescent="0.25">
      <c r="A142" s="2"/>
      <c r="B142" s="2"/>
      <c r="C142" s="2"/>
      <c r="D142" s="2"/>
      <c r="E142" s="3"/>
      <c r="F142" s="2"/>
      <c r="G142" s="2"/>
    </row>
    <row r="143" spans="1:7" x14ac:dyDescent="0.25">
      <c r="A143" s="2"/>
      <c r="B143" s="2"/>
      <c r="C143" s="2"/>
      <c r="D143" s="2"/>
      <c r="E143" s="3"/>
      <c r="F143" s="2"/>
      <c r="G143" s="2"/>
    </row>
    <row r="144" spans="1:7" x14ac:dyDescent="0.25">
      <c r="A144" s="2"/>
      <c r="B144" s="2"/>
      <c r="C144" s="2"/>
      <c r="D144" s="2"/>
      <c r="E144" s="3"/>
      <c r="F144" s="2"/>
      <c r="G144" s="2"/>
    </row>
    <row r="145" spans="1:7" x14ac:dyDescent="0.25">
      <c r="A145" s="2"/>
      <c r="B145" s="2"/>
      <c r="C145" s="2"/>
      <c r="D145" s="2"/>
      <c r="E145" s="3"/>
      <c r="F145" s="2"/>
      <c r="G145" s="2"/>
    </row>
    <row r="146" spans="1:7" x14ac:dyDescent="0.25">
      <c r="A146" s="2"/>
      <c r="B146" s="2"/>
      <c r="C146" s="2"/>
      <c r="D146" s="2"/>
      <c r="E146" s="3"/>
      <c r="F146" s="2"/>
      <c r="G146" s="2"/>
    </row>
    <row r="147" spans="1:7" x14ac:dyDescent="0.25">
      <c r="A147" s="2"/>
      <c r="B147" s="2"/>
      <c r="C147" s="2"/>
      <c r="D147" s="2"/>
      <c r="E147" s="3"/>
      <c r="F147" s="2"/>
      <c r="G147" s="2"/>
    </row>
    <row r="148" spans="1:7" x14ac:dyDescent="0.25">
      <c r="A148" s="2"/>
      <c r="B148" s="2"/>
      <c r="C148" s="2"/>
      <c r="D148" s="2"/>
      <c r="E148" s="3"/>
      <c r="F148" s="2"/>
      <c r="G148" s="2"/>
    </row>
    <row r="149" spans="1:7" x14ac:dyDescent="0.25">
      <c r="A149" s="2"/>
      <c r="B149" s="2"/>
      <c r="C149" s="2"/>
      <c r="D149" s="2"/>
      <c r="E149" s="3"/>
      <c r="F149" s="2"/>
      <c r="G149" s="2"/>
    </row>
    <row r="150" spans="1:7" x14ac:dyDescent="0.25">
      <c r="A150" s="2"/>
      <c r="B150" s="2"/>
      <c r="C150" s="2"/>
      <c r="D150" s="2"/>
      <c r="E150" s="3"/>
      <c r="F150" s="2"/>
      <c r="G150" s="2"/>
    </row>
    <row r="151" spans="1:7" x14ac:dyDescent="0.25">
      <c r="A151" s="2"/>
      <c r="B151" s="2"/>
      <c r="C151" s="2"/>
      <c r="D151" s="2"/>
      <c r="E151" s="3"/>
      <c r="F151" s="2"/>
      <c r="G151" s="2"/>
    </row>
    <row r="152" spans="1:7" x14ac:dyDescent="0.25">
      <c r="A152" s="2"/>
      <c r="B152" s="2"/>
      <c r="C152" s="2"/>
      <c r="D152" s="2"/>
      <c r="E152" s="3"/>
      <c r="F152" s="2"/>
      <c r="G152" s="2"/>
    </row>
    <row r="153" spans="1:7" x14ac:dyDescent="0.25">
      <c r="A153" s="2"/>
      <c r="B153" s="2"/>
      <c r="C153" s="2"/>
      <c r="D153" s="2"/>
      <c r="E153" s="3"/>
      <c r="F153" s="2"/>
      <c r="G153" s="2"/>
    </row>
    <row r="154" spans="1:7" x14ac:dyDescent="0.25">
      <c r="A154" s="2"/>
      <c r="B154" s="2"/>
      <c r="C154" s="2"/>
      <c r="D154" s="2"/>
      <c r="E154" s="3"/>
      <c r="F154" s="2"/>
      <c r="G154" s="2"/>
    </row>
    <row r="155" spans="1:7" x14ac:dyDescent="0.25">
      <c r="A155" s="2"/>
      <c r="B155" s="2"/>
      <c r="C155" s="2"/>
      <c r="D155" s="2"/>
      <c r="E155" s="3"/>
      <c r="F155" s="2"/>
      <c r="G155" s="2"/>
    </row>
    <row r="156" spans="1:7" x14ac:dyDescent="0.25">
      <c r="A156" s="2"/>
      <c r="B156" s="2"/>
      <c r="C156" s="2"/>
      <c r="D156" s="2"/>
      <c r="E156" s="3"/>
      <c r="F156" s="2"/>
      <c r="G156" s="2"/>
    </row>
    <row r="157" spans="1:7" x14ac:dyDescent="0.25">
      <c r="A157" s="2"/>
      <c r="B157" s="2"/>
      <c r="C157" s="2"/>
      <c r="D157" s="2"/>
      <c r="E157" s="3"/>
      <c r="F157" s="2"/>
      <c r="G157" s="2"/>
    </row>
    <row r="158" spans="1:7" x14ac:dyDescent="0.25">
      <c r="A158" s="2"/>
      <c r="B158" s="2"/>
      <c r="C158" s="2"/>
      <c r="D158" s="2"/>
      <c r="E158" s="3"/>
      <c r="F158" s="2"/>
      <c r="G158" s="2"/>
    </row>
    <row r="159" spans="1:7" x14ac:dyDescent="0.25">
      <c r="A159" s="2"/>
      <c r="B159" s="2"/>
      <c r="C159" s="2"/>
      <c r="D159" s="2"/>
      <c r="E159" s="3"/>
      <c r="F159" s="2"/>
      <c r="G159" s="2"/>
    </row>
    <row r="160" spans="1:7" x14ac:dyDescent="0.25">
      <c r="A160" s="2"/>
      <c r="B160" s="2"/>
      <c r="C160" s="2"/>
      <c r="D160" s="2"/>
      <c r="E160" s="3"/>
      <c r="F160" s="2"/>
      <c r="G160" s="2"/>
    </row>
    <row r="161" spans="1:7" x14ac:dyDescent="0.25">
      <c r="A161" s="2"/>
      <c r="B161" s="2"/>
      <c r="C161" s="2"/>
      <c r="D161" s="2"/>
      <c r="E161" s="3"/>
      <c r="F161" s="2"/>
      <c r="G161" s="2"/>
    </row>
    <row r="162" spans="1:7" x14ac:dyDescent="0.25">
      <c r="A162" s="2"/>
      <c r="B162" s="2"/>
      <c r="C162" s="2"/>
      <c r="D162" s="2"/>
      <c r="E162" s="3"/>
      <c r="F162" s="2"/>
      <c r="G162" s="2"/>
    </row>
    <row r="163" spans="1:7" x14ac:dyDescent="0.25">
      <c r="A163" s="2"/>
      <c r="B163" s="2"/>
      <c r="C163" s="2"/>
      <c r="D163" s="2"/>
      <c r="E163" s="3"/>
      <c r="F163" s="2"/>
      <c r="G163" s="2"/>
    </row>
    <row r="164" spans="1:7" x14ac:dyDescent="0.25">
      <c r="A164" s="2"/>
      <c r="B164" s="2"/>
      <c r="C164" s="2"/>
      <c r="D164" s="2"/>
      <c r="E164" s="3"/>
      <c r="F164" s="2"/>
      <c r="G164" s="2"/>
    </row>
    <row r="165" spans="1:7" x14ac:dyDescent="0.25">
      <c r="A165" s="2"/>
      <c r="B165" s="2"/>
      <c r="C165" s="2"/>
      <c r="D165" s="2"/>
      <c r="E165" s="3"/>
      <c r="F165" s="2"/>
      <c r="G165" s="2"/>
    </row>
    <row r="166" spans="1:7" x14ac:dyDescent="0.25">
      <c r="A166" s="2"/>
      <c r="B166" s="2"/>
      <c r="C166" s="2"/>
      <c r="D166" s="2"/>
      <c r="E166" s="3"/>
      <c r="F166" s="2"/>
      <c r="G166" s="2"/>
    </row>
  </sheetData>
  <mergeCells count="2">
    <mergeCell ref="A105:G105"/>
    <mergeCell ref="A1:Q1"/>
  </mergeCells>
  <conditionalFormatting sqref="A3:Q102">
    <cfRule type="expression" dxfId="39" priority="8">
      <formula>$O3="Yes"</formula>
    </cfRule>
  </conditionalFormatting>
  <conditionalFormatting sqref="M3:M102">
    <cfRule type="expression" dxfId="38" priority="1">
      <formula>AND(M3&gt;=1,M3&lt;&gt;"")</formula>
    </cfRule>
    <cfRule type="expression" dxfId="37" priority="2">
      <formula>AND(M3&gt;=0.8,M3&lt;1)</formula>
    </cfRule>
    <cfRule type="expression" dxfId="36" priority="3">
      <formula>AND(M3&lt;0.8,M3&lt;&gt;"")</formula>
    </cfRule>
  </conditionalFormatting>
  <conditionalFormatting sqref="P3:P102">
    <cfRule type="expression" dxfId="35" priority="4">
      <formula>$P3="Completed"</formula>
    </cfRule>
    <cfRule type="expression" dxfId="34" priority="5">
      <formula>$P3="In progress"</formula>
    </cfRule>
    <cfRule type="expression" dxfId="33" priority="6">
      <formula>OR($P3="Delayed",$P3="Cancelled")</formula>
    </cfRule>
    <cfRule type="expression" dxfId="32" priority="7">
      <formula>$P3="Not started"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300-000000000000}">
          <x14:formula1>
            <xm:f>Lists!$F$1:$F$5</xm:f>
          </x14:formula1>
          <xm:sqref>P3:P102</xm:sqref>
        </x14:dataValidation>
        <x14:dataValidation type="list" allowBlank="1" xr:uid="{00000000-0002-0000-0300-000001000000}">
          <x14:formula1>
            <xm:f>Lists!$G$1:$G$2</xm:f>
          </x14:formula1>
          <xm:sqref>O3:O102</xm:sqref>
        </x14:dataValidation>
        <x14:dataValidation type="list" allowBlank="1" xr:uid="{00000000-0002-0000-0300-000002000000}">
          <x14:formula1>
            <xm:f>Lists!$D$2:$D$4</xm:f>
          </x14:formula1>
          <xm:sqref>I3:I102</xm:sqref>
        </x14:dataValidation>
        <x14:dataValidation type="list" allowBlank="1" xr:uid="{00000000-0002-0000-0300-000003000000}">
          <x14:formula1>
            <xm:f>Lists!$E$2:$E$13</xm:f>
          </x14:formula1>
          <xm:sqref>J3:J102</xm:sqref>
        </x14:dataValidation>
        <x14:dataValidation type="list" allowBlank="1" xr:uid="{00000000-0002-0000-0300-000004000000}">
          <x14:formula1>
            <xm:f>Lists!$B$2:$B$5</xm:f>
          </x14:formula1>
          <xm:sqref>E3:E102</xm:sqref>
        </x14:dataValidation>
        <x14:dataValidation type="list" allowBlank="1" xr:uid="{00000000-0002-0000-0300-000005000000}">
          <x14:formula1>
            <xm:f>Lists!$C$2:$C$5</xm:f>
          </x14:formula1>
          <xm:sqref>A3:A102</xm:sqref>
        </x14:dataValidation>
        <x14:dataValidation type="list" allowBlank="1" xr:uid="{00000000-0002-0000-0300-000006000000}">
          <x14:formula1>
            <xm:f>Lists!$H$1:$H$4</xm:f>
          </x14:formula1>
          <xm:sqref>C107:C166</xm:sqref>
        </x14:dataValidation>
        <x14:dataValidation type="list" allowBlank="1" xr:uid="{00000000-0002-0000-0300-000007000000}">
          <x14:formula1>
            <xm:f>Lists!$I$1:$I$3</xm:f>
          </x14:formula1>
          <xm:sqref>F107:F166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6"/>
  <sheetViews>
    <sheetView workbookViewId="0">
      <selection sqref="A1:Q1"/>
    </sheetView>
  </sheetViews>
  <sheetFormatPr defaultRowHeight="15" x14ac:dyDescent="0.25"/>
  <cols>
    <col min="1" max="1" width="18" customWidth="1"/>
    <col min="2" max="2" width="32" customWidth="1"/>
    <col min="3" max="3" width="20" customWidth="1"/>
    <col min="4" max="4" width="28" customWidth="1"/>
    <col min="5" max="5" width="18" customWidth="1"/>
    <col min="6" max="6" width="22" customWidth="1"/>
    <col min="7" max="7" width="26" customWidth="1"/>
    <col min="8" max="9" width="12" customWidth="1"/>
    <col min="10" max="10" width="14" customWidth="1"/>
    <col min="11" max="12" width="16" customWidth="1"/>
    <col min="13" max="13" width="12" customWidth="1"/>
    <col min="14" max="14" width="28" customWidth="1"/>
    <col min="15" max="15" width="18" customWidth="1"/>
    <col min="16" max="16" width="16" customWidth="1"/>
    <col min="17" max="17" width="34" customWidth="1"/>
  </cols>
  <sheetData>
    <row r="1" spans="1:17" x14ac:dyDescent="0.25">
      <c r="A1" s="20" t="s">
        <v>140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18</v>
      </c>
      <c r="B3" s="2" t="s">
        <v>19</v>
      </c>
      <c r="C3" s="2" t="s">
        <v>141</v>
      </c>
      <c r="D3" s="2" t="s">
        <v>21</v>
      </c>
      <c r="E3" s="2" t="s">
        <v>22</v>
      </c>
      <c r="F3" s="2" t="s">
        <v>142</v>
      </c>
      <c r="G3" s="3">
        <v>45292</v>
      </c>
      <c r="H3" s="3">
        <v>45382</v>
      </c>
      <c r="I3" s="2" t="s">
        <v>24</v>
      </c>
      <c r="J3" s="2" t="s">
        <v>25</v>
      </c>
      <c r="K3" s="4">
        <v>70</v>
      </c>
      <c r="L3" s="4">
        <v>71</v>
      </c>
      <c r="M3" s="5">
        <f t="shared" ref="M3:M34" si="0">IF(OR(K3="",L3=""),"",IFERROR(L3/K3,0))</f>
        <v>1.0142857142857142</v>
      </c>
      <c r="N3" s="2" t="s">
        <v>26</v>
      </c>
      <c r="O3" s="2" t="s">
        <v>37</v>
      </c>
      <c r="P3" s="2" t="s">
        <v>28</v>
      </c>
      <c r="Q3" s="2" t="s">
        <v>29</v>
      </c>
    </row>
    <row r="4" spans="1:17" x14ac:dyDescent="0.25">
      <c r="A4" s="2" t="s">
        <v>30</v>
      </c>
      <c r="B4" s="2" t="s">
        <v>31</v>
      </c>
      <c r="C4" s="2" t="s">
        <v>143</v>
      </c>
      <c r="D4" s="2" t="s">
        <v>33</v>
      </c>
      <c r="E4" s="2" t="s">
        <v>34</v>
      </c>
      <c r="F4" s="2" t="s">
        <v>142</v>
      </c>
      <c r="G4" s="3">
        <v>45383</v>
      </c>
      <c r="H4" s="3">
        <v>45473</v>
      </c>
      <c r="I4" s="2" t="s">
        <v>24</v>
      </c>
      <c r="J4" s="2" t="s">
        <v>35</v>
      </c>
      <c r="K4" s="4">
        <v>75</v>
      </c>
      <c r="L4" s="4">
        <v>72</v>
      </c>
      <c r="M4" s="5">
        <f t="shared" si="0"/>
        <v>0.96</v>
      </c>
      <c r="N4" s="2" t="s">
        <v>36</v>
      </c>
      <c r="O4" s="2" t="s">
        <v>27</v>
      </c>
      <c r="P4" s="2" t="s">
        <v>52</v>
      </c>
      <c r="Q4" s="2" t="s">
        <v>53</v>
      </c>
    </row>
    <row r="5" spans="1:17" x14ac:dyDescent="0.25">
      <c r="A5" s="2" t="s">
        <v>38</v>
      </c>
      <c r="B5" s="2" t="s">
        <v>39</v>
      </c>
      <c r="C5" s="2" t="s">
        <v>144</v>
      </c>
      <c r="D5" s="2" t="s">
        <v>41</v>
      </c>
      <c r="E5" s="2" t="s">
        <v>42</v>
      </c>
      <c r="F5" s="2" t="s">
        <v>142</v>
      </c>
      <c r="G5" s="3">
        <v>45474</v>
      </c>
      <c r="H5" s="3">
        <v>45565</v>
      </c>
      <c r="I5" s="2" t="s">
        <v>24</v>
      </c>
      <c r="J5" s="2" t="s">
        <v>43</v>
      </c>
      <c r="K5" s="4">
        <v>30</v>
      </c>
      <c r="L5" s="4">
        <v>23</v>
      </c>
      <c r="M5" s="5">
        <f t="shared" si="0"/>
        <v>0.76666666666666672</v>
      </c>
      <c r="N5" s="2" t="s">
        <v>44</v>
      </c>
      <c r="O5" s="2" t="s">
        <v>27</v>
      </c>
      <c r="P5" s="2" t="s">
        <v>52</v>
      </c>
      <c r="Q5" s="2" t="s">
        <v>53</v>
      </c>
    </row>
    <row r="6" spans="1:17" x14ac:dyDescent="0.25">
      <c r="A6" s="2" t="s">
        <v>45</v>
      </c>
      <c r="B6" s="2" t="s">
        <v>46</v>
      </c>
      <c r="C6" s="2" t="s">
        <v>145</v>
      </c>
      <c r="D6" s="2" t="s">
        <v>48</v>
      </c>
      <c r="E6" s="2" t="s">
        <v>49</v>
      </c>
      <c r="F6" s="2" t="s">
        <v>142</v>
      </c>
      <c r="G6" s="3">
        <v>45566</v>
      </c>
      <c r="H6" s="3">
        <v>45657</v>
      </c>
      <c r="I6" s="2" t="s">
        <v>24</v>
      </c>
      <c r="J6" s="2" t="s">
        <v>50</v>
      </c>
      <c r="K6" s="4">
        <v>35</v>
      </c>
      <c r="L6" s="4">
        <v>45</v>
      </c>
      <c r="M6" s="5">
        <f t="shared" si="0"/>
        <v>1.2857142857142858</v>
      </c>
      <c r="N6" s="2" t="s">
        <v>51</v>
      </c>
      <c r="O6" s="2" t="s">
        <v>37</v>
      </c>
      <c r="P6" s="2" t="s">
        <v>28</v>
      </c>
      <c r="Q6" s="2" t="s">
        <v>29</v>
      </c>
    </row>
    <row r="7" spans="1:17" x14ac:dyDescent="0.25">
      <c r="A7" s="2" t="s">
        <v>18</v>
      </c>
      <c r="B7" s="2" t="s">
        <v>19</v>
      </c>
      <c r="C7" s="2" t="s">
        <v>146</v>
      </c>
      <c r="D7" s="2" t="s">
        <v>55</v>
      </c>
      <c r="E7" s="2" t="s">
        <v>22</v>
      </c>
      <c r="F7" s="2" t="s">
        <v>142</v>
      </c>
      <c r="G7" s="3">
        <v>45658</v>
      </c>
      <c r="H7" s="3">
        <v>45747</v>
      </c>
      <c r="I7" s="2" t="s">
        <v>56</v>
      </c>
      <c r="J7" s="2" t="s">
        <v>57</v>
      </c>
      <c r="K7" s="4">
        <v>40</v>
      </c>
      <c r="L7" s="4">
        <v>46</v>
      </c>
      <c r="M7" s="5">
        <f t="shared" si="0"/>
        <v>1.1499999999999999</v>
      </c>
      <c r="N7" s="2" t="s">
        <v>26</v>
      </c>
      <c r="O7" s="2" t="s">
        <v>27</v>
      </c>
      <c r="P7" s="2" t="s">
        <v>28</v>
      </c>
      <c r="Q7" s="2" t="s">
        <v>29</v>
      </c>
    </row>
    <row r="8" spans="1:17" x14ac:dyDescent="0.25">
      <c r="A8" s="2" t="s">
        <v>30</v>
      </c>
      <c r="B8" s="2" t="s">
        <v>31</v>
      </c>
      <c r="C8" s="2" t="s">
        <v>147</v>
      </c>
      <c r="D8" s="2" t="s">
        <v>59</v>
      </c>
      <c r="E8" s="2" t="s">
        <v>34</v>
      </c>
      <c r="F8" s="2" t="s">
        <v>142</v>
      </c>
      <c r="G8" s="3">
        <v>45748</v>
      </c>
      <c r="H8" s="3">
        <v>45838</v>
      </c>
      <c r="I8" s="2" t="s">
        <v>56</v>
      </c>
      <c r="J8" s="2" t="s">
        <v>60</v>
      </c>
      <c r="K8" s="4">
        <v>45</v>
      </c>
      <c r="L8" s="4">
        <v>47</v>
      </c>
      <c r="M8" s="5">
        <f t="shared" si="0"/>
        <v>1.0444444444444445</v>
      </c>
      <c r="N8" s="2" t="s">
        <v>36</v>
      </c>
      <c r="O8" s="2" t="s">
        <v>27</v>
      </c>
      <c r="P8" s="2" t="s">
        <v>28</v>
      </c>
      <c r="Q8" s="2" t="s">
        <v>29</v>
      </c>
    </row>
    <row r="9" spans="1:17" x14ac:dyDescent="0.25">
      <c r="A9" s="2"/>
      <c r="B9" s="2"/>
      <c r="C9" s="2"/>
      <c r="D9" s="2"/>
      <c r="E9" s="2"/>
      <c r="F9" s="2" t="s">
        <v>142</v>
      </c>
      <c r="G9" s="3"/>
      <c r="H9" s="3"/>
      <c r="I9" s="2"/>
      <c r="J9" s="2"/>
      <c r="K9" s="4"/>
      <c r="L9" s="4"/>
      <c r="M9" s="5" t="str">
        <f t="shared" si="0"/>
        <v/>
      </c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 t="s">
        <v>142</v>
      </c>
      <c r="G10" s="3"/>
      <c r="H10" s="3"/>
      <c r="I10" s="2"/>
      <c r="J10" s="2"/>
      <c r="K10" s="4"/>
      <c r="L10" s="4"/>
      <c r="M10" s="5" t="str">
        <f t="shared" si="0"/>
        <v/>
      </c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 t="s">
        <v>142</v>
      </c>
      <c r="G11" s="3"/>
      <c r="H11" s="3"/>
      <c r="I11" s="2"/>
      <c r="J11" s="2"/>
      <c r="K11" s="4"/>
      <c r="L11" s="4"/>
      <c r="M11" s="5" t="str">
        <f t="shared" si="0"/>
        <v/>
      </c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 t="s">
        <v>142</v>
      </c>
      <c r="G12" s="3"/>
      <c r="H12" s="3"/>
      <c r="I12" s="2"/>
      <c r="J12" s="2"/>
      <c r="K12" s="4"/>
      <c r="L12" s="4"/>
      <c r="M12" s="5" t="str">
        <f t="shared" si="0"/>
        <v/>
      </c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 t="s">
        <v>142</v>
      </c>
      <c r="G13" s="3"/>
      <c r="H13" s="3"/>
      <c r="I13" s="2"/>
      <c r="J13" s="2"/>
      <c r="K13" s="4"/>
      <c r="L13" s="4"/>
      <c r="M13" s="5" t="str">
        <f t="shared" si="0"/>
        <v/>
      </c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 t="s">
        <v>142</v>
      </c>
      <c r="G14" s="3"/>
      <c r="H14" s="3"/>
      <c r="I14" s="2"/>
      <c r="J14" s="2"/>
      <c r="K14" s="4"/>
      <c r="L14" s="4"/>
      <c r="M14" s="5" t="str">
        <f t="shared" si="0"/>
        <v/>
      </c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 t="s">
        <v>142</v>
      </c>
      <c r="G15" s="3"/>
      <c r="H15" s="3"/>
      <c r="I15" s="2"/>
      <c r="J15" s="2"/>
      <c r="K15" s="4"/>
      <c r="L15" s="4"/>
      <c r="M15" s="5" t="str">
        <f t="shared" si="0"/>
        <v/>
      </c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 t="s">
        <v>142</v>
      </c>
      <c r="G16" s="3"/>
      <c r="H16" s="3"/>
      <c r="I16" s="2"/>
      <c r="J16" s="2"/>
      <c r="K16" s="4"/>
      <c r="L16" s="4"/>
      <c r="M16" s="5" t="str">
        <f t="shared" si="0"/>
        <v/>
      </c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 t="s">
        <v>142</v>
      </c>
      <c r="G17" s="3"/>
      <c r="H17" s="3"/>
      <c r="I17" s="2"/>
      <c r="J17" s="2"/>
      <c r="K17" s="4"/>
      <c r="L17" s="4"/>
      <c r="M17" s="5" t="str">
        <f t="shared" si="0"/>
        <v/>
      </c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 t="s">
        <v>142</v>
      </c>
      <c r="G18" s="3"/>
      <c r="H18" s="3"/>
      <c r="I18" s="2"/>
      <c r="J18" s="2"/>
      <c r="K18" s="4"/>
      <c r="L18" s="4"/>
      <c r="M18" s="5" t="str">
        <f t="shared" si="0"/>
        <v/>
      </c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 t="s">
        <v>142</v>
      </c>
      <c r="G19" s="3"/>
      <c r="H19" s="3"/>
      <c r="I19" s="2"/>
      <c r="J19" s="2"/>
      <c r="K19" s="4"/>
      <c r="L19" s="4"/>
      <c r="M19" s="5" t="str">
        <f t="shared" si="0"/>
        <v/>
      </c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 t="s">
        <v>142</v>
      </c>
      <c r="G20" s="3"/>
      <c r="H20" s="3"/>
      <c r="I20" s="2"/>
      <c r="J20" s="2"/>
      <c r="K20" s="4"/>
      <c r="L20" s="4"/>
      <c r="M20" s="5" t="str">
        <f t="shared" si="0"/>
        <v/>
      </c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 t="s">
        <v>142</v>
      </c>
      <c r="G21" s="3"/>
      <c r="H21" s="3"/>
      <c r="I21" s="2"/>
      <c r="J21" s="2"/>
      <c r="K21" s="4"/>
      <c r="L21" s="4"/>
      <c r="M21" s="5" t="str">
        <f t="shared" si="0"/>
        <v/>
      </c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 t="s">
        <v>142</v>
      </c>
      <c r="G22" s="3"/>
      <c r="H22" s="3"/>
      <c r="I22" s="2"/>
      <c r="J22" s="2"/>
      <c r="K22" s="4"/>
      <c r="L22" s="4"/>
      <c r="M22" s="5" t="str">
        <f t="shared" si="0"/>
        <v/>
      </c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 t="s">
        <v>142</v>
      </c>
      <c r="G23" s="3"/>
      <c r="H23" s="3"/>
      <c r="I23" s="2"/>
      <c r="J23" s="2"/>
      <c r="K23" s="4"/>
      <c r="L23" s="4"/>
      <c r="M23" s="5" t="str">
        <f t="shared" si="0"/>
        <v/>
      </c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 t="s">
        <v>142</v>
      </c>
      <c r="G24" s="3"/>
      <c r="H24" s="3"/>
      <c r="I24" s="2"/>
      <c r="J24" s="2"/>
      <c r="K24" s="4"/>
      <c r="L24" s="4"/>
      <c r="M24" s="5" t="str">
        <f t="shared" si="0"/>
        <v/>
      </c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 t="s">
        <v>142</v>
      </c>
      <c r="G25" s="3"/>
      <c r="H25" s="3"/>
      <c r="I25" s="2"/>
      <c r="J25" s="2"/>
      <c r="K25" s="4"/>
      <c r="L25" s="4"/>
      <c r="M25" s="5" t="str">
        <f t="shared" si="0"/>
        <v/>
      </c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 t="s">
        <v>142</v>
      </c>
      <c r="G26" s="3"/>
      <c r="H26" s="3"/>
      <c r="I26" s="2"/>
      <c r="J26" s="2"/>
      <c r="K26" s="4"/>
      <c r="L26" s="4"/>
      <c r="M26" s="5" t="str">
        <f t="shared" si="0"/>
        <v/>
      </c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 t="s">
        <v>142</v>
      </c>
      <c r="G27" s="3"/>
      <c r="H27" s="3"/>
      <c r="I27" s="2"/>
      <c r="J27" s="2"/>
      <c r="K27" s="4"/>
      <c r="L27" s="4"/>
      <c r="M27" s="5" t="str">
        <f t="shared" si="0"/>
        <v/>
      </c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 t="s">
        <v>142</v>
      </c>
      <c r="G28" s="3"/>
      <c r="H28" s="3"/>
      <c r="I28" s="2"/>
      <c r="J28" s="2"/>
      <c r="K28" s="4"/>
      <c r="L28" s="4"/>
      <c r="M28" s="5" t="str">
        <f t="shared" si="0"/>
        <v/>
      </c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 t="s">
        <v>142</v>
      </c>
      <c r="G29" s="3"/>
      <c r="H29" s="3"/>
      <c r="I29" s="2"/>
      <c r="J29" s="2"/>
      <c r="K29" s="4"/>
      <c r="L29" s="4"/>
      <c r="M29" s="5" t="str">
        <f t="shared" si="0"/>
        <v/>
      </c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 t="s">
        <v>142</v>
      </c>
      <c r="G30" s="3"/>
      <c r="H30" s="3"/>
      <c r="I30" s="2"/>
      <c r="J30" s="2"/>
      <c r="K30" s="4"/>
      <c r="L30" s="4"/>
      <c r="M30" s="5" t="str">
        <f t="shared" si="0"/>
        <v/>
      </c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 t="s">
        <v>142</v>
      </c>
      <c r="G31" s="3"/>
      <c r="H31" s="3"/>
      <c r="I31" s="2"/>
      <c r="J31" s="2"/>
      <c r="K31" s="4"/>
      <c r="L31" s="4"/>
      <c r="M31" s="5" t="str">
        <f t="shared" si="0"/>
        <v/>
      </c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 t="s">
        <v>142</v>
      </c>
      <c r="G32" s="3"/>
      <c r="H32" s="3"/>
      <c r="I32" s="2"/>
      <c r="J32" s="2"/>
      <c r="K32" s="4"/>
      <c r="L32" s="4"/>
      <c r="M32" s="5" t="str">
        <f t="shared" si="0"/>
        <v/>
      </c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 t="s">
        <v>142</v>
      </c>
      <c r="G33" s="3"/>
      <c r="H33" s="3"/>
      <c r="I33" s="2"/>
      <c r="J33" s="2"/>
      <c r="K33" s="4"/>
      <c r="L33" s="4"/>
      <c r="M33" s="5" t="str">
        <f t="shared" si="0"/>
        <v/>
      </c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 t="s">
        <v>142</v>
      </c>
      <c r="G34" s="3"/>
      <c r="H34" s="3"/>
      <c r="I34" s="2"/>
      <c r="J34" s="2"/>
      <c r="K34" s="4"/>
      <c r="L34" s="4"/>
      <c r="M34" s="5" t="str">
        <f t="shared" si="0"/>
        <v/>
      </c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 t="s">
        <v>142</v>
      </c>
      <c r="G35" s="3"/>
      <c r="H35" s="3"/>
      <c r="I35" s="2"/>
      <c r="J35" s="2"/>
      <c r="K35" s="4"/>
      <c r="L35" s="4"/>
      <c r="M35" s="5" t="str">
        <f t="shared" ref="M35:M66" si="1">IF(OR(K35="",L35=""),"",IFERROR(L35/K35,0))</f>
        <v/>
      </c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 t="s">
        <v>142</v>
      </c>
      <c r="G36" s="3"/>
      <c r="H36" s="3"/>
      <c r="I36" s="2"/>
      <c r="J36" s="2"/>
      <c r="K36" s="4"/>
      <c r="L36" s="4"/>
      <c r="M36" s="5" t="str">
        <f t="shared" si="1"/>
        <v/>
      </c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 t="s">
        <v>142</v>
      </c>
      <c r="G37" s="3"/>
      <c r="H37" s="3"/>
      <c r="I37" s="2"/>
      <c r="J37" s="2"/>
      <c r="K37" s="4"/>
      <c r="L37" s="4"/>
      <c r="M37" s="5" t="str">
        <f t="shared" si="1"/>
        <v/>
      </c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 t="s">
        <v>142</v>
      </c>
      <c r="G38" s="3"/>
      <c r="H38" s="3"/>
      <c r="I38" s="2"/>
      <c r="J38" s="2"/>
      <c r="K38" s="4"/>
      <c r="L38" s="4"/>
      <c r="M38" s="5" t="str">
        <f t="shared" si="1"/>
        <v/>
      </c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 t="s">
        <v>142</v>
      </c>
      <c r="G39" s="3"/>
      <c r="H39" s="3"/>
      <c r="I39" s="2"/>
      <c r="J39" s="2"/>
      <c r="K39" s="4"/>
      <c r="L39" s="4"/>
      <c r="M39" s="5" t="str">
        <f t="shared" si="1"/>
        <v/>
      </c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 t="s">
        <v>142</v>
      </c>
      <c r="G40" s="3"/>
      <c r="H40" s="3"/>
      <c r="I40" s="2"/>
      <c r="J40" s="2"/>
      <c r="K40" s="4"/>
      <c r="L40" s="4"/>
      <c r="M40" s="5" t="str">
        <f t="shared" si="1"/>
        <v/>
      </c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 t="s">
        <v>142</v>
      </c>
      <c r="G41" s="3"/>
      <c r="H41" s="3"/>
      <c r="I41" s="2"/>
      <c r="J41" s="2"/>
      <c r="K41" s="4"/>
      <c r="L41" s="4"/>
      <c r="M41" s="5" t="str">
        <f t="shared" si="1"/>
        <v/>
      </c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 t="s">
        <v>142</v>
      </c>
      <c r="G42" s="3"/>
      <c r="H42" s="3"/>
      <c r="I42" s="2"/>
      <c r="J42" s="2"/>
      <c r="K42" s="4"/>
      <c r="L42" s="4"/>
      <c r="M42" s="5" t="str">
        <f t="shared" si="1"/>
        <v/>
      </c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 t="s">
        <v>142</v>
      </c>
      <c r="G43" s="3"/>
      <c r="H43" s="3"/>
      <c r="I43" s="2"/>
      <c r="J43" s="2"/>
      <c r="K43" s="4"/>
      <c r="L43" s="4"/>
      <c r="M43" s="5" t="str">
        <f t="shared" si="1"/>
        <v/>
      </c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 t="s">
        <v>142</v>
      </c>
      <c r="G44" s="3"/>
      <c r="H44" s="3"/>
      <c r="I44" s="2"/>
      <c r="J44" s="2"/>
      <c r="K44" s="4"/>
      <c r="L44" s="4"/>
      <c r="M44" s="5" t="str">
        <f t="shared" si="1"/>
        <v/>
      </c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 t="s">
        <v>142</v>
      </c>
      <c r="G45" s="3"/>
      <c r="H45" s="3"/>
      <c r="I45" s="2"/>
      <c r="J45" s="2"/>
      <c r="K45" s="4"/>
      <c r="L45" s="4"/>
      <c r="M45" s="5" t="str">
        <f t="shared" si="1"/>
        <v/>
      </c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 t="s">
        <v>142</v>
      </c>
      <c r="G46" s="3"/>
      <c r="H46" s="3"/>
      <c r="I46" s="2"/>
      <c r="J46" s="2"/>
      <c r="K46" s="4"/>
      <c r="L46" s="4"/>
      <c r="M46" s="5" t="str">
        <f t="shared" si="1"/>
        <v/>
      </c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 t="s">
        <v>142</v>
      </c>
      <c r="G47" s="3"/>
      <c r="H47" s="3"/>
      <c r="I47" s="2"/>
      <c r="J47" s="2"/>
      <c r="K47" s="4"/>
      <c r="L47" s="4"/>
      <c r="M47" s="5" t="str">
        <f t="shared" si="1"/>
        <v/>
      </c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 t="s">
        <v>142</v>
      </c>
      <c r="G48" s="3"/>
      <c r="H48" s="3"/>
      <c r="I48" s="2"/>
      <c r="J48" s="2"/>
      <c r="K48" s="4"/>
      <c r="L48" s="4"/>
      <c r="M48" s="5" t="str">
        <f t="shared" si="1"/>
        <v/>
      </c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 t="s">
        <v>142</v>
      </c>
      <c r="G49" s="3"/>
      <c r="H49" s="3"/>
      <c r="I49" s="2"/>
      <c r="J49" s="2"/>
      <c r="K49" s="4"/>
      <c r="L49" s="4"/>
      <c r="M49" s="5" t="str">
        <f t="shared" si="1"/>
        <v/>
      </c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 t="s">
        <v>142</v>
      </c>
      <c r="G50" s="3"/>
      <c r="H50" s="3"/>
      <c r="I50" s="2"/>
      <c r="J50" s="2"/>
      <c r="K50" s="4"/>
      <c r="L50" s="4"/>
      <c r="M50" s="5" t="str">
        <f t="shared" si="1"/>
        <v/>
      </c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 t="s">
        <v>142</v>
      </c>
      <c r="G51" s="3"/>
      <c r="H51" s="3"/>
      <c r="I51" s="2"/>
      <c r="J51" s="2"/>
      <c r="K51" s="4"/>
      <c r="L51" s="4"/>
      <c r="M51" s="5" t="str">
        <f t="shared" si="1"/>
        <v/>
      </c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 t="s">
        <v>142</v>
      </c>
      <c r="G52" s="3"/>
      <c r="H52" s="3"/>
      <c r="I52" s="2"/>
      <c r="J52" s="2"/>
      <c r="K52" s="4"/>
      <c r="L52" s="4"/>
      <c r="M52" s="5" t="str">
        <f t="shared" si="1"/>
        <v/>
      </c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 t="s">
        <v>142</v>
      </c>
      <c r="G53" s="3"/>
      <c r="H53" s="3"/>
      <c r="I53" s="2"/>
      <c r="J53" s="2"/>
      <c r="K53" s="4"/>
      <c r="L53" s="4"/>
      <c r="M53" s="5" t="str">
        <f t="shared" si="1"/>
        <v/>
      </c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 t="s">
        <v>142</v>
      </c>
      <c r="G54" s="3"/>
      <c r="H54" s="3"/>
      <c r="I54" s="2"/>
      <c r="J54" s="2"/>
      <c r="K54" s="4"/>
      <c r="L54" s="4"/>
      <c r="M54" s="5" t="str">
        <f t="shared" si="1"/>
        <v/>
      </c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 t="s">
        <v>142</v>
      </c>
      <c r="G55" s="3"/>
      <c r="H55" s="3"/>
      <c r="I55" s="2"/>
      <c r="J55" s="2"/>
      <c r="K55" s="4"/>
      <c r="L55" s="4"/>
      <c r="M55" s="5" t="str">
        <f t="shared" si="1"/>
        <v/>
      </c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 t="s">
        <v>142</v>
      </c>
      <c r="G56" s="3"/>
      <c r="H56" s="3"/>
      <c r="I56" s="2"/>
      <c r="J56" s="2"/>
      <c r="K56" s="4"/>
      <c r="L56" s="4"/>
      <c r="M56" s="5" t="str">
        <f t="shared" si="1"/>
        <v/>
      </c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 t="s">
        <v>142</v>
      </c>
      <c r="G57" s="3"/>
      <c r="H57" s="3"/>
      <c r="I57" s="2"/>
      <c r="J57" s="2"/>
      <c r="K57" s="4"/>
      <c r="L57" s="4"/>
      <c r="M57" s="5" t="str">
        <f t="shared" si="1"/>
        <v/>
      </c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 t="s">
        <v>142</v>
      </c>
      <c r="G58" s="3"/>
      <c r="H58" s="3"/>
      <c r="I58" s="2"/>
      <c r="J58" s="2"/>
      <c r="K58" s="4"/>
      <c r="L58" s="4"/>
      <c r="M58" s="5" t="str">
        <f t="shared" si="1"/>
        <v/>
      </c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 t="s">
        <v>142</v>
      </c>
      <c r="G59" s="3"/>
      <c r="H59" s="3"/>
      <c r="I59" s="2"/>
      <c r="J59" s="2"/>
      <c r="K59" s="4"/>
      <c r="L59" s="4"/>
      <c r="M59" s="5" t="str">
        <f t="shared" si="1"/>
        <v/>
      </c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 t="s">
        <v>142</v>
      </c>
      <c r="G60" s="3"/>
      <c r="H60" s="3"/>
      <c r="I60" s="2"/>
      <c r="J60" s="2"/>
      <c r="K60" s="4"/>
      <c r="L60" s="4"/>
      <c r="M60" s="5" t="str">
        <f t="shared" si="1"/>
        <v/>
      </c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 t="s">
        <v>142</v>
      </c>
      <c r="G61" s="3"/>
      <c r="H61" s="3"/>
      <c r="I61" s="2"/>
      <c r="J61" s="2"/>
      <c r="K61" s="4"/>
      <c r="L61" s="4"/>
      <c r="M61" s="5" t="str">
        <f t="shared" si="1"/>
        <v/>
      </c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 t="s">
        <v>142</v>
      </c>
      <c r="G62" s="3"/>
      <c r="H62" s="3"/>
      <c r="I62" s="2"/>
      <c r="J62" s="2"/>
      <c r="K62" s="4"/>
      <c r="L62" s="4"/>
      <c r="M62" s="5" t="str">
        <f t="shared" si="1"/>
        <v/>
      </c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 t="s">
        <v>142</v>
      </c>
      <c r="G63" s="3"/>
      <c r="H63" s="3"/>
      <c r="I63" s="2"/>
      <c r="J63" s="2"/>
      <c r="K63" s="4"/>
      <c r="L63" s="4"/>
      <c r="M63" s="5" t="str">
        <f t="shared" si="1"/>
        <v/>
      </c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 t="s">
        <v>142</v>
      </c>
      <c r="G64" s="3"/>
      <c r="H64" s="3"/>
      <c r="I64" s="2"/>
      <c r="J64" s="2"/>
      <c r="K64" s="4"/>
      <c r="L64" s="4"/>
      <c r="M64" s="5" t="str">
        <f t="shared" si="1"/>
        <v/>
      </c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 t="s">
        <v>142</v>
      </c>
      <c r="G65" s="3"/>
      <c r="H65" s="3"/>
      <c r="I65" s="2"/>
      <c r="J65" s="2"/>
      <c r="K65" s="4"/>
      <c r="L65" s="4"/>
      <c r="M65" s="5" t="str">
        <f t="shared" si="1"/>
        <v/>
      </c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 t="s">
        <v>142</v>
      </c>
      <c r="G66" s="3"/>
      <c r="H66" s="3"/>
      <c r="I66" s="2"/>
      <c r="J66" s="2"/>
      <c r="K66" s="4"/>
      <c r="L66" s="4"/>
      <c r="M66" s="5" t="str">
        <f t="shared" si="1"/>
        <v/>
      </c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 t="s">
        <v>142</v>
      </c>
      <c r="G67" s="3"/>
      <c r="H67" s="3"/>
      <c r="I67" s="2"/>
      <c r="J67" s="2"/>
      <c r="K67" s="4"/>
      <c r="L67" s="4"/>
      <c r="M67" s="5" t="str">
        <f t="shared" ref="M67:M98" si="2">IF(OR(K67="",L67=""),"",IFERROR(L67/K67,0))</f>
        <v/>
      </c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 t="s">
        <v>142</v>
      </c>
      <c r="G68" s="3"/>
      <c r="H68" s="3"/>
      <c r="I68" s="2"/>
      <c r="J68" s="2"/>
      <c r="K68" s="4"/>
      <c r="L68" s="4"/>
      <c r="M68" s="5" t="str">
        <f t="shared" si="2"/>
        <v/>
      </c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 t="s">
        <v>142</v>
      </c>
      <c r="G69" s="3"/>
      <c r="H69" s="3"/>
      <c r="I69" s="2"/>
      <c r="J69" s="2"/>
      <c r="K69" s="4"/>
      <c r="L69" s="4"/>
      <c r="M69" s="5" t="str">
        <f t="shared" si="2"/>
        <v/>
      </c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 t="s">
        <v>142</v>
      </c>
      <c r="G70" s="3"/>
      <c r="H70" s="3"/>
      <c r="I70" s="2"/>
      <c r="J70" s="2"/>
      <c r="K70" s="4"/>
      <c r="L70" s="4"/>
      <c r="M70" s="5" t="str">
        <f t="shared" si="2"/>
        <v/>
      </c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 t="s">
        <v>142</v>
      </c>
      <c r="G71" s="3"/>
      <c r="H71" s="3"/>
      <c r="I71" s="2"/>
      <c r="J71" s="2"/>
      <c r="K71" s="4"/>
      <c r="L71" s="4"/>
      <c r="M71" s="5" t="str">
        <f t="shared" si="2"/>
        <v/>
      </c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 t="s">
        <v>142</v>
      </c>
      <c r="G72" s="3"/>
      <c r="H72" s="3"/>
      <c r="I72" s="2"/>
      <c r="J72" s="2"/>
      <c r="K72" s="4"/>
      <c r="L72" s="4"/>
      <c r="M72" s="5" t="str">
        <f t="shared" si="2"/>
        <v/>
      </c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 t="s">
        <v>142</v>
      </c>
      <c r="G73" s="3"/>
      <c r="H73" s="3"/>
      <c r="I73" s="2"/>
      <c r="J73" s="2"/>
      <c r="K73" s="4"/>
      <c r="L73" s="4"/>
      <c r="M73" s="5" t="str">
        <f t="shared" si="2"/>
        <v/>
      </c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 t="s">
        <v>142</v>
      </c>
      <c r="G74" s="3"/>
      <c r="H74" s="3"/>
      <c r="I74" s="2"/>
      <c r="J74" s="2"/>
      <c r="K74" s="4"/>
      <c r="L74" s="4"/>
      <c r="M74" s="5" t="str">
        <f t="shared" si="2"/>
        <v/>
      </c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 t="s">
        <v>142</v>
      </c>
      <c r="G75" s="3"/>
      <c r="H75" s="3"/>
      <c r="I75" s="2"/>
      <c r="J75" s="2"/>
      <c r="K75" s="4"/>
      <c r="L75" s="4"/>
      <c r="M75" s="5" t="str">
        <f t="shared" si="2"/>
        <v/>
      </c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 t="s">
        <v>142</v>
      </c>
      <c r="G76" s="3"/>
      <c r="H76" s="3"/>
      <c r="I76" s="2"/>
      <c r="J76" s="2"/>
      <c r="K76" s="4"/>
      <c r="L76" s="4"/>
      <c r="M76" s="5" t="str">
        <f t="shared" si="2"/>
        <v/>
      </c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 t="s">
        <v>142</v>
      </c>
      <c r="G77" s="3"/>
      <c r="H77" s="3"/>
      <c r="I77" s="2"/>
      <c r="J77" s="2"/>
      <c r="K77" s="4"/>
      <c r="L77" s="4"/>
      <c r="M77" s="5" t="str">
        <f t="shared" si="2"/>
        <v/>
      </c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 t="s">
        <v>142</v>
      </c>
      <c r="G78" s="3"/>
      <c r="H78" s="3"/>
      <c r="I78" s="2"/>
      <c r="J78" s="2"/>
      <c r="K78" s="4"/>
      <c r="L78" s="4"/>
      <c r="M78" s="5" t="str">
        <f t="shared" si="2"/>
        <v/>
      </c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 t="s">
        <v>142</v>
      </c>
      <c r="G79" s="3"/>
      <c r="H79" s="3"/>
      <c r="I79" s="2"/>
      <c r="J79" s="2"/>
      <c r="K79" s="4"/>
      <c r="L79" s="4"/>
      <c r="M79" s="5" t="str">
        <f t="shared" si="2"/>
        <v/>
      </c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 t="s">
        <v>142</v>
      </c>
      <c r="G80" s="3"/>
      <c r="H80" s="3"/>
      <c r="I80" s="2"/>
      <c r="J80" s="2"/>
      <c r="K80" s="4"/>
      <c r="L80" s="4"/>
      <c r="M80" s="5" t="str">
        <f t="shared" si="2"/>
        <v/>
      </c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 t="s">
        <v>142</v>
      </c>
      <c r="G81" s="3"/>
      <c r="H81" s="3"/>
      <c r="I81" s="2"/>
      <c r="J81" s="2"/>
      <c r="K81" s="4"/>
      <c r="L81" s="4"/>
      <c r="M81" s="5" t="str">
        <f t="shared" si="2"/>
        <v/>
      </c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 t="s">
        <v>142</v>
      </c>
      <c r="G82" s="3"/>
      <c r="H82" s="3"/>
      <c r="I82" s="2"/>
      <c r="J82" s="2"/>
      <c r="K82" s="4"/>
      <c r="L82" s="4"/>
      <c r="M82" s="5" t="str">
        <f t="shared" si="2"/>
        <v/>
      </c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 t="s">
        <v>142</v>
      </c>
      <c r="G83" s="3"/>
      <c r="H83" s="3"/>
      <c r="I83" s="2"/>
      <c r="J83" s="2"/>
      <c r="K83" s="4"/>
      <c r="L83" s="4"/>
      <c r="M83" s="5" t="str">
        <f t="shared" si="2"/>
        <v/>
      </c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 t="s">
        <v>142</v>
      </c>
      <c r="G84" s="3"/>
      <c r="H84" s="3"/>
      <c r="I84" s="2"/>
      <c r="J84" s="2"/>
      <c r="K84" s="4"/>
      <c r="L84" s="4"/>
      <c r="M84" s="5" t="str">
        <f t="shared" si="2"/>
        <v/>
      </c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 t="s">
        <v>142</v>
      </c>
      <c r="G85" s="3"/>
      <c r="H85" s="3"/>
      <c r="I85" s="2"/>
      <c r="J85" s="2"/>
      <c r="K85" s="4"/>
      <c r="L85" s="4"/>
      <c r="M85" s="5" t="str">
        <f t="shared" si="2"/>
        <v/>
      </c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 t="s">
        <v>142</v>
      </c>
      <c r="G86" s="3"/>
      <c r="H86" s="3"/>
      <c r="I86" s="2"/>
      <c r="J86" s="2"/>
      <c r="K86" s="4"/>
      <c r="L86" s="4"/>
      <c r="M86" s="5" t="str">
        <f t="shared" si="2"/>
        <v/>
      </c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 t="s">
        <v>142</v>
      </c>
      <c r="G87" s="3"/>
      <c r="H87" s="3"/>
      <c r="I87" s="2"/>
      <c r="J87" s="2"/>
      <c r="K87" s="4"/>
      <c r="L87" s="4"/>
      <c r="M87" s="5" t="str">
        <f t="shared" si="2"/>
        <v/>
      </c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 t="s">
        <v>142</v>
      </c>
      <c r="G88" s="3"/>
      <c r="H88" s="3"/>
      <c r="I88" s="2"/>
      <c r="J88" s="2"/>
      <c r="K88" s="4"/>
      <c r="L88" s="4"/>
      <c r="M88" s="5" t="str">
        <f t="shared" si="2"/>
        <v/>
      </c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 t="s">
        <v>142</v>
      </c>
      <c r="G89" s="3"/>
      <c r="H89" s="3"/>
      <c r="I89" s="2"/>
      <c r="J89" s="2"/>
      <c r="K89" s="4"/>
      <c r="L89" s="4"/>
      <c r="M89" s="5" t="str">
        <f t="shared" si="2"/>
        <v/>
      </c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 t="s">
        <v>142</v>
      </c>
      <c r="G90" s="3"/>
      <c r="H90" s="3"/>
      <c r="I90" s="2"/>
      <c r="J90" s="2"/>
      <c r="K90" s="4"/>
      <c r="L90" s="4"/>
      <c r="M90" s="5" t="str">
        <f t="shared" si="2"/>
        <v/>
      </c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 t="s">
        <v>142</v>
      </c>
      <c r="G91" s="3"/>
      <c r="H91" s="3"/>
      <c r="I91" s="2"/>
      <c r="J91" s="2"/>
      <c r="K91" s="4"/>
      <c r="L91" s="4"/>
      <c r="M91" s="5" t="str">
        <f t="shared" si="2"/>
        <v/>
      </c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 t="s">
        <v>142</v>
      </c>
      <c r="G92" s="3"/>
      <c r="H92" s="3"/>
      <c r="I92" s="2"/>
      <c r="J92" s="2"/>
      <c r="K92" s="4"/>
      <c r="L92" s="4"/>
      <c r="M92" s="5" t="str">
        <f t="shared" si="2"/>
        <v/>
      </c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 t="s">
        <v>142</v>
      </c>
      <c r="G93" s="3"/>
      <c r="H93" s="3"/>
      <c r="I93" s="2"/>
      <c r="J93" s="2"/>
      <c r="K93" s="4"/>
      <c r="L93" s="4"/>
      <c r="M93" s="5" t="str">
        <f t="shared" si="2"/>
        <v/>
      </c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 t="s">
        <v>142</v>
      </c>
      <c r="G94" s="3"/>
      <c r="H94" s="3"/>
      <c r="I94" s="2"/>
      <c r="J94" s="2"/>
      <c r="K94" s="4"/>
      <c r="L94" s="4"/>
      <c r="M94" s="5" t="str">
        <f t="shared" si="2"/>
        <v/>
      </c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 t="s">
        <v>142</v>
      </c>
      <c r="G95" s="3"/>
      <c r="H95" s="3"/>
      <c r="I95" s="2"/>
      <c r="J95" s="2"/>
      <c r="K95" s="4"/>
      <c r="L95" s="4"/>
      <c r="M95" s="5" t="str">
        <f t="shared" si="2"/>
        <v/>
      </c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 t="s">
        <v>142</v>
      </c>
      <c r="G96" s="3"/>
      <c r="H96" s="3"/>
      <c r="I96" s="2"/>
      <c r="J96" s="2"/>
      <c r="K96" s="4"/>
      <c r="L96" s="4"/>
      <c r="M96" s="5" t="str">
        <f t="shared" si="2"/>
        <v/>
      </c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 t="s">
        <v>142</v>
      </c>
      <c r="G97" s="3"/>
      <c r="H97" s="3"/>
      <c r="I97" s="2"/>
      <c r="J97" s="2"/>
      <c r="K97" s="4"/>
      <c r="L97" s="4"/>
      <c r="M97" s="5" t="str">
        <f t="shared" si="2"/>
        <v/>
      </c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 t="s">
        <v>142</v>
      </c>
      <c r="G98" s="3"/>
      <c r="H98" s="3"/>
      <c r="I98" s="2"/>
      <c r="J98" s="2"/>
      <c r="K98" s="4"/>
      <c r="L98" s="4"/>
      <c r="M98" s="5" t="str">
        <f t="shared" si="2"/>
        <v/>
      </c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 t="s">
        <v>142</v>
      </c>
      <c r="G99" s="3"/>
      <c r="H99" s="3"/>
      <c r="I99" s="2"/>
      <c r="J99" s="2"/>
      <c r="K99" s="4"/>
      <c r="L99" s="4"/>
      <c r="M99" s="5" t="str">
        <f t="shared" ref="M99:M130" si="3">IF(OR(K99="",L99=""),"",IFERROR(L99/K99,0))</f>
        <v/>
      </c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 t="s">
        <v>142</v>
      </c>
      <c r="G100" s="3"/>
      <c r="H100" s="3"/>
      <c r="I100" s="2"/>
      <c r="J100" s="2"/>
      <c r="K100" s="4"/>
      <c r="L100" s="4"/>
      <c r="M100" s="5" t="str">
        <f t="shared" si="3"/>
        <v/>
      </c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 t="s">
        <v>142</v>
      </c>
      <c r="G101" s="3"/>
      <c r="H101" s="3"/>
      <c r="I101" s="2"/>
      <c r="J101" s="2"/>
      <c r="K101" s="4"/>
      <c r="L101" s="4"/>
      <c r="M101" s="5" t="str">
        <f t="shared" si="3"/>
        <v/>
      </c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 t="s">
        <v>142</v>
      </c>
      <c r="G102" s="3"/>
      <c r="H102" s="3"/>
      <c r="I102" s="2"/>
      <c r="J102" s="2"/>
      <c r="K102" s="4"/>
      <c r="L102" s="4"/>
      <c r="M102" s="5" t="str">
        <f t="shared" si="3"/>
        <v/>
      </c>
      <c r="N102" s="2"/>
      <c r="O102" s="2"/>
      <c r="P102" s="2"/>
      <c r="Q102" s="2"/>
    </row>
    <row r="105" spans="1:17" x14ac:dyDescent="0.25">
      <c r="A105" s="20" t="s">
        <v>61</v>
      </c>
      <c r="B105" s="21"/>
      <c r="C105" s="21"/>
      <c r="D105" s="21"/>
      <c r="E105" s="21"/>
      <c r="F105" s="21"/>
      <c r="G105" s="21"/>
    </row>
    <row r="106" spans="1:17" ht="30" x14ac:dyDescent="0.25">
      <c r="A106" s="1" t="s">
        <v>3</v>
      </c>
      <c r="B106" s="1" t="s">
        <v>1</v>
      </c>
      <c r="C106" s="1" t="s">
        <v>62</v>
      </c>
      <c r="D106" s="1" t="s">
        <v>63</v>
      </c>
      <c r="E106" s="1" t="s">
        <v>64</v>
      </c>
      <c r="F106" s="1" t="s">
        <v>65</v>
      </c>
      <c r="G106" s="1" t="s">
        <v>66</v>
      </c>
    </row>
    <row r="107" spans="1:17" x14ac:dyDescent="0.25">
      <c r="A107" s="2" t="s">
        <v>141</v>
      </c>
      <c r="B107" s="2" t="s">
        <v>18</v>
      </c>
      <c r="C107" s="2" t="s">
        <v>71</v>
      </c>
      <c r="D107" s="2" t="s">
        <v>148</v>
      </c>
      <c r="E107" s="3">
        <v>45396</v>
      </c>
      <c r="F107" s="2" t="s">
        <v>69</v>
      </c>
      <c r="G107" s="2" t="s">
        <v>149</v>
      </c>
    </row>
    <row r="108" spans="1:17" x14ac:dyDescent="0.25">
      <c r="A108" s="2" t="s">
        <v>145</v>
      </c>
      <c r="B108" s="2" t="s">
        <v>45</v>
      </c>
      <c r="C108" s="2" t="s">
        <v>118</v>
      </c>
      <c r="D108" s="2" t="s">
        <v>150</v>
      </c>
      <c r="E108" s="3">
        <v>45671</v>
      </c>
      <c r="F108" s="2" t="s">
        <v>69</v>
      </c>
      <c r="G108" s="2" t="s">
        <v>151</v>
      </c>
    </row>
    <row r="109" spans="1:17" x14ac:dyDescent="0.25">
      <c r="A109" s="2"/>
      <c r="B109" s="2"/>
      <c r="C109" s="2"/>
      <c r="D109" s="2"/>
      <c r="E109" s="3"/>
      <c r="F109" s="2"/>
      <c r="G109" s="2"/>
    </row>
    <row r="110" spans="1:17" x14ac:dyDescent="0.25">
      <c r="A110" s="2"/>
      <c r="B110" s="2"/>
      <c r="C110" s="2"/>
      <c r="D110" s="2"/>
      <c r="E110" s="3"/>
      <c r="F110" s="2"/>
      <c r="G110" s="2"/>
    </row>
    <row r="111" spans="1:17" x14ac:dyDescent="0.25">
      <c r="A111" s="2"/>
      <c r="B111" s="2"/>
      <c r="C111" s="2"/>
      <c r="D111" s="2"/>
      <c r="E111" s="3"/>
      <c r="F111" s="2"/>
      <c r="G111" s="2"/>
    </row>
    <row r="112" spans="1:17" x14ac:dyDescent="0.25">
      <c r="A112" s="2"/>
      <c r="B112" s="2"/>
      <c r="C112" s="2"/>
      <c r="D112" s="2"/>
      <c r="E112" s="3"/>
      <c r="F112" s="2"/>
      <c r="G112" s="2"/>
    </row>
    <row r="113" spans="1:7" x14ac:dyDescent="0.25">
      <c r="A113" s="2"/>
      <c r="B113" s="2"/>
      <c r="C113" s="2"/>
      <c r="D113" s="2"/>
      <c r="E113" s="3"/>
      <c r="F113" s="2"/>
      <c r="G113" s="2"/>
    </row>
    <row r="114" spans="1:7" x14ac:dyDescent="0.25">
      <c r="A114" s="2"/>
      <c r="B114" s="2"/>
      <c r="C114" s="2"/>
      <c r="D114" s="2"/>
      <c r="E114" s="3"/>
      <c r="F114" s="2"/>
      <c r="G114" s="2"/>
    </row>
    <row r="115" spans="1:7" x14ac:dyDescent="0.25">
      <c r="A115" s="2"/>
      <c r="B115" s="2"/>
      <c r="C115" s="2"/>
      <c r="D115" s="2"/>
      <c r="E115" s="3"/>
      <c r="F115" s="2"/>
      <c r="G115" s="2"/>
    </row>
    <row r="116" spans="1:7" x14ac:dyDescent="0.25">
      <c r="A116" s="2"/>
      <c r="B116" s="2"/>
      <c r="C116" s="2"/>
      <c r="D116" s="2"/>
      <c r="E116" s="3"/>
      <c r="F116" s="2"/>
      <c r="G116" s="2"/>
    </row>
    <row r="117" spans="1:7" x14ac:dyDescent="0.25">
      <c r="A117" s="2"/>
      <c r="B117" s="2"/>
      <c r="C117" s="2"/>
      <c r="D117" s="2"/>
      <c r="E117" s="3"/>
      <c r="F117" s="2"/>
      <c r="G117" s="2"/>
    </row>
    <row r="118" spans="1:7" x14ac:dyDescent="0.25">
      <c r="A118" s="2"/>
      <c r="B118" s="2"/>
      <c r="C118" s="2"/>
      <c r="D118" s="2"/>
      <c r="E118" s="3"/>
      <c r="F118" s="2"/>
      <c r="G118" s="2"/>
    </row>
    <row r="119" spans="1:7" x14ac:dyDescent="0.25">
      <c r="A119" s="2"/>
      <c r="B119" s="2"/>
      <c r="C119" s="2"/>
      <c r="D119" s="2"/>
      <c r="E119" s="3"/>
      <c r="F119" s="2"/>
      <c r="G119" s="2"/>
    </row>
    <row r="120" spans="1:7" x14ac:dyDescent="0.25">
      <c r="A120" s="2"/>
      <c r="B120" s="2"/>
      <c r="C120" s="2"/>
      <c r="D120" s="2"/>
      <c r="E120" s="3"/>
      <c r="F120" s="2"/>
      <c r="G120" s="2"/>
    </row>
    <row r="121" spans="1:7" x14ac:dyDescent="0.25">
      <c r="A121" s="2"/>
      <c r="B121" s="2"/>
      <c r="C121" s="2"/>
      <c r="D121" s="2"/>
      <c r="E121" s="3"/>
      <c r="F121" s="2"/>
      <c r="G121" s="2"/>
    </row>
    <row r="122" spans="1:7" x14ac:dyDescent="0.25">
      <c r="A122" s="2"/>
      <c r="B122" s="2"/>
      <c r="C122" s="2"/>
      <c r="D122" s="2"/>
      <c r="E122" s="3"/>
      <c r="F122" s="2"/>
      <c r="G122" s="2"/>
    </row>
    <row r="123" spans="1:7" x14ac:dyDescent="0.25">
      <c r="A123" s="2"/>
      <c r="B123" s="2"/>
      <c r="C123" s="2"/>
      <c r="D123" s="2"/>
      <c r="E123" s="3"/>
      <c r="F123" s="2"/>
      <c r="G123" s="2"/>
    </row>
    <row r="124" spans="1:7" x14ac:dyDescent="0.25">
      <c r="A124" s="2"/>
      <c r="B124" s="2"/>
      <c r="C124" s="2"/>
      <c r="D124" s="2"/>
      <c r="E124" s="3"/>
      <c r="F124" s="2"/>
      <c r="G124" s="2"/>
    </row>
    <row r="125" spans="1:7" x14ac:dyDescent="0.25">
      <c r="A125" s="2"/>
      <c r="B125" s="2"/>
      <c r="C125" s="2"/>
      <c r="D125" s="2"/>
      <c r="E125" s="3"/>
      <c r="F125" s="2"/>
      <c r="G125" s="2"/>
    </row>
    <row r="126" spans="1:7" x14ac:dyDescent="0.25">
      <c r="A126" s="2"/>
      <c r="B126" s="2"/>
      <c r="C126" s="2"/>
      <c r="D126" s="2"/>
      <c r="E126" s="3"/>
      <c r="F126" s="2"/>
      <c r="G126" s="2"/>
    </row>
    <row r="127" spans="1:7" x14ac:dyDescent="0.25">
      <c r="A127" s="2"/>
      <c r="B127" s="2"/>
      <c r="C127" s="2"/>
      <c r="D127" s="2"/>
      <c r="E127" s="3"/>
      <c r="F127" s="2"/>
      <c r="G127" s="2"/>
    </row>
    <row r="128" spans="1:7" x14ac:dyDescent="0.25">
      <c r="A128" s="2"/>
      <c r="B128" s="2"/>
      <c r="C128" s="2"/>
      <c r="D128" s="2"/>
      <c r="E128" s="3"/>
      <c r="F128" s="2"/>
      <c r="G128" s="2"/>
    </row>
    <row r="129" spans="1:7" x14ac:dyDescent="0.25">
      <c r="A129" s="2"/>
      <c r="B129" s="2"/>
      <c r="C129" s="2"/>
      <c r="D129" s="2"/>
      <c r="E129" s="3"/>
      <c r="F129" s="2"/>
      <c r="G129" s="2"/>
    </row>
    <row r="130" spans="1:7" x14ac:dyDescent="0.25">
      <c r="A130" s="2"/>
      <c r="B130" s="2"/>
      <c r="C130" s="2"/>
      <c r="D130" s="2"/>
      <c r="E130" s="3"/>
      <c r="F130" s="2"/>
      <c r="G130" s="2"/>
    </row>
    <row r="131" spans="1:7" x14ac:dyDescent="0.25">
      <c r="A131" s="2"/>
      <c r="B131" s="2"/>
      <c r="C131" s="2"/>
      <c r="D131" s="2"/>
      <c r="E131" s="3"/>
      <c r="F131" s="2"/>
      <c r="G131" s="2"/>
    </row>
    <row r="132" spans="1:7" x14ac:dyDescent="0.25">
      <c r="A132" s="2"/>
      <c r="B132" s="2"/>
      <c r="C132" s="2"/>
      <c r="D132" s="2"/>
      <c r="E132" s="3"/>
      <c r="F132" s="2"/>
      <c r="G132" s="2"/>
    </row>
    <row r="133" spans="1:7" x14ac:dyDescent="0.25">
      <c r="A133" s="2"/>
      <c r="B133" s="2"/>
      <c r="C133" s="2"/>
      <c r="D133" s="2"/>
      <c r="E133" s="3"/>
      <c r="F133" s="2"/>
      <c r="G133" s="2"/>
    </row>
    <row r="134" spans="1:7" x14ac:dyDescent="0.25">
      <c r="A134" s="2"/>
      <c r="B134" s="2"/>
      <c r="C134" s="2"/>
      <c r="D134" s="2"/>
      <c r="E134" s="3"/>
      <c r="F134" s="2"/>
      <c r="G134" s="2"/>
    </row>
    <row r="135" spans="1:7" x14ac:dyDescent="0.25">
      <c r="A135" s="2"/>
      <c r="B135" s="2"/>
      <c r="C135" s="2"/>
      <c r="D135" s="2"/>
      <c r="E135" s="3"/>
      <c r="F135" s="2"/>
      <c r="G135" s="2"/>
    </row>
    <row r="136" spans="1:7" x14ac:dyDescent="0.25">
      <c r="A136" s="2"/>
      <c r="B136" s="2"/>
      <c r="C136" s="2"/>
      <c r="D136" s="2"/>
      <c r="E136" s="3"/>
      <c r="F136" s="2"/>
      <c r="G136" s="2"/>
    </row>
    <row r="137" spans="1:7" x14ac:dyDescent="0.25">
      <c r="A137" s="2"/>
      <c r="B137" s="2"/>
      <c r="C137" s="2"/>
      <c r="D137" s="2"/>
      <c r="E137" s="3"/>
      <c r="F137" s="2"/>
      <c r="G137" s="2"/>
    </row>
    <row r="138" spans="1:7" x14ac:dyDescent="0.25">
      <c r="A138" s="2"/>
      <c r="B138" s="2"/>
      <c r="C138" s="2"/>
      <c r="D138" s="2"/>
      <c r="E138" s="3"/>
      <c r="F138" s="2"/>
      <c r="G138" s="2"/>
    </row>
    <row r="139" spans="1:7" x14ac:dyDescent="0.25">
      <c r="A139" s="2"/>
      <c r="B139" s="2"/>
      <c r="C139" s="2"/>
      <c r="D139" s="2"/>
      <c r="E139" s="3"/>
      <c r="F139" s="2"/>
      <c r="G139" s="2"/>
    </row>
    <row r="140" spans="1:7" x14ac:dyDescent="0.25">
      <c r="A140" s="2"/>
      <c r="B140" s="2"/>
      <c r="C140" s="2"/>
      <c r="D140" s="2"/>
      <c r="E140" s="3"/>
      <c r="F140" s="2"/>
      <c r="G140" s="2"/>
    </row>
    <row r="141" spans="1:7" x14ac:dyDescent="0.25">
      <c r="A141" s="2"/>
      <c r="B141" s="2"/>
      <c r="C141" s="2"/>
      <c r="D141" s="2"/>
      <c r="E141" s="3"/>
      <c r="F141" s="2"/>
      <c r="G141" s="2"/>
    </row>
    <row r="142" spans="1:7" x14ac:dyDescent="0.25">
      <c r="A142" s="2"/>
      <c r="B142" s="2"/>
      <c r="C142" s="2"/>
      <c r="D142" s="2"/>
      <c r="E142" s="3"/>
      <c r="F142" s="2"/>
      <c r="G142" s="2"/>
    </row>
    <row r="143" spans="1:7" x14ac:dyDescent="0.25">
      <c r="A143" s="2"/>
      <c r="B143" s="2"/>
      <c r="C143" s="2"/>
      <c r="D143" s="2"/>
      <c r="E143" s="3"/>
      <c r="F143" s="2"/>
      <c r="G143" s="2"/>
    </row>
    <row r="144" spans="1:7" x14ac:dyDescent="0.25">
      <c r="A144" s="2"/>
      <c r="B144" s="2"/>
      <c r="C144" s="2"/>
      <c r="D144" s="2"/>
      <c r="E144" s="3"/>
      <c r="F144" s="2"/>
      <c r="G144" s="2"/>
    </row>
    <row r="145" spans="1:7" x14ac:dyDescent="0.25">
      <c r="A145" s="2"/>
      <c r="B145" s="2"/>
      <c r="C145" s="2"/>
      <c r="D145" s="2"/>
      <c r="E145" s="3"/>
      <c r="F145" s="2"/>
      <c r="G145" s="2"/>
    </row>
    <row r="146" spans="1:7" x14ac:dyDescent="0.25">
      <c r="A146" s="2"/>
      <c r="B146" s="2"/>
      <c r="C146" s="2"/>
      <c r="D146" s="2"/>
      <c r="E146" s="3"/>
      <c r="F146" s="2"/>
      <c r="G146" s="2"/>
    </row>
    <row r="147" spans="1:7" x14ac:dyDescent="0.25">
      <c r="A147" s="2"/>
      <c r="B147" s="2"/>
      <c r="C147" s="2"/>
      <c r="D147" s="2"/>
      <c r="E147" s="3"/>
      <c r="F147" s="2"/>
      <c r="G147" s="2"/>
    </row>
    <row r="148" spans="1:7" x14ac:dyDescent="0.25">
      <c r="A148" s="2"/>
      <c r="B148" s="2"/>
      <c r="C148" s="2"/>
      <c r="D148" s="2"/>
      <c r="E148" s="3"/>
      <c r="F148" s="2"/>
      <c r="G148" s="2"/>
    </row>
    <row r="149" spans="1:7" x14ac:dyDescent="0.25">
      <c r="A149" s="2"/>
      <c r="B149" s="2"/>
      <c r="C149" s="2"/>
      <c r="D149" s="2"/>
      <c r="E149" s="3"/>
      <c r="F149" s="2"/>
      <c r="G149" s="2"/>
    </row>
    <row r="150" spans="1:7" x14ac:dyDescent="0.25">
      <c r="A150" s="2"/>
      <c r="B150" s="2"/>
      <c r="C150" s="2"/>
      <c r="D150" s="2"/>
      <c r="E150" s="3"/>
      <c r="F150" s="2"/>
      <c r="G150" s="2"/>
    </row>
    <row r="151" spans="1:7" x14ac:dyDescent="0.25">
      <c r="A151" s="2"/>
      <c r="B151" s="2"/>
      <c r="C151" s="2"/>
      <c r="D151" s="2"/>
      <c r="E151" s="3"/>
      <c r="F151" s="2"/>
      <c r="G151" s="2"/>
    </row>
    <row r="152" spans="1:7" x14ac:dyDescent="0.25">
      <c r="A152" s="2"/>
      <c r="B152" s="2"/>
      <c r="C152" s="2"/>
      <c r="D152" s="2"/>
      <c r="E152" s="3"/>
      <c r="F152" s="2"/>
      <c r="G152" s="2"/>
    </row>
    <row r="153" spans="1:7" x14ac:dyDescent="0.25">
      <c r="A153" s="2"/>
      <c r="B153" s="2"/>
      <c r="C153" s="2"/>
      <c r="D153" s="2"/>
      <c r="E153" s="3"/>
      <c r="F153" s="2"/>
      <c r="G153" s="2"/>
    </row>
    <row r="154" spans="1:7" x14ac:dyDescent="0.25">
      <c r="A154" s="2"/>
      <c r="B154" s="2"/>
      <c r="C154" s="2"/>
      <c r="D154" s="2"/>
      <c r="E154" s="3"/>
      <c r="F154" s="2"/>
      <c r="G154" s="2"/>
    </row>
    <row r="155" spans="1:7" x14ac:dyDescent="0.25">
      <c r="A155" s="2"/>
      <c r="B155" s="2"/>
      <c r="C155" s="2"/>
      <c r="D155" s="2"/>
      <c r="E155" s="3"/>
      <c r="F155" s="2"/>
      <c r="G155" s="2"/>
    </row>
    <row r="156" spans="1:7" x14ac:dyDescent="0.25">
      <c r="A156" s="2"/>
      <c r="B156" s="2"/>
      <c r="C156" s="2"/>
      <c r="D156" s="2"/>
      <c r="E156" s="3"/>
      <c r="F156" s="2"/>
      <c r="G156" s="2"/>
    </row>
    <row r="157" spans="1:7" x14ac:dyDescent="0.25">
      <c r="A157" s="2"/>
      <c r="B157" s="2"/>
      <c r="C157" s="2"/>
      <c r="D157" s="2"/>
      <c r="E157" s="3"/>
      <c r="F157" s="2"/>
      <c r="G157" s="2"/>
    </row>
    <row r="158" spans="1:7" x14ac:dyDescent="0.25">
      <c r="A158" s="2"/>
      <c r="B158" s="2"/>
      <c r="C158" s="2"/>
      <c r="D158" s="2"/>
      <c r="E158" s="3"/>
      <c r="F158" s="2"/>
      <c r="G158" s="2"/>
    </row>
    <row r="159" spans="1:7" x14ac:dyDescent="0.25">
      <c r="A159" s="2"/>
      <c r="B159" s="2"/>
      <c r="C159" s="2"/>
      <c r="D159" s="2"/>
      <c r="E159" s="3"/>
      <c r="F159" s="2"/>
      <c r="G159" s="2"/>
    </row>
    <row r="160" spans="1:7" x14ac:dyDescent="0.25">
      <c r="A160" s="2"/>
      <c r="B160" s="2"/>
      <c r="C160" s="2"/>
      <c r="D160" s="2"/>
      <c r="E160" s="3"/>
      <c r="F160" s="2"/>
      <c r="G160" s="2"/>
    </row>
    <row r="161" spans="1:7" x14ac:dyDescent="0.25">
      <c r="A161" s="2"/>
      <c r="B161" s="2"/>
      <c r="C161" s="2"/>
      <c r="D161" s="2"/>
      <c r="E161" s="3"/>
      <c r="F161" s="2"/>
      <c r="G161" s="2"/>
    </row>
    <row r="162" spans="1:7" x14ac:dyDescent="0.25">
      <c r="A162" s="2"/>
      <c r="B162" s="2"/>
      <c r="C162" s="2"/>
      <c r="D162" s="2"/>
      <c r="E162" s="3"/>
      <c r="F162" s="2"/>
      <c r="G162" s="2"/>
    </row>
    <row r="163" spans="1:7" x14ac:dyDescent="0.25">
      <c r="A163" s="2"/>
      <c r="B163" s="2"/>
      <c r="C163" s="2"/>
      <c r="D163" s="2"/>
      <c r="E163" s="3"/>
      <c r="F163" s="2"/>
      <c r="G163" s="2"/>
    </row>
    <row r="164" spans="1:7" x14ac:dyDescent="0.25">
      <c r="A164" s="2"/>
      <c r="B164" s="2"/>
      <c r="C164" s="2"/>
      <c r="D164" s="2"/>
      <c r="E164" s="3"/>
      <c r="F164" s="2"/>
      <c r="G164" s="2"/>
    </row>
    <row r="165" spans="1:7" x14ac:dyDescent="0.25">
      <c r="A165" s="2"/>
      <c r="B165" s="2"/>
      <c r="C165" s="2"/>
      <c r="D165" s="2"/>
      <c r="E165" s="3"/>
      <c r="F165" s="2"/>
      <c r="G165" s="2"/>
    </row>
    <row r="166" spans="1:7" x14ac:dyDescent="0.25">
      <c r="A166" s="2"/>
      <c r="B166" s="2"/>
      <c r="C166" s="2"/>
      <c r="D166" s="2"/>
      <c r="E166" s="3"/>
      <c r="F166" s="2"/>
      <c r="G166" s="2"/>
    </row>
  </sheetData>
  <mergeCells count="2">
    <mergeCell ref="A105:G105"/>
    <mergeCell ref="A1:Q1"/>
  </mergeCells>
  <conditionalFormatting sqref="A3:Q102">
    <cfRule type="expression" dxfId="31" priority="8">
      <formula>$O3="Yes"</formula>
    </cfRule>
  </conditionalFormatting>
  <conditionalFormatting sqref="M3:M102">
    <cfRule type="expression" dxfId="30" priority="1">
      <formula>AND(M3&gt;=1,M3&lt;&gt;"")</formula>
    </cfRule>
    <cfRule type="expression" dxfId="29" priority="2">
      <formula>AND(M3&gt;=0.8,M3&lt;1)</formula>
    </cfRule>
    <cfRule type="expression" dxfId="28" priority="3">
      <formula>AND(M3&lt;0.8,M3&lt;&gt;"")</formula>
    </cfRule>
  </conditionalFormatting>
  <conditionalFormatting sqref="P3:P102">
    <cfRule type="expression" dxfId="27" priority="4">
      <formula>$P3="Completed"</formula>
    </cfRule>
    <cfRule type="expression" dxfId="26" priority="5">
      <formula>$P3="In progress"</formula>
    </cfRule>
    <cfRule type="expression" dxfId="25" priority="6">
      <formula>OR($P3="Delayed",$P3="Cancelled")</formula>
    </cfRule>
    <cfRule type="expression" dxfId="24" priority="7">
      <formula>$P3="Not started"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400-000000000000}">
          <x14:formula1>
            <xm:f>Lists!$F$1:$F$5</xm:f>
          </x14:formula1>
          <xm:sqref>P3:P102</xm:sqref>
        </x14:dataValidation>
        <x14:dataValidation type="list" allowBlank="1" xr:uid="{00000000-0002-0000-0400-000001000000}">
          <x14:formula1>
            <xm:f>Lists!$G$1:$G$2</xm:f>
          </x14:formula1>
          <xm:sqref>O3:O102</xm:sqref>
        </x14:dataValidation>
        <x14:dataValidation type="list" allowBlank="1" xr:uid="{00000000-0002-0000-0400-000002000000}">
          <x14:formula1>
            <xm:f>Lists!$D$2:$D$4</xm:f>
          </x14:formula1>
          <xm:sqref>I3:I102</xm:sqref>
        </x14:dataValidation>
        <x14:dataValidation type="list" allowBlank="1" xr:uid="{00000000-0002-0000-0400-000003000000}">
          <x14:formula1>
            <xm:f>Lists!$E$2:$E$13</xm:f>
          </x14:formula1>
          <xm:sqref>J3:J102</xm:sqref>
        </x14:dataValidation>
        <x14:dataValidation type="list" allowBlank="1" xr:uid="{00000000-0002-0000-0400-000004000000}">
          <x14:formula1>
            <xm:f>Lists!$B$2:$B$5</xm:f>
          </x14:formula1>
          <xm:sqref>E3:E102</xm:sqref>
        </x14:dataValidation>
        <x14:dataValidation type="list" allowBlank="1" xr:uid="{00000000-0002-0000-0400-000005000000}">
          <x14:formula1>
            <xm:f>Lists!$C$2:$C$5</xm:f>
          </x14:formula1>
          <xm:sqref>A3:A102</xm:sqref>
        </x14:dataValidation>
        <x14:dataValidation type="list" allowBlank="1" xr:uid="{00000000-0002-0000-0400-000006000000}">
          <x14:formula1>
            <xm:f>Lists!$H$1:$H$4</xm:f>
          </x14:formula1>
          <xm:sqref>C107:C166</xm:sqref>
        </x14:dataValidation>
        <x14:dataValidation type="list" allowBlank="1" xr:uid="{00000000-0002-0000-0400-000007000000}">
          <x14:formula1>
            <xm:f>Lists!$I$1:$I$3</xm:f>
          </x14:formula1>
          <xm:sqref>F107:F166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6"/>
  <sheetViews>
    <sheetView workbookViewId="0">
      <selection sqref="A1:Q1"/>
    </sheetView>
  </sheetViews>
  <sheetFormatPr defaultRowHeight="15" x14ac:dyDescent="0.25"/>
  <cols>
    <col min="1" max="1" width="18" customWidth="1"/>
    <col min="2" max="2" width="32" customWidth="1"/>
    <col min="3" max="3" width="20" customWidth="1"/>
    <col min="4" max="4" width="28" customWidth="1"/>
    <col min="5" max="5" width="18" customWidth="1"/>
    <col min="6" max="6" width="22" customWidth="1"/>
    <col min="7" max="7" width="26" customWidth="1"/>
    <col min="8" max="9" width="12" customWidth="1"/>
    <col min="10" max="10" width="14" customWidth="1"/>
    <col min="11" max="12" width="16" customWidth="1"/>
    <col min="13" max="13" width="12" customWidth="1"/>
    <col min="14" max="14" width="28" customWidth="1"/>
    <col min="15" max="15" width="18" customWidth="1"/>
    <col min="16" max="16" width="16" customWidth="1"/>
    <col min="17" max="17" width="34" customWidth="1"/>
  </cols>
  <sheetData>
    <row r="1" spans="1:17" x14ac:dyDescent="0.25">
      <c r="A1" s="20" t="s">
        <v>152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30</v>
      </c>
      <c r="B3" s="2" t="s">
        <v>31</v>
      </c>
      <c r="C3" s="2" t="s">
        <v>153</v>
      </c>
      <c r="D3" s="2" t="s">
        <v>77</v>
      </c>
      <c r="E3" s="2" t="s">
        <v>34</v>
      </c>
      <c r="F3" s="2" t="s">
        <v>154</v>
      </c>
      <c r="G3" s="3">
        <v>45839</v>
      </c>
      <c r="H3" s="3">
        <v>45930</v>
      </c>
      <c r="I3" s="2" t="s">
        <v>56</v>
      </c>
      <c r="J3" s="2" t="s">
        <v>79</v>
      </c>
      <c r="K3" s="4">
        <v>77</v>
      </c>
      <c r="L3" s="4">
        <v>81</v>
      </c>
      <c r="M3" s="5">
        <f t="shared" ref="M3:M34" si="0">IF(OR(K3="",L3=""),"",IFERROR(L3/K3,0))</f>
        <v>1.051948051948052</v>
      </c>
      <c r="N3" s="2" t="s">
        <v>36</v>
      </c>
      <c r="O3" s="2" t="s">
        <v>27</v>
      </c>
      <c r="P3" s="2" t="s">
        <v>28</v>
      </c>
      <c r="Q3" s="2" t="s">
        <v>29</v>
      </c>
    </row>
    <row r="4" spans="1:17" x14ac:dyDescent="0.25">
      <c r="A4" s="2" t="s">
        <v>38</v>
      </c>
      <c r="B4" s="2" t="s">
        <v>39</v>
      </c>
      <c r="C4" s="2" t="s">
        <v>155</v>
      </c>
      <c r="D4" s="2" t="s">
        <v>81</v>
      </c>
      <c r="E4" s="2" t="s">
        <v>42</v>
      </c>
      <c r="F4" s="2" t="s">
        <v>154</v>
      </c>
      <c r="G4" s="3">
        <v>45931</v>
      </c>
      <c r="H4" s="3">
        <v>46022</v>
      </c>
      <c r="I4" s="2" t="s">
        <v>56</v>
      </c>
      <c r="J4" s="2" t="s">
        <v>82</v>
      </c>
      <c r="K4" s="4">
        <v>32</v>
      </c>
      <c r="L4" s="4">
        <v>32</v>
      </c>
      <c r="M4" s="5">
        <f t="shared" si="0"/>
        <v>1</v>
      </c>
      <c r="N4" s="2" t="s">
        <v>44</v>
      </c>
      <c r="O4" s="2" t="s">
        <v>27</v>
      </c>
      <c r="P4" s="2" t="s">
        <v>28</v>
      </c>
      <c r="Q4" s="2" t="s">
        <v>29</v>
      </c>
    </row>
    <row r="5" spans="1:17" x14ac:dyDescent="0.25">
      <c r="A5" s="2" t="s">
        <v>45</v>
      </c>
      <c r="B5" s="2" t="s">
        <v>46</v>
      </c>
      <c r="C5" s="2" t="s">
        <v>156</v>
      </c>
      <c r="D5" s="2" t="s">
        <v>84</v>
      </c>
      <c r="E5" s="2" t="s">
        <v>49</v>
      </c>
      <c r="F5" s="2" t="s">
        <v>154</v>
      </c>
      <c r="G5" s="3">
        <v>46023</v>
      </c>
      <c r="H5" s="3">
        <v>46112</v>
      </c>
      <c r="I5" s="2" t="s">
        <v>85</v>
      </c>
      <c r="J5" s="2" t="s">
        <v>86</v>
      </c>
      <c r="K5" s="4">
        <v>37</v>
      </c>
      <c r="L5" s="4">
        <v>33</v>
      </c>
      <c r="M5" s="5">
        <f t="shared" si="0"/>
        <v>0.89189189189189189</v>
      </c>
      <c r="N5" s="2" t="s">
        <v>51</v>
      </c>
      <c r="O5" s="2" t="s">
        <v>37</v>
      </c>
      <c r="P5" s="2" t="s">
        <v>52</v>
      </c>
      <c r="Q5" s="2" t="s">
        <v>53</v>
      </c>
    </row>
    <row r="6" spans="1:17" x14ac:dyDescent="0.25">
      <c r="A6" s="2" t="s">
        <v>18</v>
      </c>
      <c r="B6" s="2" t="s">
        <v>19</v>
      </c>
      <c r="C6" s="2" t="s">
        <v>157</v>
      </c>
      <c r="D6" s="2" t="s">
        <v>88</v>
      </c>
      <c r="E6" s="2" t="s">
        <v>22</v>
      </c>
      <c r="F6" s="2" t="s">
        <v>154</v>
      </c>
      <c r="G6" s="3">
        <v>46113</v>
      </c>
      <c r="H6" s="3">
        <v>46203</v>
      </c>
      <c r="I6" s="2" t="s">
        <v>85</v>
      </c>
      <c r="J6" s="2" t="s">
        <v>89</v>
      </c>
      <c r="K6" s="4">
        <v>42</v>
      </c>
      <c r="L6" s="4">
        <v>34</v>
      </c>
      <c r="M6" s="5">
        <f t="shared" si="0"/>
        <v>0.80952380952380953</v>
      </c>
      <c r="N6" s="2" t="s">
        <v>26</v>
      </c>
      <c r="O6" s="2" t="s">
        <v>27</v>
      </c>
      <c r="P6" s="2" t="s">
        <v>52</v>
      </c>
      <c r="Q6" s="2" t="s">
        <v>53</v>
      </c>
    </row>
    <row r="7" spans="1:17" x14ac:dyDescent="0.25">
      <c r="A7" s="2" t="s">
        <v>30</v>
      </c>
      <c r="B7" s="2" t="s">
        <v>31</v>
      </c>
      <c r="C7" s="2" t="s">
        <v>158</v>
      </c>
      <c r="D7" s="2" t="s">
        <v>91</v>
      </c>
      <c r="E7" s="2" t="s">
        <v>34</v>
      </c>
      <c r="F7" s="2" t="s">
        <v>154</v>
      </c>
      <c r="G7" s="3">
        <v>46204</v>
      </c>
      <c r="H7" s="3">
        <v>46295</v>
      </c>
      <c r="I7" s="2" t="s">
        <v>85</v>
      </c>
      <c r="J7" s="2" t="s">
        <v>92</v>
      </c>
      <c r="K7" s="4">
        <v>47</v>
      </c>
      <c r="L7" s="4">
        <v>0</v>
      </c>
      <c r="M7" s="5">
        <f t="shared" si="0"/>
        <v>0</v>
      </c>
      <c r="N7" s="2" t="s">
        <v>36</v>
      </c>
      <c r="O7" s="2" t="s">
        <v>27</v>
      </c>
      <c r="P7" s="2" t="s">
        <v>93</v>
      </c>
      <c r="Q7" s="2" t="s">
        <v>94</v>
      </c>
    </row>
    <row r="8" spans="1:17" x14ac:dyDescent="0.25">
      <c r="A8" s="2" t="s">
        <v>38</v>
      </c>
      <c r="B8" s="2" t="s">
        <v>39</v>
      </c>
      <c r="C8" s="2" t="s">
        <v>159</v>
      </c>
      <c r="D8" s="2" t="s">
        <v>96</v>
      </c>
      <c r="E8" s="2" t="s">
        <v>42</v>
      </c>
      <c r="F8" s="2" t="s">
        <v>154</v>
      </c>
      <c r="G8" s="3">
        <v>46296</v>
      </c>
      <c r="H8" s="3">
        <v>46387</v>
      </c>
      <c r="I8" s="2" t="s">
        <v>85</v>
      </c>
      <c r="J8" s="2" t="s">
        <v>97</v>
      </c>
      <c r="K8" s="4">
        <v>52</v>
      </c>
      <c r="L8" s="4">
        <v>0</v>
      </c>
      <c r="M8" s="5">
        <f t="shared" si="0"/>
        <v>0</v>
      </c>
      <c r="N8" s="2" t="s">
        <v>44</v>
      </c>
      <c r="O8" s="2" t="s">
        <v>37</v>
      </c>
      <c r="P8" s="2" t="s">
        <v>93</v>
      </c>
      <c r="Q8" s="2" t="s">
        <v>94</v>
      </c>
    </row>
    <row r="9" spans="1:17" x14ac:dyDescent="0.25">
      <c r="A9" s="2"/>
      <c r="B9" s="2"/>
      <c r="C9" s="2"/>
      <c r="D9" s="2"/>
      <c r="E9" s="2"/>
      <c r="F9" s="2" t="s">
        <v>154</v>
      </c>
      <c r="G9" s="3"/>
      <c r="H9" s="3"/>
      <c r="I9" s="2"/>
      <c r="J9" s="2"/>
      <c r="K9" s="4"/>
      <c r="L9" s="4"/>
      <c r="M9" s="5" t="str">
        <f t="shared" si="0"/>
        <v/>
      </c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 t="s">
        <v>154</v>
      </c>
      <c r="G10" s="3"/>
      <c r="H10" s="3"/>
      <c r="I10" s="2"/>
      <c r="J10" s="2"/>
      <c r="K10" s="4"/>
      <c r="L10" s="4"/>
      <c r="M10" s="5" t="str">
        <f t="shared" si="0"/>
        <v/>
      </c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 t="s">
        <v>154</v>
      </c>
      <c r="G11" s="3"/>
      <c r="H11" s="3"/>
      <c r="I11" s="2"/>
      <c r="J11" s="2"/>
      <c r="K11" s="4"/>
      <c r="L11" s="4"/>
      <c r="M11" s="5" t="str">
        <f t="shared" si="0"/>
        <v/>
      </c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 t="s">
        <v>154</v>
      </c>
      <c r="G12" s="3"/>
      <c r="H12" s="3"/>
      <c r="I12" s="2"/>
      <c r="J12" s="2"/>
      <c r="K12" s="4"/>
      <c r="L12" s="4"/>
      <c r="M12" s="5" t="str">
        <f t="shared" si="0"/>
        <v/>
      </c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 t="s">
        <v>154</v>
      </c>
      <c r="G13" s="3"/>
      <c r="H13" s="3"/>
      <c r="I13" s="2"/>
      <c r="J13" s="2"/>
      <c r="K13" s="4"/>
      <c r="L13" s="4"/>
      <c r="M13" s="5" t="str">
        <f t="shared" si="0"/>
        <v/>
      </c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 t="s">
        <v>154</v>
      </c>
      <c r="G14" s="3"/>
      <c r="H14" s="3"/>
      <c r="I14" s="2"/>
      <c r="J14" s="2"/>
      <c r="K14" s="4"/>
      <c r="L14" s="4"/>
      <c r="M14" s="5" t="str">
        <f t="shared" si="0"/>
        <v/>
      </c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 t="s">
        <v>154</v>
      </c>
      <c r="G15" s="3"/>
      <c r="H15" s="3"/>
      <c r="I15" s="2"/>
      <c r="J15" s="2"/>
      <c r="K15" s="4"/>
      <c r="L15" s="4"/>
      <c r="M15" s="5" t="str">
        <f t="shared" si="0"/>
        <v/>
      </c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 t="s">
        <v>154</v>
      </c>
      <c r="G16" s="3"/>
      <c r="H16" s="3"/>
      <c r="I16" s="2"/>
      <c r="J16" s="2"/>
      <c r="K16" s="4"/>
      <c r="L16" s="4"/>
      <c r="M16" s="5" t="str">
        <f t="shared" si="0"/>
        <v/>
      </c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 t="s">
        <v>154</v>
      </c>
      <c r="G17" s="3"/>
      <c r="H17" s="3"/>
      <c r="I17" s="2"/>
      <c r="J17" s="2"/>
      <c r="K17" s="4"/>
      <c r="L17" s="4"/>
      <c r="M17" s="5" t="str">
        <f t="shared" si="0"/>
        <v/>
      </c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 t="s">
        <v>154</v>
      </c>
      <c r="G18" s="3"/>
      <c r="H18" s="3"/>
      <c r="I18" s="2"/>
      <c r="J18" s="2"/>
      <c r="K18" s="4"/>
      <c r="L18" s="4"/>
      <c r="M18" s="5" t="str">
        <f t="shared" si="0"/>
        <v/>
      </c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 t="s">
        <v>154</v>
      </c>
      <c r="G19" s="3"/>
      <c r="H19" s="3"/>
      <c r="I19" s="2"/>
      <c r="J19" s="2"/>
      <c r="K19" s="4"/>
      <c r="L19" s="4"/>
      <c r="M19" s="5" t="str">
        <f t="shared" si="0"/>
        <v/>
      </c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 t="s">
        <v>154</v>
      </c>
      <c r="G20" s="3"/>
      <c r="H20" s="3"/>
      <c r="I20" s="2"/>
      <c r="J20" s="2"/>
      <c r="K20" s="4"/>
      <c r="L20" s="4"/>
      <c r="M20" s="5" t="str">
        <f t="shared" si="0"/>
        <v/>
      </c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 t="s">
        <v>154</v>
      </c>
      <c r="G21" s="3"/>
      <c r="H21" s="3"/>
      <c r="I21" s="2"/>
      <c r="J21" s="2"/>
      <c r="K21" s="4"/>
      <c r="L21" s="4"/>
      <c r="M21" s="5" t="str">
        <f t="shared" si="0"/>
        <v/>
      </c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 t="s">
        <v>154</v>
      </c>
      <c r="G22" s="3"/>
      <c r="H22" s="3"/>
      <c r="I22" s="2"/>
      <c r="J22" s="2"/>
      <c r="K22" s="4"/>
      <c r="L22" s="4"/>
      <c r="M22" s="5" t="str">
        <f t="shared" si="0"/>
        <v/>
      </c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 t="s">
        <v>154</v>
      </c>
      <c r="G23" s="3"/>
      <c r="H23" s="3"/>
      <c r="I23" s="2"/>
      <c r="J23" s="2"/>
      <c r="K23" s="4"/>
      <c r="L23" s="4"/>
      <c r="M23" s="5" t="str">
        <f t="shared" si="0"/>
        <v/>
      </c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 t="s">
        <v>154</v>
      </c>
      <c r="G24" s="3"/>
      <c r="H24" s="3"/>
      <c r="I24" s="2"/>
      <c r="J24" s="2"/>
      <c r="K24" s="4"/>
      <c r="L24" s="4"/>
      <c r="M24" s="5" t="str">
        <f t="shared" si="0"/>
        <v/>
      </c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 t="s">
        <v>154</v>
      </c>
      <c r="G25" s="3"/>
      <c r="H25" s="3"/>
      <c r="I25" s="2"/>
      <c r="J25" s="2"/>
      <c r="K25" s="4"/>
      <c r="L25" s="4"/>
      <c r="M25" s="5" t="str">
        <f t="shared" si="0"/>
        <v/>
      </c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 t="s">
        <v>154</v>
      </c>
      <c r="G26" s="3"/>
      <c r="H26" s="3"/>
      <c r="I26" s="2"/>
      <c r="J26" s="2"/>
      <c r="K26" s="4"/>
      <c r="L26" s="4"/>
      <c r="M26" s="5" t="str">
        <f t="shared" si="0"/>
        <v/>
      </c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 t="s">
        <v>154</v>
      </c>
      <c r="G27" s="3"/>
      <c r="H27" s="3"/>
      <c r="I27" s="2"/>
      <c r="J27" s="2"/>
      <c r="K27" s="4"/>
      <c r="L27" s="4"/>
      <c r="M27" s="5" t="str">
        <f t="shared" si="0"/>
        <v/>
      </c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 t="s">
        <v>154</v>
      </c>
      <c r="G28" s="3"/>
      <c r="H28" s="3"/>
      <c r="I28" s="2"/>
      <c r="J28" s="2"/>
      <c r="K28" s="4"/>
      <c r="L28" s="4"/>
      <c r="M28" s="5" t="str">
        <f t="shared" si="0"/>
        <v/>
      </c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 t="s">
        <v>154</v>
      </c>
      <c r="G29" s="3"/>
      <c r="H29" s="3"/>
      <c r="I29" s="2"/>
      <c r="J29" s="2"/>
      <c r="K29" s="4"/>
      <c r="L29" s="4"/>
      <c r="M29" s="5" t="str">
        <f t="shared" si="0"/>
        <v/>
      </c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 t="s">
        <v>154</v>
      </c>
      <c r="G30" s="3"/>
      <c r="H30" s="3"/>
      <c r="I30" s="2"/>
      <c r="J30" s="2"/>
      <c r="K30" s="4"/>
      <c r="L30" s="4"/>
      <c r="M30" s="5" t="str">
        <f t="shared" si="0"/>
        <v/>
      </c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 t="s">
        <v>154</v>
      </c>
      <c r="G31" s="3"/>
      <c r="H31" s="3"/>
      <c r="I31" s="2"/>
      <c r="J31" s="2"/>
      <c r="K31" s="4"/>
      <c r="L31" s="4"/>
      <c r="M31" s="5" t="str">
        <f t="shared" si="0"/>
        <v/>
      </c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 t="s">
        <v>154</v>
      </c>
      <c r="G32" s="3"/>
      <c r="H32" s="3"/>
      <c r="I32" s="2"/>
      <c r="J32" s="2"/>
      <c r="K32" s="4"/>
      <c r="L32" s="4"/>
      <c r="M32" s="5" t="str">
        <f t="shared" si="0"/>
        <v/>
      </c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 t="s">
        <v>154</v>
      </c>
      <c r="G33" s="3"/>
      <c r="H33" s="3"/>
      <c r="I33" s="2"/>
      <c r="J33" s="2"/>
      <c r="K33" s="4"/>
      <c r="L33" s="4"/>
      <c r="M33" s="5" t="str">
        <f t="shared" si="0"/>
        <v/>
      </c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 t="s">
        <v>154</v>
      </c>
      <c r="G34" s="3"/>
      <c r="H34" s="3"/>
      <c r="I34" s="2"/>
      <c r="J34" s="2"/>
      <c r="K34" s="4"/>
      <c r="L34" s="4"/>
      <c r="M34" s="5" t="str">
        <f t="shared" si="0"/>
        <v/>
      </c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 t="s">
        <v>154</v>
      </c>
      <c r="G35" s="3"/>
      <c r="H35" s="3"/>
      <c r="I35" s="2"/>
      <c r="J35" s="2"/>
      <c r="K35" s="4"/>
      <c r="L35" s="4"/>
      <c r="M35" s="5" t="str">
        <f t="shared" ref="M35:M66" si="1">IF(OR(K35="",L35=""),"",IFERROR(L35/K35,0))</f>
        <v/>
      </c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 t="s">
        <v>154</v>
      </c>
      <c r="G36" s="3"/>
      <c r="H36" s="3"/>
      <c r="I36" s="2"/>
      <c r="J36" s="2"/>
      <c r="K36" s="4"/>
      <c r="L36" s="4"/>
      <c r="M36" s="5" t="str">
        <f t="shared" si="1"/>
        <v/>
      </c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 t="s">
        <v>154</v>
      </c>
      <c r="G37" s="3"/>
      <c r="H37" s="3"/>
      <c r="I37" s="2"/>
      <c r="J37" s="2"/>
      <c r="K37" s="4"/>
      <c r="L37" s="4"/>
      <c r="M37" s="5" t="str">
        <f t="shared" si="1"/>
        <v/>
      </c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 t="s">
        <v>154</v>
      </c>
      <c r="G38" s="3"/>
      <c r="H38" s="3"/>
      <c r="I38" s="2"/>
      <c r="J38" s="2"/>
      <c r="K38" s="4"/>
      <c r="L38" s="4"/>
      <c r="M38" s="5" t="str">
        <f t="shared" si="1"/>
        <v/>
      </c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 t="s">
        <v>154</v>
      </c>
      <c r="G39" s="3"/>
      <c r="H39" s="3"/>
      <c r="I39" s="2"/>
      <c r="J39" s="2"/>
      <c r="K39" s="4"/>
      <c r="L39" s="4"/>
      <c r="M39" s="5" t="str">
        <f t="shared" si="1"/>
        <v/>
      </c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 t="s">
        <v>154</v>
      </c>
      <c r="G40" s="3"/>
      <c r="H40" s="3"/>
      <c r="I40" s="2"/>
      <c r="J40" s="2"/>
      <c r="K40" s="4"/>
      <c r="L40" s="4"/>
      <c r="M40" s="5" t="str">
        <f t="shared" si="1"/>
        <v/>
      </c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 t="s">
        <v>154</v>
      </c>
      <c r="G41" s="3"/>
      <c r="H41" s="3"/>
      <c r="I41" s="2"/>
      <c r="J41" s="2"/>
      <c r="K41" s="4"/>
      <c r="L41" s="4"/>
      <c r="M41" s="5" t="str">
        <f t="shared" si="1"/>
        <v/>
      </c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 t="s">
        <v>154</v>
      </c>
      <c r="G42" s="3"/>
      <c r="H42" s="3"/>
      <c r="I42" s="2"/>
      <c r="J42" s="2"/>
      <c r="K42" s="4"/>
      <c r="L42" s="4"/>
      <c r="M42" s="5" t="str">
        <f t="shared" si="1"/>
        <v/>
      </c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 t="s">
        <v>154</v>
      </c>
      <c r="G43" s="3"/>
      <c r="H43" s="3"/>
      <c r="I43" s="2"/>
      <c r="J43" s="2"/>
      <c r="K43" s="4"/>
      <c r="L43" s="4"/>
      <c r="M43" s="5" t="str">
        <f t="shared" si="1"/>
        <v/>
      </c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 t="s">
        <v>154</v>
      </c>
      <c r="G44" s="3"/>
      <c r="H44" s="3"/>
      <c r="I44" s="2"/>
      <c r="J44" s="2"/>
      <c r="K44" s="4"/>
      <c r="L44" s="4"/>
      <c r="M44" s="5" t="str">
        <f t="shared" si="1"/>
        <v/>
      </c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 t="s">
        <v>154</v>
      </c>
      <c r="G45" s="3"/>
      <c r="H45" s="3"/>
      <c r="I45" s="2"/>
      <c r="J45" s="2"/>
      <c r="K45" s="4"/>
      <c r="L45" s="4"/>
      <c r="M45" s="5" t="str">
        <f t="shared" si="1"/>
        <v/>
      </c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 t="s">
        <v>154</v>
      </c>
      <c r="G46" s="3"/>
      <c r="H46" s="3"/>
      <c r="I46" s="2"/>
      <c r="J46" s="2"/>
      <c r="K46" s="4"/>
      <c r="L46" s="4"/>
      <c r="M46" s="5" t="str">
        <f t="shared" si="1"/>
        <v/>
      </c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 t="s">
        <v>154</v>
      </c>
      <c r="G47" s="3"/>
      <c r="H47" s="3"/>
      <c r="I47" s="2"/>
      <c r="J47" s="2"/>
      <c r="K47" s="4"/>
      <c r="L47" s="4"/>
      <c r="M47" s="5" t="str">
        <f t="shared" si="1"/>
        <v/>
      </c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 t="s">
        <v>154</v>
      </c>
      <c r="G48" s="3"/>
      <c r="H48" s="3"/>
      <c r="I48" s="2"/>
      <c r="J48" s="2"/>
      <c r="K48" s="4"/>
      <c r="L48" s="4"/>
      <c r="M48" s="5" t="str">
        <f t="shared" si="1"/>
        <v/>
      </c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 t="s">
        <v>154</v>
      </c>
      <c r="G49" s="3"/>
      <c r="H49" s="3"/>
      <c r="I49" s="2"/>
      <c r="J49" s="2"/>
      <c r="K49" s="4"/>
      <c r="L49" s="4"/>
      <c r="M49" s="5" t="str">
        <f t="shared" si="1"/>
        <v/>
      </c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 t="s">
        <v>154</v>
      </c>
      <c r="G50" s="3"/>
      <c r="H50" s="3"/>
      <c r="I50" s="2"/>
      <c r="J50" s="2"/>
      <c r="K50" s="4"/>
      <c r="L50" s="4"/>
      <c r="M50" s="5" t="str">
        <f t="shared" si="1"/>
        <v/>
      </c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 t="s">
        <v>154</v>
      </c>
      <c r="G51" s="3"/>
      <c r="H51" s="3"/>
      <c r="I51" s="2"/>
      <c r="J51" s="2"/>
      <c r="K51" s="4"/>
      <c r="L51" s="4"/>
      <c r="M51" s="5" t="str">
        <f t="shared" si="1"/>
        <v/>
      </c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 t="s">
        <v>154</v>
      </c>
      <c r="G52" s="3"/>
      <c r="H52" s="3"/>
      <c r="I52" s="2"/>
      <c r="J52" s="2"/>
      <c r="K52" s="4"/>
      <c r="L52" s="4"/>
      <c r="M52" s="5" t="str">
        <f t="shared" si="1"/>
        <v/>
      </c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 t="s">
        <v>154</v>
      </c>
      <c r="G53" s="3"/>
      <c r="H53" s="3"/>
      <c r="I53" s="2"/>
      <c r="J53" s="2"/>
      <c r="K53" s="4"/>
      <c r="L53" s="4"/>
      <c r="M53" s="5" t="str">
        <f t="shared" si="1"/>
        <v/>
      </c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 t="s">
        <v>154</v>
      </c>
      <c r="G54" s="3"/>
      <c r="H54" s="3"/>
      <c r="I54" s="2"/>
      <c r="J54" s="2"/>
      <c r="K54" s="4"/>
      <c r="L54" s="4"/>
      <c r="M54" s="5" t="str">
        <f t="shared" si="1"/>
        <v/>
      </c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 t="s">
        <v>154</v>
      </c>
      <c r="G55" s="3"/>
      <c r="H55" s="3"/>
      <c r="I55" s="2"/>
      <c r="J55" s="2"/>
      <c r="K55" s="4"/>
      <c r="L55" s="4"/>
      <c r="M55" s="5" t="str">
        <f t="shared" si="1"/>
        <v/>
      </c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 t="s">
        <v>154</v>
      </c>
      <c r="G56" s="3"/>
      <c r="H56" s="3"/>
      <c r="I56" s="2"/>
      <c r="J56" s="2"/>
      <c r="K56" s="4"/>
      <c r="L56" s="4"/>
      <c r="M56" s="5" t="str">
        <f t="shared" si="1"/>
        <v/>
      </c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 t="s">
        <v>154</v>
      </c>
      <c r="G57" s="3"/>
      <c r="H57" s="3"/>
      <c r="I57" s="2"/>
      <c r="J57" s="2"/>
      <c r="K57" s="4"/>
      <c r="L57" s="4"/>
      <c r="M57" s="5" t="str">
        <f t="shared" si="1"/>
        <v/>
      </c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 t="s">
        <v>154</v>
      </c>
      <c r="G58" s="3"/>
      <c r="H58" s="3"/>
      <c r="I58" s="2"/>
      <c r="J58" s="2"/>
      <c r="K58" s="4"/>
      <c r="L58" s="4"/>
      <c r="M58" s="5" t="str">
        <f t="shared" si="1"/>
        <v/>
      </c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 t="s">
        <v>154</v>
      </c>
      <c r="G59" s="3"/>
      <c r="H59" s="3"/>
      <c r="I59" s="2"/>
      <c r="J59" s="2"/>
      <c r="K59" s="4"/>
      <c r="L59" s="4"/>
      <c r="M59" s="5" t="str">
        <f t="shared" si="1"/>
        <v/>
      </c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 t="s">
        <v>154</v>
      </c>
      <c r="G60" s="3"/>
      <c r="H60" s="3"/>
      <c r="I60" s="2"/>
      <c r="J60" s="2"/>
      <c r="K60" s="4"/>
      <c r="L60" s="4"/>
      <c r="M60" s="5" t="str">
        <f t="shared" si="1"/>
        <v/>
      </c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 t="s">
        <v>154</v>
      </c>
      <c r="G61" s="3"/>
      <c r="H61" s="3"/>
      <c r="I61" s="2"/>
      <c r="J61" s="2"/>
      <c r="K61" s="4"/>
      <c r="L61" s="4"/>
      <c r="M61" s="5" t="str">
        <f t="shared" si="1"/>
        <v/>
      </c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 t="s">
        <v>154</v>
      </c>
      <c r="G62" s="3"/>
      <c r="H62" s="3"/>
      <c r="I62" s="2"/>
      <c r="J62" s="2"/>
      <c r="K62" s="4"/>
      <c r="L62" s="4"/>
      <c r="M62" s="5" t="str">
        <f t="shared" si="1"/>
        <v/>
      </c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 t="s">
        <v>154</v>
      </c>
      <c r="G63" s="3"/>
      <c r="H63" s="3"/>
      <c r="I63" s="2"/>
      <c r="J63" s="2"/>
      <c r="K63" s="4"/>
      <c r="L63" s="4"/>
      <c r="M63" s="5" t="str">
        <f t="shared" si="1"/>
        <v/>
      </c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 t="s">
        <v>154</v>
      </c>
      <c r="G64" s="3"/>
      <c r="H64" s="3"/>
      <c r="I64" s="2"/>
      <c r="J64" s="2"/>
      <c r="K64" s="4"/>
      <c r="L64" s="4"/>
      <c r="M64" s="5" t="str">
        <f t="shared" si="1"/>
        <v/>
      </c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 t="s">
        <v>154</v>
      </c>
      <c r="G65" s="3"/>
      <c r="H65" s="3"/>
      <c r="I65" s="2"/>
      <c r="J65" s="2"/>
      <c r="K65" s="4"/>
      <c r="L65" s="4"/>
      <c r="M65" s="5" t="str">
        <f t="shared" si="1"/>
        <v/>
      </c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 t="s">
        <v>154</v>
      </c>
      <c r="G66" s="3"/>
      <c r="H66" s="3"/>
      <c r="I66" s="2"/>
      <c r="J66" s="2"/>
      <c r="K66" s="4"/>
      <c r="L66" s="4"/>
      <c r="M66" s="5" t="str">
        <f t="shared" si="1"/>
        <v/>
      </c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 t="s">
        <v>154</v>
      </c>
      <c r="G67" s="3"/>
      <c r="H67" s="3"/>
      <c r="I67" s="2"/>
      <c r="J67" s="2"/>
      <c r="K67" s="4"/>
      <c r="L67" s="4"/>
      <c r="M67" s="5" t="str">
        <f t="shared" ref="M67:M98" si="2">IF(OR(K67="",L67=""),"",IFERROR(L67/K67,0))</f>
        <v/>
      </c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 t="s">
        <v>154</v>
      </c>
      <c r="G68" s="3"/>
      <c r="H68" s="3"/>
      <c r="I68" s="2"/>
      <c r="J68" s="2"/>
      <c r="K68" s="4"/>
      <c r="L68" s="4"/>
      <c r="M68" s="5" t="str">
        <f t="shared" si="2"/>
        <v/>
      </c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 t="s">
        <v>154</v>
      </c>
      <c r="G69" s="3"/>
      <c r="H69" s="3"/>
      <c r="I69" s="2"/>
      <c r="J69" s="2"/>
      <c r="K69" s="4"/>
      <c r="L69" s="4"/>
      <c r="M69" s="5" t="str">
        <f t="shared" si="2"/>
        <v/>
      </c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 t="s">
        <v>154</v>
      </c>
      <c r="G70" s="3"/>
      <c r="H70" s="3"/>
      <c r="I70" s="2"/>
      <c r="J70" s="2"/>
      <c r="K70" s="4"/>
      <c r="L70" s="4"/>
      <c r="M70" s="5" t="str">
        <f t="shared" si="2"/>
        <v/>
      </c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 t="s">
        <v>154</v>
      </c>
      <c r="G71" s="3"/>
      <c r="H71" s="3"/>
      <c r="I71" s="2"/>
      <c r="J71" s="2"/>
      <c r="K71" s="4"/>
      <c r="L71" s="4"/>
      <c r="M71" s="5" t="str">
        <f t="shared" si="2"/>
        <v/>
      </c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 t="s">
        <v>154</v>
      </c>
      <c r="G72" s="3"/>
      <c r="H72" s="3"/>
      <c r="I72" s="2"/>
      <c r="J72" s="2"/>
      <c r="K72" s="4"/>
      <c r="L72" s="4"/>
      <c r="M72" s="5" t="str">
        <f t="shared" si="2"/>
        <v/>
      </c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 t="s">
        <v>154</v>
      </c>
      <c r="G73" s="3"/>
      <c r="H73" s="3"/>
      <c r="I73" s="2"/>
      <c r="J73" s="2"/>
      <c r="K73" s="4"/>
      <c r="L73" s="4"/>
      <c r="M73" s="5" t="str">
        <f t="shared" si="2"/>
        <v/>
      </c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 t="s">
        <v>154</v>
      </c>
      <c r="G74" s="3"/>
      <c r="H74" s="3"/>
      <c r="I74" s="2"/>
      <c r="J74" s="2"/>
      <c r="K74" s="4"/>
      <c r="L74" s="4"/>
      <c r="M74" s="5" t="str">
        <f t="shared" si="2"/>
        <v/>
      </c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 t="s">
        <v>154</v>
      </c>
      <c r="G75" s="3"/>
      <c r="H75" s="3"/>
      <c r="I75" s="2"/>
      <c r="J75" s="2"/>
      <c r="K75" s="4"/>
      <c r="L75" s="4"/>
      <c r="M75" s="5" t="str">
        <f t="shared" si="2"/>
        <v/>
      </c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 t="s">
        <v>154</v>
      </c>
      <c r="G76" s="3"/>
      <c r="H76" s="3"/>
      <c r="I76" s="2"/>
      <c r="J76" s="2"/>
      <c r="K76" s="4"/>
      <c r="L76" s="4"/>
      <c r="M76" s="5" t="str">
        <f t="shared" si="2"/>
        <v/>
      </c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 t="s">
        <v>154</v>
      </c>
      <c r="G77" s="3"/>
      <c r="H77" s="3"/>
      <c r="I77" s="2"/>
      <c r="J77" s="2"/>
      <c r="K77" s="4"/>
      <c r="L77" s="4"/>
      <c r="M77" s="5" t="str">
        <f t="shared" si="2"/>
        <v/>
      </c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 t="s">
        <v>154</v>
      </c>
      <c r="G78" s="3"/>
      <c r="H78" s="3"/>
      <c r="I78" s="2"/>
      <c r="J78" s="2"/>
      <c r="K78" s="4"/>
      <c r="L78" s="4"/>
      <c r="M78" s="5" t="str">
        <f t="shared" si="2"/>
        <v/>
      </c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 t="s">
        <v>154</v>
      </c>
      <c r="G79" s="3"/>
      <c r="H79" s="3"/>
      <c r="I79" s="2"/>
      <c r="J79" s="2"/>
      <c r="K79" s="4"/>
      <c r="L79" s="4"/>
      <c r="M79" s="5" t="str">
        <f t="shared" si="2"/>
        <v/>
      </c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 t="s">
        <v>154</v>
      </c>
      <c r="G80" s="3"/>
      <c r="H80" s="3"/>
      <c r="I80" s="2"/>
      <c r="J80" s="2"/>
      <c r="K80" s="4"/>
      <c r="L80" s="4"/>
      <c r="M80" s="5" t="str">
        <f t="shared" si="2"/>
        <v/>
      </c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 t="s">
        <v>154</v>
      </c>
      <c r="G81" s="3"/>
      <c r="H81" s="3"/>
      <c r="I81" s="2"/>
      <c r="J81" s="2"/>
      <c r="K81" s="4"/>
      <c r="L81" s="4"/>
      <c r="M81" s="5" t="str">
        <f t="shared" si="2"/>
        <v/>
      </c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 t="s">
        <v>154</v>
      </c>
      <c r="G82" s="3"/>
      <c r="H82" s="3"/>
      <c r="I82" s="2"/>
      <c r="J82" s="2"/>
      <c r="K82" s="4"/>
      <c r="L82" s="4"/>
      <c r="M82" s="5" t="str">
        <f t="shared" si="2"/>
        <v/>
      </c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 t="s">
        <v>154</v>
      </c>
      <c r="G83" s="3"/>
      <c r="H83" s="3"/>
      <c r="I83" s="2"/>
      <c r="J83" s="2"/>
      <c r="K83" s="4"/>
      <c r="L83" s="4"/>
      <c r="M83" s="5" t="str">
        <f t="shared" si="2"/>
        <v/>
      </c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 t="s">
        <v>154</v>
      </c>
      <c r="G84" s="3"/>
      <c r="H84" s="3"/>
      <c r="I84" s="2"/>
      <c r="J84" s="2"/>
      <c r="K84" s="4"/>
      <c r="L84" s="4"/>
      <c r="M84" s="5" t="str">
        <f t="shared" si="2"/>
        <v/>
      </c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 t="s">
        <v>154</v>
      </c>
      <c r="G85" s="3"/>
      <c r="H85" s="3"/>
      <c r="I85" s="2"/>
      <c r="J85" s="2"/>
      <c r="K85" s="4"/>
      <c r="L85" s="4"/>
      <c r="M85" s="5" t="str">
        <f t="shared" si="2"/>
        <v/>
      </c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 t="s">
        <v>154</v>
      </c>
      <c r="G86" s="3"/>
      <c r="H86" s="3"/>
      <c r="I86" s="2"/>
      <c r="J86" s="2"/>
      <c r="K86" s="4"/>
      <c r="L86" s="4"/>
      <c r="M86" s="5" t="str">
        <f t="shared" si="2"/>
        <v/>
      </c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 t="s">
        <v>154</v>
      </c>
      <c r="G87" s="3"/>
      <c r="H87" s="3"/>
      <c r="I87" s="2"/>
      <c r="J87" s="2"/>
      <c r="K87" s="4"/>
      <c r="L87" s="4"/>
      <c r="M87" s="5" t="str">
        <f t="shared" si="2"/>
        <v/>
      </c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 t="s">
        <v>154</v>
      </c>
      <c r="G88" s="3"/>
      <c r="H88" s="3"/>
      <c r="I88" s="2"/>
      <c r="J88" s="2"/>
      <c r="K88" s="4"/>
      <c r="L88" s="4"/>
      <c r="M88" s="5" t="str">
        <f t="shared" si="2"/>
        <v/>
      </c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 t="s">
        <v>154</v>
      </c>
      <c r="G89" s="3"/>
      <c r="H89" s="3"/>
      <c r="I89" s="2"/>
      <c r="J89" s="2"/>
      <c r="K89" s="4"/>
      <c r="L89" s="4"/>
      <c r="M89" s="5" t="str">
        <f t="shared" si="2"/>
        <v/>
      </c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 t="s">
        <v>154</v>
      </c>
      <c r="G90" s="3"/>
      <c r="H90" s="3"/>
      <c r="I90" s="2"/>
      <c r="J90" s="2"/>
      <c r="K90" s="4"/>
      <c r="L90" s="4"/>
      <c r="M90" s="5" t="str">
        <f t="shared" si="2"/>
        <v/>
      </c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 t="s">
        <v>154</v>
      </c>
      <c r="G91" s="3"/>
      <c r="H91" s="3"/>
      <c r="I91" s="2"/>
      <c r="J91" s="2"/>
      <c r="K91" s="4"/>
      <c r="L91" s="4"/>
      <c r="M91" s="5" t="str">
        <f t="shared" si="2"/>
        <v/>
      </c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 t="s">
        <v>154</v>
      </c>
      <c r="G92" s="3"/>
      <c r="H92" s="3"/>
      <c r="I92" s="2"/>
      <c r="J92" s="2"/>
      <c r="K92" s="4"/>
      <c r="L92" s="4"/>
      <c r="M92" s="5" t="str">
        <f t="shared" si="2"/>
        <v/>
      </c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 t="s">
        <v>154</v>
      </c>
      <c r="G93" s="3"/>
      <c r="H93" s="3"/>
      <c r="I93" s="2"/>
      <c r="J93" s="2"/>
      <c r="K93" s="4"/>
      <c r="L93" s="4"/>
      <c r="M93" s="5" t="str">
        <f t="shared" si="2"/>
        <v/>
      </c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 t="s">
        <v>154</v>
      </c>
      <c r="G94" s="3"/>
      <c r="H94" s="3"/>
      <c r="I94" s="2"/>
      <c r="J94" s="2"/>
      <c r="K94" s="4"/>
      <c r="L94" s="4"/>
      <c r="M94" s="5" t="str">
        <f t="shared" si="2"/>
        <v/>
      </c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 t="s">
        <v>154</v>
      </c>
      <c r="G95" s="3"/>
      <c r="H95" s="3"/>
      <c r="I95" s="2"/>
      <c r="J95" s="2"/>
      <c r="K95" s="4"/>
      <c r="L95" s="4"/>
      <c r="M95" s="5" t="str">
        <f t="shared" si="2"/>
        <v/>
      </c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 t="s">
        <v>154</v>
      </c>
      <c r="G96" s="3"/>
      <c r="H96" s="3"/>
      <c r="I96" s="2"/>
      <c r="J96" s="2"/>
      <c r="K96" s="4"/>
      <c r="L96" s="4"/>
      <c r="M96" s="5" t="str">
        <f t="shared" si="2"/>
        <v/>
      </c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 t="s">
        <v>154</v>
      </c>
      <c r="G97" s="3"/>
      <c r="H97" s="3"/>
      <c r="I97" s="2"/>
      <c r="J97" s="2"/>
      <c r="K97" s="4"/>
      <c r="L97" s="4"/>
      <c r="M97" s="5" t="str">
        <f t="shared" si="2"/>
        <v/>
      </c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 t="s">
        <v>154</v>
      </c>
      <c r="G98" s="3"/>
      <c r="H98" s="3"/>
      <c r="I98" s="2"/>
      <c r="J98" s="2"/>
      <c r="K98" s="4"/>
      <c r="L98" s="4"/>
      <c r="M98" s="5" t="str">
        <f t="shared" si="2"/>
        <v/>
      </c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 t="s">
        <v>154</v>
      </c>
      <c r="G99" s="3"/>
      <c r="H99" s="3"/>
      <c r="I99" s="2"/>
      <c r="J99" s="2"/>
      <c r="K99" s="4"/>
      <c r="L99" s="4"/>
      <c r="M99" s="5" t="str">
        <f t="shared" ref="M99:M130" si="3">IF(OR(K99="",L99=""),"",IFERROR(L99/K99,0))</f>
        <v/>
      </c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 t="s">
        <v>154</v>
      </c>
      <c r="G100" s="3"/>
      <c r="H100" s="3"/>
      <c r="I100" s="2"/>
      <c r="J100" s="2"/>
      <c r="K100" s="4"/>
      <c r="L100" s="4"/>
      <c r="M100" s="5" t="str">
        <f t="shared" si="3"/>
        <v/>
      </c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 t="s">
        <v>154</v>
      </c>
      <c r="G101" s="3"/>
      <c r="H101" s="3"/>
      <c r="I101" s="2"/>
      <c r="J101" s="2"/>
      <c r="K101" s="4"/>
      <c r="L101" s="4"/>
      <c r="M101" s="5" t="str">
        <f t="shared" si="3"/>
        <v/>
      </c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 t="s">
        <v>154</v>
      </c>
      <c r="G102" s="3"/>
      <c r="H102" s="3"/>
      <c r="I102" s="2"/>
      <c r="J102" s="2"/>
      <c r="K102" s="4"/>
      <c r="L102" s="4"/>
      <c r="M102" s="5" t="str">
        <f t="shared" si="3"/>
        <v/>
      </c>
      <c r="N102" s="2"/>
      <c r="O102" s="2"/>
      <c r="P102" s="2"/>
      <c r="Q102" s="2"/>
    </row>
    <row r="105" spans="1:17" x14ac:dyDescent="0.25">
      <c r="A105" s="20" t="s">
        <v>61</v>
      </c>
      <c r="B105" s="21"/>
      <c r="C105" s="21"/>
      <c r="D105" s="21"/>
      <c r="E105" s="21"/>
      <c r="F105" s="21"/>
      <c r="G105" s="21"/>
    </row>
    <row r="106" spans="1:17" ht="30" x14ac:dyDescent="0.25">
      <c r="A106" s="1" t="s">
        <v>3</v>
      </c>
      <c r="B106" s="1" t="s">
        <v>1</v>
      </c>
      <c r="C106" s="1" t="s">
        <v>62</v>
      </c>
      <c r="D106" s="1" t="s">
        <v>63</v>
      </c>
      <c r="E106" s="1" t="s">
        <v>64</v>
      </c>
      <c r="F106" s="1" t="s">
        <v>65</v>
      </c>
      <c r="G106" s="1" t="s">
        <v>66</v>
      </c>
    </row>
    <row r="107" spans="1:17" x14ac:dyDescent="0.25">
      <c r="A107" s="2" t="s">
        <v>156</v>
      </c>
      <c r="B107" s="2" t="s">
        <v>45</v>
      </c>
      <c r="C107" s="2" t="s">
        <v>118</v>
      </c>
      <c r="D107" s="2" t="s">
        <v>160</v>
      </c>
      <c r="E107" s="3">
        <v>46126</v>
      </c>
      <c r="F107" s="2" t="s">
        <v>73</v>
      </c>
      <c r="G107" s="2" t="s">
        <v>161</v>
      </c>
    </row>
    <row r="108" spans="1:17" x14ac:dyDescent="0.25">
      <c r="A108" s="2" t="s">
        <v>159</v>
      </c>
      <c r="B108" s="2" t="s">
        <v>38</v>
      </c>
      <c r="C108" s="2" t="s">
        <v>162</v>
      </c>
      <c r="D108" s="2" t="s">
        <v>163</v>
      </c>
      <c r="E108" s="3"/>
      <c r="F108" s="2" t="s">
        <v>138</v>
      </c>
      <c r="G108" s="2" t="s">
        <v>164</v>
      </c>
    </row>
    <row r="109" spans="1:17" x14ac:dyDescent="0.25">
      <c r="A109" s="2"/>
      <c r="B109" s="2"/>
      <c r="C109" s="2"/>
      <c r="D109" s="2"/>
      <c r="E109" s="3"/>
      <c r="F109" s="2"/>
      <c r="G109" s="2"/>
    </row>
    <row r="110" spans="1:17" x14ac:dyDescent="0.25">
      <c r="A110" s="2"/>
      <c r="B110" s="2"/>
      <c r="C110" s="2"/>
      <c r="D110" s="2"/>
      <c r="E110" s="3"/>
      <c r="F110" s="2"/>
      <c r="G110" s="2"/>
    </row>
    <row r="111" spans="1:17" x14ac:dyDescent="0.25">
      <c r="A111" s="2"/>
      <c r="B111" s="2"/>
      <c r="C111" s="2"/>
      <c r="D111" s="2"/>
      <c r="E111" s="3"/>
      <c r="F111" s="2"/>
      <c r="G111" s="2"/>
    </row>
    <row r="112" spans="1:17" x14ac:dyDescent="0.25">
      <c r="A112" s="2"/>
      <c r="B112" s="2"/>
      <c r="C112" s="2"/>
      <c r="D112" s="2"/>
      <c r="E112" s="3"/>
      <c r="F112" s="2"/>
      <c r="G112" s="2"/>
    </row>
    <row r="113" spans="1:7" x14ac:dyDescent="0.25">
      <c r="A113" s="2"/>
      <c r="B113" s="2"/>
      <c r="C113" s="2"/>
      <c r="D113" s="2"/>
      <c r="E113" s="3"/>
      <c r="F113" s="2"/>
      <c r="G113" s="2"/>
    </row>
    <row r="114" spans="1:7" x14ac:dyDescent="0.25">
      <c r="A114" s="2"/>
      <c r="B114" s="2"/>
      <c r="C114" s="2"/>
      <c r="D114" s="2"/>
      <c r="E114" s="3"/>
      <c r="F114" s="2"/>
      <c r="G114" s="2"/>
    </row>
    <row r="115" spans="1:7" x14ac:dyDescent="0.25">
      <c r="A115" s="2"/>
      <c r="B115" s="2"/>
      <c r="C115" s="2"/>
      <c r="D115" s="2"/>
      <c r="E115" s="3"/>
      <c r="F115" s="2"/>
      <c r="G115" s="2"/>
    </row>
    <row r="116" spans="1:7" x14ac:dyDescent="0.25">
      <c r="A116" s="2"/>
      <c r="B116" s="2"/>
      <c r="C116" s="2"/>
      <c r="D116" s="2"/>
      <c r="E116" s="3"/>
      <c r="F116" s="2"/>
      <c r="G116" s="2"/>
    </row>
    <row r="117" spans="1:7" x14ac:dyDescent="0.25">
      <c r="A117" s="2"/>
      <c r="B117" s="2"/>
      <c r="C117" s="2"/>
      <c r="D117" s="2"/>
      <c r="E117" s="3"/>
      <c r="F117" s="2"/>
      <c r="G117" s="2"/>
    </row>
    <row r="118" spans="1:7" x14ac:dyDescent="0.25">
      <c r="A118" s="2"/>
      <c r="B118" s="2"/>
      <c r="C118" s="2"/>
      <c r="D118" s="2"/>
      <c r="E118" s="3"/>
      <c r="F118" s="2"/>
      <c r="G118" s="2"/>
    </row>
    <row r="119" spans="1:7" x14ac:dyDescent="0.25">
      <c r="A119" s="2"/>
      <c r="B119" s="2"/>
      <c r="C119" s="2"/>
      <c r="D119" s="2"/>
      <c r="E119" s="3"/>
      <c r="F119" s="2"/>
      <c r="G119" s="2"/>
    </row>
    <row r="120" spans="1:7" x14ac:dyDescent="0.25">
      <c r="A120" s="2"/>
      <c r="B120" s="2"/>
      <c r="C120" s="2"/>
      <c r="D120" s="2"/>
      <c r="E120" s="3"/>
      <c r="F120" s="2"/>
      <c r="G120" s="2"/>
    </row>
    <row r="121" spans="1:7" x14ac:dyDescent="0.25">
      <c r="A121" s="2"/>
      <c r="B121" s="2"/>
      <c r="C121" s="2"/>
      <c r="D121" s="2"/>
      <c r="E121" s="3"/>
      <c r="F121" s="2"/>
      <c r="G121" s="2"/>
    </row>
    <row r="122" spans="1:7" x14ac:dyDescent="0.25">
      <c r="A122" s="2"/>
      <c r="B122" s="2"/>
      <c r="C122" s="2"/>
      <c r="D122" s="2"/>
      <c r="E122" s="3"/>
      <c r="F122" s="2"/>
      <c r="G122" s="2"/>
    </row>
    <row r="123" spans="1:7" x14ac:dyDescent="0.25">
      <c r="A123" s="2"/>
      <c r="B123" s="2"/>
      <c r="C123" s="2"/>
      <c r="D123" s="2"/>
      <c r="E123" s="3"/>
      <c r="F123" s="2"/>
      <c r="G123" s="2"/>
    </row>
    <row r="124" spans="1:7" x14ac:dyDescent="0.25">
      <c r="A124" s="2"/>
      <c r="B124" s="2"/>
      <c r="C124" s="2"/>
      <c r="D124" s="2"/>
      <c r="E124" s="3"/>
      <c r="F124" s="2"/>
      <c r="G124" s="2"/>
    </row>
    <row r="125" spans="1:7" x14ac:dyDescent="0.25">
      <c r="A125" s="2"/>
      <c r="B125" s="2"/>
      <c r="C125" s="2"/>
      <c r="D125" s="2"/>
      <c r="E125" s="3"/>
      <c r="F125" s="2"/>
      <c r="G125" s="2"/>
    </row>
    <row r="126" spans="1:7" x14ac:dyDescent="0.25">
      <c r="A126" s="2"/>
      <c r="B126" s="2"/>
      <c r="C126" s="2"/>
      <c r="D126" s="2"/>
      <c r="E126" s="3"/>
      <c r="F126" s="2"/>
      <c r="G126" s="2"/>
    </row>
    <row r="127" spans="1:7" x14ac:dyDescent="0.25">
      <c r="A127" s="2"/>
      <c r="B127" s="2"/>
      <c r="C127" s="2"/>
      <c r="D127" s="2"/>
      <c r="E127" s="3"/>
      <c r="F127" s="2"/>
      <c r="G127" s="2"/>
    </row>
    <row r="128" spans="1:7" x14ac:dyDescent="0.25">
      <c r="A128" s="2"/>
      <c r="B128" s="2"/>
      <c r="C128" s="2"/>
      <c r="D128" s="2"/>
      <c r="E128" s="3"/>
      <c r="F128" s="2"/>
      <c r="G128" s="2"/>
    </row>
    <row r="129" spans="1:7" x14ac:dyDescent="0.25">
      <c r="A129" s="2"/>
      <c r="B129" s="2"/>
      <c r="C129" s="2"/>
      <c r="D129" s="2"/>
      <c r="E129" s="3"/>
      <c r="F129" s="2"/>
      <c r="G129" s="2"/>
    </row>
    <row r="130" spans="1:7" x14ac:dyDescent="0.25">
      <c r="A130" s="2"/>
      <c r="B130" s="2"/>
      <c r="C130" s="2"/>
      <c r="D130" s="2"/>
      <c r="E130" s="3"/>
      <c r="F130" s="2"/>
      <c r="G130" s="2"/>
    </row>
    <row r="131" spans="1:7" x14ac:dyDescent="0.25">
      <c r="A131" s="2"/>
      <c r="B131" s="2"/>
      <c r="C131" s="2"/>
      <c r="D131" s="2"/>
      <c r="E131" s="3"/>
      <c r="F131" s="2"/>
      <c r="G131" s="2"/>
    </row>
    <row r="132" spans="1:7" x14ac:dyDescent="0.25">
      <c r="A132" s="2"/>
      <c r="B132" s="2"/>
      <c r="C132" s="2"/>
      <c r="D132" s="2"/>
      <c r="E132" s="3"/>
      <c r="F132" s="2"/>
      <c r="G132" s="2"/>
    </row>
    <row r="133" spans="1:7" x14ac:dyDescent="0.25">
      <c r="A133" s="2"/>
      <c r="B133" s="2"/>
      <c r="C133" s="2"/>
      <c r="D133" s="2"/>
      <c r="E133" s="3"/>
      <c r="F133" s="2"/>
      <c r="G133" s="2"/>
    </row>
    <row r="134" spans="1:7" x14ac:dyDescent="0.25">
      <c r="A134" s="2"/>
      <c r="B134" s="2"/>
      <c r="C134" s="2"/>
      <c r="D134" s="2"/>
      <c r="E134" s="3"/>
      <c r="F134" s="2"/>
      <c r="G134" s="2"/>
    </row>
    <row r="135" spans="1:7" x14ac:dyDescent="0.25">
      <c r="A135" s="2"/>
      <c r="B135" s="2"/>
      <c r="C135" s="2"/>
      <c r="D135" s="2"/>
      <c r="E135" s="3"/>
      <c r="F135" s="2"/>
      <c r="G135" s="2"/>
    </row>
    <row r="136" spans="1:7" x14ac:dyDescent="0.25">
      <c r="A136" s="2"/>
      <c r="B136" s="2"/>
      <c r="C136" s="2"/>
      <c r="D136" s="2"/>
      <c r="E136" s="3"/>
      <c r="F136" s="2"/>
      <c r="G136" s="2"/>
    </row>
    <row r="137" spans="1:7" x14ac:dyDescent="0.25">
      <c r="A137" s="2"/>
      <c r="B137" s="2"/>
      <c r="C137" s="2"/>
      <c r="D137" s="2"/>
      <c r="E137" s="3"/>
      <c r="F137" s="2"/>
      <c r="G137" s="2"/>
    </row>
    <row r="138" spans="1:7" x14ac:dyDescent="0.25">
      <c r="A138" s="2"/>
      <c r="B138" s="2"/>
      <c r="C138" s="2"/>
      <c r="D138" s="2"/>
      <c r="E138" s="3"/>
      <c r="F138" s="2"/>
      <c r="G138" s="2"/>
    </row>
    <row r="139" spans="1:7" x14ac:dyDescent="0.25">
      <c r="A139" s="2"/>
      <c r="B139" s="2"/>
      <c r="C139" s="2"/>
      <c r="D139" s="2"/>
      <c r="E139" s="3"/>
      <c r="F139" s="2"/>
      <c r="G139" s="2"/>
    </row>
    <row r="140" spans="1:7" x14ac:dyDescent="0.25">
      <c r="A140" s="2"/>
      <c r="B140" s="2"/>
      <c r="C140" s="2"/>
      <c r="D140" s="2"/>
      <c r="E140" s="3"/>
      <c r="F140" s="2"/>
      <c r="G140" s="2"/>
    </row>
    <row r="141" spans="1:7" x14ac:dyDescent="0.25">
      <c r="A141" s="2"/>
      <c r="B141" s="2"/>
      <c r="C141" s="2"/>
      <c r="D141" s="2"/>
      <c r="E141" s="3"/>
      <c r="F141" s="2"/>
      <c r="G141" s="2"/>
    </row>
    <row r="142" spans="1:7" x14ac:dyDescent="0.25">
      <c r="A142" s="2"/>
      <c r="B142" s="2"/>
      <c r="C142" s="2"/>
      <c r="D142" s="2"/>
      <c r="E142" s="3"/>
      <c r="F142" s="2"/>
      <c r="G142" s="2"/>
    </row>
    <row r="143" spans="1:7" x14ac:dyDescent="0.25">
      <c r="A143" s="2"/>
      <c r="B143" s="2"/>
      <c r="C143" s="2"/>
      <c r="D143" s="2"/>
      <c r="E143" s="3"/>
      <c r="F143" s="2"/>
      <c r="G143" s="2"/>
    </row>
    <row r="144" spans="1:7" x14ac:dyDescent="0.25">
      <c r="A144" s="2"/>
      <c r="B144" s="2"/>
      <c r="C144" s="2"/>
      <c r="D144" s="2"/>
      <c r="E144" s="3"/>
      <c r="F144" s="2"/>
      <c r="G144" s="2"/>
    </row>
    <row r="145" spans="1:7" x14ac:dyDescent="0.25">
      <c r="A145" s="2"/>
      <c r="B145" s="2"/>
      <c r="C145" s="2"/>
      <c r="D145" s="2"/>
      <c r="E145" s="3"/>
      <c r="F145" s="2"/>
      <c r="G145" s="2"/>
    </row>
    <row r="146" spans="1:7" x14ac:dyDescent="0.25">
      <c r="A146" s="2"/>
      <c r="B146" s="2"/>
      <c r="C146" s="2"/>
      <c r="D146" s="2"/>
      <c r="E146" s="3"/>
      <c r="F146" s="2"/>
      <c r="G146" s="2"/>
    </row>
    <row r="147" spans="1:7" x14ac:dyDescent="0.25">
      <c r="A147" s="2"/>
      <c r="B147" s="2"/>
      <c r="C147" s="2"/>
      <c r="D147" s="2"/>
      <c r="E147" s="3"/>
      <c r="F147" s="2"/>
      <c r="G147" s="2"/>
    </row>
    <row r="148" spans="1:7" x14ac:dyDescent="0.25">
      <c r="A148" s="2"/>
      <c r="B148" s="2"/>
      <c r="C148" s="2"/>
      <c r="D148" s="2"/>
      <c r="E148" s="3"/>
      <c r="F148" s="2"/>
      <c r="G148" s="2"/>
    </row>
    <row r="149" spans="1:7" x14ac:dyDescent="0.25">
      <c r="A149" s="2"/>
      <c r="B149" s="2"/>
      <c r="C149" s="2"/>
      <c r="D149" s="2"/>
      <c r="E149" s="3"/>
      <c r="F149" s="2"/>
      <c r="G149" s="2"/>
    </row>
    <row r="150" spans="1:7" x14ac:dyDescent="0.25">
      <c r="A150" s="2"/>
      <c r="B150" s="2"/>
      <c r="C150" s="2"/>
      <c r="D150" s="2"/>
      <c r="E150" s="3"/>
      <c r="F150" s="2"/>
      <c r="G150" s="2"/>
    </row>
    <row r="151" spans="1:7" x14ac:dyDescent="0.25">
      <c r="A151" s="2"/>
      <c r="B151" s="2"/>
      <c r="C151" s="2"/>
      <c r="D151" s="2"/>
      <c r="E151" s="3"/>
      <c r="F151" s="2"/>
      <c r="G151" s="2"/>
    </row>
    <row r="152" spans="1:7" x14ac:dyDescent="0.25">
      <c r="A152" s="2"/>
      <c r="B152" s="2"/>
      <c r="C152" s="2"/>
      <c r="D152" s="2"/>
      <c r="E152" s="3"/>
      <c r="F152" s="2"/>
      <c r="G152" s="2"/>
    </row>
    <row r="153" spans="1:7" x14ac:dyDescent="0.25">
      <c r="A153" s="2"/>
      <c r="B153" s="2"/>
      <c r="C153" s="2"/>
      <c r="D153" s="2"/>
      <c r="E153" s="3"/>
      <c r="F153" s="2"/>
      <c r="G153" s="2"/>
    </row>
    <row r="154" spans="1:7" x14ac:dyDescent="0.25">
      <c r="A154" s="2"/>
      <c r="B154" s="2"/>
      <c r="C154" s="2"/>
      <c r="D154" s="2"/>
      <c r="E154" s="3"/>
      <c r="F154" s="2"/>
      <c r="G154" s="2"/>
    </row>
    <row r="155" spans="1:7" x14ac:dyDescent="0.25">
      <c r="A155" s="2"/>
      <c r="B155" s="2"/>
      <c r="C155" s="2"/>
      <c r="D155" s="2"/>
      <c r="E155" s="3"/>
      <c r="F155" s="2"/>
      <c r="G155" s="2"/>
    </row>
    <row r="156" spans="1:7" x14ac:dyDescent="0.25">
      <c r="A156" s="2"/>
      <c r="B156" s="2"/>
      <c r="C156" s="2"/>
      <c r="D156" s="2"/>
      <c r="E156" s="3"/>
      <c r="F156" s="2"/>
      <c r="G156" s="2"/>
    </row>
    <row r="157" spans="1:7" x14ac:dyDescent="0.25">
      <c r="A157" s="2"/>
      <c r="B157" s="2"/>
      <c r="C157" s="2"/>
      <c r="D157" s="2"/>
      <c r="E157" s="3"/>
      <c r="F157" s="2"/>
      <c r="G157" s="2"/>
    </row>
    <row r="158" spans="1:7" x14ac:dyDescent="0.25">
      <c r="A158" s="2"/>
      <c r="B158" s="2"/>
      <c r="C158" s="2"/>
      <c r="D158" s="2"/>
      <c r="E158" s="3"/>
      <c r="F158" s="2"/>
      <c r="G158" s="2"/>
    </row>
    <row r="159" spans="1:7" x14ac:dyDescent="0.25">
      <c r="A159" s="2"/>
      <c r="B159" s="2"/>
      <c r="C159" s="2"/>
      <c r="D159" s="2"/>
      <c r="E159" s="3"/>
      <c r="F159" s="2"/>
      <c r="G159" s="2"/>
    </row>
    <row r="160" spans="1:7" x14ac:dyDescent="0.25">
      <c r="A160" s="2"/>
      <c r="B160" s="2"/>
      <c r="C160" s="2"/>
      <c r="D160" s="2"/>
      <c r="E160" s="3"/>
      <c r="F160" s="2"/>
      <c r="G160" s="2"/>
    </row>
    <row r="161" spans="1:7" x14ac:dyDescent="0.25">
      <c r="A161" s="2"/>
      <c r="B161" s="2"/>
      <c r="C161" s="2"/>
      <c r="D161" s="2"/>
      <c r="E161" s="3"/>
      <c r="F161" s="2"/>
      <c r="G161" s="2"/>
    </row>
    <row r="162" spans="1:7" x14ac:dyDescent="0.25">
      <c r="A162" s="2"/>
      <c r="B162" s="2"/>
      <c r="C162" s="2"/>
      <c r="D162" s="2"/>
      <c r="E162" s="3"/>
      <c r="F162" s="2"/>
      <c r="G162" s="2"/>
    </row>
    <row r="163" spans="1:7" x14ac:dyDescent="0.25">
      <c r="A163" s="2"/>
      <c r="B163" s="2"/>
      <c r="C163" s="2"/>
      <c r="D163" s="2"/>
      <c r="E163" s="3"/>
      <c r="F163" s="2"/>
      <c r="G163" s="2"/>
    </row>
    <row r="164" spans="1:7" x14ac:dyDescent="0.25">
      <c r="A164" s="2"/>
      <c r="B164" s="2"/>
      <c r="C164" s="2"/>
      <c r="D164" s="2"/>
      <c r="E164" s="3"/>
      <c r="F164" s="2"/>
      <c r="G164" s="2"/>
    </row>
    <row r="165" spans="1:7" x14ac:dyDescent="0.25">
      <c r="A165" s="2"/>
      <c r="B165" s="2"/>
      <c r="C165" s="2"/>
      <c r="D165" s="2"/>
      <c r="E165" s="3"/>
      <c r="F165" s="2"/>
      <c r="G165" s="2"/>
    </row>
    <row r="166" spans="1:7" x14ac:dyDescent="0.25">
      <c r="A166" s="2"/>
      <c r="B166" s="2"/>
      <c r="C166" s="2"/>
      <c r="D166" s="2"/>
      <c r="E166" s="3"/>
      <c r="F166" s="2"/>
      <c r="G166" s="2"/>
    </row>
  </sheetData>
  <mergeCells count="2">
    <mergeCell ref="A105:G105"/>
    <mergeCell ref="A1:Q1"/>
  </mergeCells>
  <conditionalFormatting sqref="A3:Q102">
    <cfRule type="expression" dxfId="23" priority="8">
      <formula>$O3="Yes"</formula>
    </cfRule>
  </conditionalFormatting>
  <conditionalFormatting sqref="M3:M102">
    <cfRule type="expression" dxfId="22" priority="1">
      <formula>AND(M3&gt;=1,M3&lt;&gt;"")</formula>
    </cfRule>
    <cfRule type="expression" dxfId="21" priority="2">
      <formula>AND(M3&gt;=0.8,M3&lt;1)</formula>
    </cfRule>
    <cfRule type="expression" dxfId="20" priority="3">
      <formula>AND(M3&lt;0.8,M3&lt;&gt;"")</formula>
    </cfRule>
  </conditionalFormatting>
  <conditionalFormatting sqref="P3:P102">
    <cfRule type="expression" dxfId="19" priority="4">
      <formula>$P3="Completed"</formula>
    </cfRule>
    <cfRule type="expression" dxfId="18" priority="5">
      <formula>$P3="In progress"</formula>
    </cfRule>
    <cfRule type="expression" dxfId="17" priority="6">
      <formula>OR($P3="Delayed",$P3="Cancelled")</formula>
    </cfRule>
    <cfRule type="expression" dxfId="16" priority="7">
      <formula>$P3="Not started"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500-000000000000}">
          <x14:formula1>
            <xm:f>Lists!$F$1:$F$5</xm:f>
          </x14:formula1>
          <xm:sqref>P3:P102</xm:sqref>
        </x14:dataValidation>
        <x14:dataValidation type="list" allowBlank="1" xr:uid="{00000000-0002-0000-0500-000001000000}">
          <x14:formula1>
            <xm:f>Lists!$G$1:$G$2</xm:f>
          </x14:formula1>
          <xm:sqref>O3:O102</xm:sqref>
        </x14:dataValidation>
        <x14:dataValidation type="list" allowBlank="1" xr:uid="{00000000-0002-0000-0500-000002000000}">
          <x14:formula1>
            <xm:f>Lists!$D$2:$D$4</xm:f>
          </x14:formula1>
          <xm:sqref>I3:I102</xm:sqref>
        </x14:dataValidation>
        <x14:dataValidation type="list" allowBlank="1" xr:uid="{00000000-0002-0000-0500-000003000000}">
          <x14:formula1>
            <xm:f>Lists!$E$2:$E$13</xm:f>
          </x14:formula1>
          <xm:sqref>J3:J102</xm:sqref>
        </x14:dataValidation>
        <x14:dataValidation type="list" allowBlank="1" xr:uid="{00000000-0002-0000-0500-000004000000}">
          <x14:formula1>
            <xm:f>Lists!$B$2:$B$5</xm:f>
          </x14:formula1>
          <xm:sqref>E3:E102</xm:sqref>
        </x14:dataValidation>
        <x14:dataValidation type="list" allowBlank="1" xr:uid="{00000000-0002-0000-0500-000005000000}">
          <x14:formula1>
            <xm:f>Lists!$C$2:$C$5</xm:f>
          </x14:formula1>
          <xm:sqref>A3:A102</xm:sqref>
        </x14:dataValidation>
        <x14:dataValidation type="list" allowBlank="1" xr:uid="{00000000-0002-0000-0500-000006000000}">
          <x14:formula1>
            <xm:f>Lists!$H$1:$H$4</xm:f>
          </x14:formula1>
          <xm:sqref>C107:C166</xm:sqref>
        </x14:dataValidation>
        <x14:dataValidation type="list" allowBlank="1" xr:uid="{00000000-0002-0000-0500-000007000000}">
          <x14:formula1>
            <xm:f>Lists!$I$1:$I$3</xm:f>
          </x14:formula1>
          <xm:sqref>F107:F166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66"/>
  <sheetViews>
    <sheetView workbookViewId="0">
      <selection sqref="A1:Q1"/>
    </sheetView>
  </sheetViews>
  <sheetFormatPr defaultRowHeight="15" x14ac:dyDescent="0.25"/>
  <cols>
    <col min="1" max="1" width="18" customWidth="1"/>
    <col min="2" max="2" width="32" customWidth="1"/>
    <col min="3" max="3" width="20" customWidth="1"/>
    <col min="4" max="4" width="28" customWidth="1"/>
    <col min="5" max="5" width="18" customWidth="1"/>
    <col min="6" max="6" width="22" customWidth="1"/>
    <col min="7" max="7" width="26" customWidth="1"/>
    <col min="8" max="9" width="12" customWidth="1"/>
    <col min="10" max="10" width="14" customWidth="1"/>
    <col min="11" max="12" width="16" customWidth="1"/>
    <col min="13" max="13" width="12" customWidth="1"/>
    <col min="14" max="14" width="28" customWidth="1"/>
    <col min="15" max="15" width="18" customWidth="1"/>
    <col min="16" max="16" width="16" customWidth="1"/>
    <col min="17" max="17" width="34" customWidth="1"/>
  </cols>
  <sheetData>
    <row r="1" spans="1:17" x14ac:dyDescent="0.25">
      <c r="A1" s="20" t="s">
        <v>165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38</v>
      </c>
      <c r="B3" s="2" t="s">
        <v>39</v>
      </c>
      <c r="C3" s="2" t="s">
        <v>166</v>
      </c>
      <c r="D3" s="2" t="s">
        <v>104</v>
      </c>
      <c r="E3" s="2" t="s">
        <v>42</v>
      </c>
      <c r="F3" s="2" t="s">
        <v>167</v>
      </c>
      <c r="G3" s="3">
        <v>45292</v>
      </c>
      <c r="H3" s="3">
        <v>45382</v>
      </c>
      <c r="I3" s="2" t="s">
        <v>24</v>
      </c>
      <c r="J3" s="2" t="s">
        <v>25</v>
      </c>
      <c r="K3" s="4">
        <v>34</v>
      </c>
      <c r="L3" s="4">
        <v>41</v>
      </c>
      <c r="M3" s="5">
        <f t="shared" ref="M3:M34" si="0">IF(OR(K3="",L3=""),"",IFERROR(L3/K3,0))</f>
        <v>1.2058823529411764</v>
      </c>
      <c r="N3" s="2" t="s">
        <v>44</v>
      </c>
      <c r="O3" s="2" t="s">
        <v>27</v>
      </c>
      <c r="P3" s="2" t="s">
        <v>28</v>
      </c>
      <c r="Q3" s="2" t="s">
        <v>29</v>
      </c>
    </row>
    <row r="4" spans="1:17" x14ac:dyDescent="0.25">
      <c r="A4" s="2" t="s">
        <v>45</v>
      </c>
      <c r="B4" s="2" t="s">
        <v>46</v>
      </c>
      <c r="C4" s="2" t="s">
        <v>168</v>
      </c>
      <c r="D4" s="2" t="s">
        <v>107</v>
      </c>
      <c r="E4" s="2" t="s">
        <v>49</v>
      </c>
      <c r="F4" s="2" t="s">
        <v>167</v>
      </c>
      <c r="G4" s="3">
        <v>45383</v>
      </c>
      <c r="H4" s="3">
        <v>45473</v>
      </c>
      <c r="I4" s="2" t="s">
        <v>24</v>
      </c>
      <c r="J4" s="2" t="s">
        <v>35</v>
      </c>
      <c r="K4" s="4">
        <v>39</v>
      </c>
      <c r="L4" s="4">
        <v>42</v>
      </c>
      <c r="M4" s="5">
        <f t="shared" si="0"/>
        <v>1.0769230769230769</v>
      </c>
      <c r="N4" s="2" t="s">
        <v>51</v>
      </c>
      <c r="O4" s="2" t="s">
        <v>37</v>
      </c>
      <c r="P4" s="2" t="s">
        <v>28</v>
      </c>
      <c r="Q4" s="2" t="s">
        <v>29</v>
      </c>
    </row>
    <row r="5" spans="1:17" x14ac:dyDescent="0.25">
      <c r="A5" s="2" t="s">
        <v>18</v>
      </c>
      <c r="B5" s="2" t="s">
        <v>19</v>
      </c>
      <c r="C5" s="2" t="s">
        <v>169</v>
      </c>
      <c r="D5" s="2" t="s">
        <v>109</v>
      </c>
      <c r="E5" s="2" t="s">
        <v>22</v>
      </c>
      <c r="F5" s="2" t="s">
        <v>167</v>
      </c>
      <c r="G5" s="3">
        <v>45474</v>
      </c>
      <c r="H5" s="3">
        <v>45565</v>
      </c>
      <c r="I5" s="2" t="s">
        <v>24</v>
      </c>
      <c r="J5" s="2" t="s">
        <v>43</v>
      </c>
      <c r="K5" s="4">
        <v>44</v>
      </c>
      <c r="L5" s="4">
        <v>43</v>
      </c>
      <c r="M5" s="5">
        <f t="shared" si="0"/>
        <v>0.97727272727272729</v>
      </c>
      <c r="N5" s="2" t="s">
        <v>26</v>
      </c>
      <c r="O5" s="2" t="s">
        <v>27</v>
      </c>
      <c r="P5" s="2" t="s">
        <v>52</v>
      </c>
      <c r="Q5" s="2" t="s">
        <v>53</v>
      </c>
    </row>
    <row r="6" spans="1:17" x14ac:dyDescent="0.25">
      <c r="A6" s="2" t="s">
        <v>30</v>
      </c>
      <c r="B6" s="2" t="s">
        <v>31</v>
      </c>
      <c r="C6" s="2" t="s">
        <v>170</v>
      </c>
      <c r="D6" s="2" t="s">
        <v>111</v>
      </c>
      <c r="E6" s="2" t="s">
        <v>34</v>
      </c>
      <c r="F6" s="2" t="s">
        <v>167</v>
      </c>
      <c r="G6" s="3">
        <v>45566</v>
      </c>
      <c r="H6" s="3">
        <v>45657</v>
      </c>
      <c r="I6" s="2" t="s">
        <v>24</v>
      </c>
      <c r="J6" s="2" t="s">
        <v>50</v>
      </c>
      <c r="K6" s="4">
        <v>49</v>
      </c>
      <c r="L6" s="4">
        <v>44</v>
      </c>
      <c r="M6" s="5">
        <f t="shared" si="0"/>
        <v>0.89795918367346939</v>
      </c>
      <c r="N6" s="2" t="s">
        <v>36</v>
      </c>
      <c r="O6" s="2" t="s">
        <v>27</v>
      </c>
      <c r="P6" s="2" t="s">
        <v>52</v>
      </c>
      <c r="Q6" s="2" t="s">
        <v>53</v>
      </c>
    </row>
    <row r="7" spans="1:17" x14ac:dyDescent="0.25">
      <c r="A7" s="2" t="s">
        <v>38</v>
      </c>
      <c r="B7" s="2" t="s">
        <v>39</v>
      </c>
      <c r="C7" s="2" t="s">
        <v>171</v>
      </c>
      <c r="D7" s="2" t="s">
        <v>113</v>
      </c>
      <c r="E7" s="2" t="s">
        <v>42</v>
      </c>
      <c r="F7" s="2" t="s">
        <v>167</v>
      </c>
      <c r="G7" s="3">
        <v>45658</v>
      </c>
      <c r="H7" s="3">
        <v>45747</v>
      </c>
      <c r="I7" s="2" t="s">
        <v>56</v>
      </c>
      <c r="J7" s="2" t="s">
        <v>57</v>
      </c>
      <c r="K7" s="4">
        <v>54</v>
      </c>
      <c r="L7" s="4">
        <v>45</v>
      </c>
      <c r="M7" s="5">
        <f t="shared" si="0"/>
        <v>0.83333333333333337</v>
      </c>
      <c r="N7" s="2" t="s">
        <v>44</v>
      </c>
      <c r="O7" s="2" t="s">
        <v>37</v>
      </c>
      <c r="P7" s="2" t="s">
        <v>52</v>
      </c>
      <c r="Q7" s="2" t="s">
        <v>53</v>
      </c>
    </row>
    <row r="8" spans="1:17" x14ac:dyDescent="0.25">
      <c r="A8" s="2" t="s">
        <v>45</v>
      </c>
      <c r="B8" s="2" t="s">
        <v>46</v>
      </c>
      <c r="C8" s="2" t="s">
        <v>172</v>
      </c>
      <c r="D8" s="2" t="s">
        <v>115</v>
      </c>
      <c r="E8" s="2" t="s">
        <v>49</v>
      </c>
      <c r="F8" s="2" t="s">
        <v>167</v>
      </c>
      <c r="G8" s="3">
        <v>45748</v>
      </c>
      <c r="H8" s="3">
        <v>45838</v>
      </c>
      <c r="I8" s="2" t="s">
        <v>56</v>
      </c>
      <c r="J8" s="2" t="s">
        <v>60</v>
      </c>
      <c r="K8" s="4">
        <v>59</v>
      </c>
      <c r="L8" s="4">
        <v>67</v>
      </c>
      <c r="M8" s="5">
        <f t="shared" si="0"/>
        <v>1.1355932203389831</v>
      </c>
      <c r="N8" s="2" t="s">
        <v>51</v>
      </c>
      <c r="O8" s="2" t="s">
        <v>27</v>
      </c>
      <c r="P8" s="2" t="s">
        <v>28</v>
      </c>
      <c r="Q8" s="2" t="s">
        <v>29</v>
      </c>
    </row>
    <row r="9" spans="1:17" x14ac:dyDescent="0.25">
      <c r="A9" s="2"/>
      <c r="B9" s="2"/>
      <c r="C9" s="2"/>
      <c r="D9" s="2"/>
      <c r="E9" s="2"/>
      <c r="F9" s="2" t="s">
        <v>167</v>
      </c>
      <c r="G9" s="3"/>
      <c r="H9" s="3"/>
      <c r="I9" s="2"/>
      <c r="J9" s="2"/>
      <c r="K9" s="4"/>
      <c r="L9" s="4"/>
      <c r="M9" s="5" t="str">
        <f t="shared" si="0"/>
        <v/>
      </c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 t="s">
        <v>167</v>
      </c>
      <c r="G10" s="3"/>
      <c r="H10" s="3"/>
      <c r="I10" s="2"/>
      <c r="J10" s="2"/>
      <c r="K10" s="4"/>
      <c r="L10" s="4"/>
      <c r="M10" s="5" t="str">
        <f t="shared" si="0"/>
        <v/>
      </c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 t="s">
        <v>167</v>
      </c>
      <c r="G11" s="3"/>
      <c r="H11" s="3"/>
      <c r="I11" s="2"/>
      <c r="J11" s="2"/>
      <c r="K11" s="4"/>
      <c r="L11" s="4"/>
      <c r="M11" s="5" t="str">
        <f t="shared" si="0"/>
        <v/>
      </c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 t="s">
        <v>167</v>
      </c>
      <c r="G12" s="3"/>
      <c r="H12" s="3"/>
      <c r="I12" s="2"/>
      <c r="J12" s="2"/>
      <c r="K12" s="4"/>
      <c r="L12" s="4"/>
      <c r="M12" s="5" t="str">
        <f t="shared" si="0"/>
        <v/>
      </c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 t="s">
        <v>167</v>
      </c>
      <c r="G13" s="3"/>
      <c r="H13" s="3"/>
      <c r="I13" s="2"/>
      <c r="J13" s="2"/>
      <c r="K13" s="4"/>
      <c r="L13" s="4"/>
      <c r="M13" s="5" t="str">
        <f t="shared" si="0"/>
        <v/>
      </c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 t="s">
        <v>167</v>
      </c>
      <c r="G14" s="3"/>
      <c r="H14" s="3"/>
      <c r="I14" s="2"/>
      <c r="J14" s="2"/>
      <c r="K14" s="4"/>
      <c r="L14" s="4"/>
      <c r="M14" s="5" t="str">
        <f t="shared" si="0"/>
        <v/>
      </c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 t="s">
        <v>167</v>
      </c>
      <c r="G15" s="3"/>
      <c r="H15" s="3"/>
      <c r="I15" s="2"/>
      <c r="J15" s="2"/>
      <c r="K15" s="4"/>
      <c r="L15" s="4"/>
      <c r="M15" s="5" t="str">
        <f t="shared" si="0"/>
        <v/>
      </c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 t="s">
        <v>167</v>
      </c>
      <c r="G16" s="3"/>
      <c r="H16" s="3"/>
      <c r="I16" s="2"/>
      <c r="J16" s="2"/>
      <c r="K16" s="4"/>
      <c r="L16" s="4"/>
      <c r="M16" s="5" t="str">
        <f t="shared" si="0"/>
        <v/>
      </c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 t="s">
        <v>167</v>
      </c>
      <c r="G17" s="3"/>
      <c r="H17" s="3"/>
      <c r="I17" s="2"/>
      <c r="J17" s="2"/>
      <c r="K17" s="4"/>
      <c r="L17" s="4"/>
      <c r="M17" s="5" t="str">
        <f t="shared" si="0"/>
        <v/>
      </c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 t="s">
        <v>167</v>
      </c>
      <c r="G18" s="3"/>
      <c r="H18" s="3"/>
      <c r="I18" s="2"/>
      <c r="J18" s="2"/>
      <c r="K18" s="4"/>
      <c r="L18" s="4"/>
      <c r="M18" s="5" t="str">
        <f t="shared" si="0"/>
        <v/>
      </c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 t="s">
        <v>167</v>
      </c>
      <c r="G19" s="3"/>
      <c r="H19" s="3"/>
      <c r="I19" s="2"/>
      <c r="J19" s="2"/>
      <c r="K19" s="4"/>
      <c r="L19" s="4"/>
      <c r="M19" s="5" t="str">
        <f t="shared" si="0"/>
        <v/>
      </c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 t="s">
        <v>167</v>
      </c>
      <c r="G20" s="3"/>
      <c r="H20" s="3"/>
      <c r="I20" s="2"/>
      <c r="J20" s="2"/>
      <c r="K20" s="4"/>
      <c r="L20" s="4"/>
      <c r="M20" s="5" t="str">
        <f t="shared" si="0"/>
        <v/>
      </c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 t="s">
        <v>167</v>
      </c>
      <c r="G21" s="3"/>
      <c r="H21" s="3"/>
      <c r="I21" s="2"/>
      <c r="J21" s="2"/>
      <c r="K21" s="4"/>
      <c r="L21" s="4"/>
      <c r="M21" s="5" t="str">
        <f t="shared" si="0"/>
        <v/>
      </c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 t="s">
        <v>167</v>
      </c>
      <c r="G22" s="3"/>
      <c r="H22" s="3"/>
      <c r="I22" s="2"/>
      <c r="J22" s="2"/>
      <c r="K22" s="4"/>
      <c r="L22" s="4"/>
      <c r="M22" s="5" t="str">
        <f t="shared" si="0"/>
        <v/>
      </c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 t="s">
        <v>167</v>
      </c>
      <c r="G23" s="3"/>
      <c r="H23" s="3"/>
      <c r="I23" s="2"/>
      <c r="J23" s="2"/>
      <c r="K23" s="4"/>
      <c r="L23" s="4"/>
      <c r="M23" s="5" t="str">
        <f t="shared" si="0"/>
        <v/>
      </c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 t="s">
        <v>167</v>
      </c>
      <c r="G24" s="3"/>
      <c r="H24" s="3"/>
      <c r="I24" s="2"/>
      <c r="J24" s="2"/>
      <c r="K24" s="4"/>
      <c r="L24" s="4"/>
      <c r="M24" s="5" t="str">
        <f t="shared" si="0"/>
        <v/>
      </c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 t="s">
        <v>167</v>
      </c>
      <c r="G25" s="3"/>
      <c r="H25" s="3"/>
      <c r="I25" s="2"/>
      <c r="J25" s="2"/>
      <c r="K25" s="4"/>
      <c r="L25" s="4"/>
      <c r="M25" s="5" t="str">
        <f t="shared" si="0"/>
        <v/>
      </c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 t="s">
        <v>167</v>
      </c>
      <c r="G26" s="3"/>
      <c r="H26" s="3"/>
      <c r="I26" s="2"/>
      <c r="J26" s="2"/>
      <c r="K26" s="4"/>
      <c r="L26" s="4"/>
      <c r="M26" s="5" t="str">
        <f t="shared" si="0"/>
        <v/>
      </c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 t="s">
        <v>167</v>
      </c>
      <c r="G27" s="3"/>
      <c r="H27" s="3"/>
      <c r="I27" s="2"/>
      <c r="J27" s="2"/>
      <c r="K27" s="4"/>
      <c r="L27" s="4"/>
      <c r="M27" s="5" t="str">
        <f t="shared" si="0"/>
        <v/>
      </c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 t="s">
        <v>167</v>
      </c>
      <c r="G28" s="3"/>
      <c r="H28" s="3"/>
      <c r="I28" s="2"/>
      <c r="J28" s="2"/>
      <c r="K28" s="4"/>
      <c r="L28" s="4"/>
      <c r="M28" s="5" t="str">
        <f t="shared" si="0"/>
        <v/>
      </c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 t="s">
        <v>167</v>
      </c>
      <c r="G29" s="3"/>
      <c r="H29" s="3"/>
      <c r="I29" s="2"/>
      <c r="J29" s="2"/>
      <c r="K29" s="4"/>
      <c r="L29" s="4"/>
      <c r="M29" s="5" t="str">
        <f t="shared" si="0"/>
        <v/>
      </c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 t="s">
        <v>167</v>
      </c>
      <c r="G30" s="3"/>
      <c r="H30" s="3"/>
      <c r="I30" s="2"/>
      <c r="J30" s="2"/>
      <c r="K30" s="4"/>
      <c r="L30" s="4"/>
      <c r="M30" s="5" t="str">
        <f t="shared" si="0"/>
        <v/>
      </c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 t="s">
        <v>167</v>
      </c>
      <c r="G31" s="3"/>
      <c r="H31" s="3"/>
      <c r="I31" s="2"/>
      <c r="J31" s="2"/>
      <c r="K31" s="4"/>
      <c r="L31" s="4"/>
      <c r="M31" s="5" t="str">
        <f t="shared" si="0"/>
        <v/>
      </c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 t="s">
        <v>167</v>
      </c>
      <c r="G32" s="3"/>
      <c r="H32" s="3"/>
      <c r="I32" s="2"/>
      <c r="J32" s="2"/>
      <c r="K32" s="4"/>
      <c r="L32" s="4"/>
      <c r="M32" s="5" t="str">
        <f t="shared" si="0"/>
        <v/>
      </c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 t="s">
        <v>167</v>
      </c>
      <c r="G33" s="3"/>
      <c r="H33" s="3"/>
      <c r="I33" s="2"/>
      <c r="J33" s="2"/>
      <c r="K33" s="4"/>
      <c r="L33" s="4"/>
      <c r="M33" s="5" t="str">
        <f t="shared" si="0"/>
        <v/>
      </c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 t="s">
        <v>167</v>
      </c>
      <c r="G34" s="3"/>
      <c r="H34" s="3"/>
      <c r="I34" s="2"/>
      <c r="J34" s="2"/>
      <c r="K34" s="4"/>
      <c r="L34" s="4"/>
      <c r="M34" s="5" t="str">
        <f t="shared" si="0"/>
        <v/>
      </c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 t="s">
        <v>167</v>
      </c>
      <c r="G35" s="3"/>
      <c r="H35" s="3"/>
      <c r="I35" s="2"/>
      <c r="J35" s="2"/>
      <c r="K35" s="4"/>
      <c r="L35" s="4"/>
      <c r="M35" s="5" t="str">
        <f t="shared" ref="M35:M66" si="1">IF(OR(K35="",L35=""),"",IFERROR(L35/K35,0))</f>
        <v/>
      </c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 t="s">
        <v>167</v>
      </c>
      <c r="G36" s="3"/>
      <c r="H36" s="3"/>
      <c r="I36" s="2"/>
      <c r="J36" s="2"/>
      <c r="K36" s="4"/>
      <c r="L36" s="4"/>
      <c r="M36" s="5" t="str">
        <f t="shared" si="1"/>
        <v/>
      </c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 t="s">
        <v>167</v>
      </c>
      <c r="G37" s="3"/>
      <c r="H37" s="3"/>
      <c r="I37" s="2"/>
      <c r="J37" s="2"/>
      <c r="K37" s="4"/>
      <c r="L37" s="4"/>
      <c r="M37" s="5" t="str">
        <f t="shared" si="1"/>
        <v/>
      </c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 t="s">
        <v>167</v>
      </c>
      <c r="G38" s="3"/>
      <c r="H38" s="3"/>
      <c r="I38" s="2"/>
      <c r="J38" s="2"/>
      <c r="K38" s="4"/>
      <c r="L38" s="4"/>
      <c r="M38" s="5" t="str">
        <f t="shared" si="1"/>
        <v/>
      </c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 t="s">
        <v>167</v>
      </c>
      <c r="G39" s="3"/>
      <c r="H39" s="3"/>
      <c r="I39" s="2"/>
      <c r="J39" s="2"/>
      <c r="K39" s="4"/>
      <c r="L39" s="4"/>
      <c r="M39" s="5" t="str">
        <f t="shared" si="1"/>
        <v/>
      </c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 t="s">
        <v>167</v>
      </c>
      <c r="G40" s="3"/>
      <c r="H40" s="3"/>
      <c r="I40" s="2"/>
      <c r="J40" s="2"/>
      <c r="K40" s="4"/>
      <c r="L40" s="4"/>
      <c r="M40" s="5" t="str">
        <f t="shared" si="1"/>
        <v/>
      </c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 t="s">
        <v>167</v>
      </c>
      <c r="G41" s="3"/>
      <c r="H41" s="3"/>
      <c r="I41" s="2"/>
      <c r="J41" s="2"/>
      <c r="K41" s="4"/>
      <c r="L41" s="4"/>
      <c r="M41" s="5" t="str">
        <f t="shared" si="1"/>
        <v/>
      </c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 t="s">
        <v>167</v>
      </c>
      <c r="G42" s="3"/>
      <c r="H42" s="3"/>
      <c r="I42" s="2"/>
      <c r="J42" s="2"/>
      <c r="K42" s="4"/>
      <c r="L42" s="4"/>
      <c r="M42" s="5" t="str">
        <f t="shared" si="1"/>
        <v/>
      </c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 t="s">
        <v>167</v>
      </c>
      <c r="G43" s="3"/>
      <c r="H43" s="3"/>
      <c r="I43" s="2"/>
      <c r="J43" s="2"/>
      <c r="K43" s="4"/>
      <c r="L43" s="4"/>
      <c r="M43" s="5" t="str">
        <f t="shared" si="1"/>
        <v/>
      </c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 t="s">
        <v>167</v>
      </c>
      <c r="G44" s="3"/>
      <c r="H44" s="3"/>
      <c r="I44" s="2"/>
      <c r="J44" s="2"/>
      <c r="K44" s="4"/>
      <c r="L44" s="4"/>
      <c r="M44" s="5" t="str">
        <f t="shared" si="1"/>
        <v/>
      </c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 t="s">
        <v>167</v>
      </c>
      <c r="G45" s="3"/>
      <c r="H45" s="3"/>
      <c r="I45" s="2"/>
      <c r="J45" s="2"/>
      <c r="K45" s="4"/>
      <c r="L45" s="4"/>
      <c r="M45" s="5" t="str">
        <f t="shared" si="1"/>
        <v/>
      </c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 t="s">
        <v>167</v>
      </c>
      <c r="G46" s="3"/>
      <c r="H46" s="3"/>
      <c r="I46" s="2"/>
      <c r="J46" s="2"/>
      <c r="K46" s="4"/>
      <c r="L46" s="4"/>
      <c r="M46" s="5" t="str">
        <f t="shared" si="1"/>
        <v/>
      </c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 t="s">
        <v>167</v>
      </c>
      <c r="G47" s="3"/>
      <c r="H47" s="3"/>
      <c r="I47" s="2"/>
      <c r="J47" s="2"/>
      <c r="K47" s="4"/>
      <c r="L47" s="4"/>
      <c r="M47" s="5" t="str">
        <f t="shared" si="1"/>
        <v/>
      </c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 t="s">
        <v>167</v>
      </c>
      <c r="G48" s="3"/>
      <c r="H48" s="3"/>
      <c r="I48" s="2"/>
      <c r="J48" s="2"/>
      <c r="K48" s="4"/>
      <c r="L48" s="4"/>
      <c r="M48" s="5" t="str">
        <f t="shared" si="1"/>
        <v/>
      </c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 t="s">
        <v>167</v>
      </c>
      <c r="G49" s="3"/>
      <c r="H49" s="3"/>
      <c r="I49" s="2"/>
      <c r="J49" s="2"/>
      <c r="K49" s="4"/>
      <c r="L49" s="4"/>
      <c r="M49" s="5" t="str">
        <f t="shared" si="1"/>
        <v/>
      </c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 t="s">
        <v>167</v>
      </c>
      <c r="G50" s="3"/>
      <c r="H50" s="3"/>
      <c r="I50" s="2"/>
      <c r="J50" s="2"/>
      <c r="K50" s="4"/>
      <c r="L50" s="4"/>
      <c r="M50" s="5" t="str">
        <f t="shared" si="1"/>
        <v/>
      </c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 t="s">
        <v>167</v>
      </c>
      <c r="G51" s="3"/>
      <c r="H51" s="3"/>
      <c r="I51" s="2"/>
      <c r="J51" s="2"/>
      <c r="K51" s="4"/>
      <c r="L51" s="4"/>
      <c r="M51" s="5" t="str">
        <f t="shared" si="1"/>
        <v/>
      </c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 t="s">
        <v>167</v>
      </c>
      <c r="G52" s="3"/>
      <c r="H52" s="3"/>
      <c r="I52" s="2"/>
      <c r="J52" s="2"/>
      <c r="K52" s="4"/>
      <c r="L52" s="4"/>
      <c r="M52" s="5" t="str">
        <f t="shared" si="1"/>
        <v/>
      </c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 t="s">
        <v>167</v>
      </c>
      <c r="G53" s="3"/>
      <c r="H53" s="3"/>
      <c r="I53" s="2"/>
      <c r="J53" s="2"/>
      <c r="K53" s="4"/>
      <c r="L53" s="4"/>
      <c r="M53" s="5" t="str">
        <f t="shared" si="1"/>
        <v/>
      </c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 t="s">
        <v>167</v>
      </c>
      <c r="G54" s="3"/>
      <c r="H54" s="3"/>
      <c r="I54" s="2"/>
      <c r="J54" s="2"/>
      <c r="K54" s="4"/>
      <c r="L54" s="4"/>
      <c r="M54" s="5" t="str">
        <f t="shared" si="1"/>
        <v/>
      </c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 t="s">
        <v>167</v>
      </c>
      <c r="G55" s="3"/>
      <c r="H55" s="3"/>
      <c r="I55" s="2"/>
      <c r="J55" s="2"/>
      <c r="K55" s="4"/>
      <c r="L55" s="4"/>
      <c r="M55" s="5" t="str">
        <f t="shared" si="1"/>
        <v/>
      </c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 t="s">
        <v>167</v>
      </c>
      <c r="G56" s="3"/>
      <c r="H56" s="3"/>
      <c r="I56" s="2"/>
      <c r="J56" s="2"/>
      <c r="K56" s="4"/>
      <c r="L56" s="4"/>
      <c r="M56" s="5" t="str">
        <f t="shared" si="1"/>
        <v/>
      </c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 t="s">
        <v>167</v>
      </c>
      <c r="G57" s="3"/>
      <c r="H57" s="3"/>
      <c r="I57" s="2"/>
      <c r="J57" s="2"/>
      <c r="K57" s="4"/>
      <c r="L57" s="4"/>
      <c r="M57" s="5" t="str">
        <f t="shared" si="1"/>
        <v/>
      </c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 t="s">
        <v>167</v>
      </c>
      <c r="G58" s="3"/>
      <c r="H58" s="3"/>
      <c r="I58" s="2"/>
      <c r="J58" s="2"/>
      <c r="K58" s="4"/>
      <c r="L58" s="4"/>
      <c r="M58" s="5" t="str">
        <f t="shared" si="1"/>
        <v/>
      </c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 t="s">
        <v>167</v>
      </c>
      <c r="G59" s="3"/>
      <c r="H59" s="3"/>
      <c r="I59" s="2"/>
      <c r="J59" s="2"/>
      <c r="K59" s="4"/>
      <c r="L59" s="4"/>
      <c r="M59" s="5" t="str">
        <f t="shared" si="1"/>
        <v/>
      </c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 t="s">
        <v>167</v>
      </c>
      <c r="G60" s="3"/>
      <c r="H60" s="3"/>
      <c r="I60" s="2"/>
      <c r="J60" s="2"/>
      <c r="K60" s="4"/>
      <c r="L60" s="4"/>
      <c r="M60" s="5" t="str">
        <f t="shared" si="1"/>
        <v/>
      </c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 t="s">
        <v>167</v>
      </c>
      <c r="G61" s="3"/>
      <c r="H61" s="3"/>
      <c r="I61" s="2"/>
      <c r="J61" s="2"/>
      <c r="K61" s="4"/>
      <c r="L61" s="4"/>
      <c r="M61" s="5" t="str">
        <f t="shared" si="1"/>
        <v/>
      </c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 t="s">
        <v>167</v>
      </c>
      <c r="G62" s="3"/>
      <c r="H62" s="3"/>
      <c r="I62" s="2"/>
      <c r="J62" s="2"/>
      <c r="K62" s="4"/>
      <c r="L62" s="4"/>
      <c r="M62" s="5" t="str">
        <f t="shared" si="1"/>
        <v/>
      </c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 t="s">
        <v>167</v>
      </c>
      <c r="G63" s="3"/>
      <c r="H63" s="3"/>
      <c r="I63" s="2"/>
      <c r="J63" s="2"/>
      <c r="K63" s="4"/>
      <c r="L63" s="4"/>
      <c r="M63" s="5" t="str">
        <f t="shared" si="1"/>
        <v/>
      </c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 t="s">
        <v>167</v>
      </c>
      <c r="G64" s="3"/>
      <c r="H64" s="3"/>
      <c r="I64" s="2"/>
      <c r="J64" s="2"/>
      <c r="K64" s="4"/>
      <c r="L64" s="4"/>
      <c r="M64" s="5" t="str">
        <f t="shared" si="1"/>
        <v/>
      </c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 t="s">
        <v>167</v>
      </c>
      <c r="G65" s="3"/>
      <c r="H65" s="3"/>
      <c r="I65" s="2"/>
      <c r="J65" s="2"/>
      <c r="K65" s="4"/>
      <c r="L65" s="4"/>
      <c r="M65" s="5" t="str">
        <f t="shared" si="1"/>
        <v/>
      </c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 t="s">
        <v>167</v>
      </c>
      <c r="G66" s="3"/>
      <c r="H66" s="3"/>
      <c r="I66" s="2"/>
      <c r="J66" s="2"/>
      <c r="K66" s="4"/>
      <c r="L66" s="4"/>
      <c r="M66" s="5" t="str">
        <f t="shared" si="1"/>
        <v/>
      </c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 t="s">
        <v>167</v>
      </c>
      <c r="G67" s="3"/>
      <c r="H67" s="3"/>
      <c r="I67" s="2"/>
      <c r="J67" s="2"/>
      <c r="K67" s="4"/>
      <c r="L67" s="4"/>
      <c r="M67" s="5" t="str">
        <f t="shared" ref="M67:M98" si="2">IF(OR(K67="",L67=""),"",IFERROR(L67/K67,0))</f>
        <v/>
      </c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 t="s">
        <v>167</v>
      </c>
      <c r="G68" s="3"/>
      <c r="H68" s="3"/>
      <c r="I68" s="2"/>
      <c r="J68" s="2"/>
      <c r="K68" s="4"/>
      <c r="L68" s="4"/>
      <c r="M68" s="5" t="str">
        <f t="shared" si="2"/>
        <v/>
      </c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 t="s">
        <v>167</v>
      </c>
      <c r="G69" s="3"/>
      <c r="H69" s="3"/>
      <c r="I69" s="2"/>
      <c r="J69" s="2"/>
      <c r="K69" s="4"/>
      <c r="L69" s="4"/>
      <c r="M69" s="5" t="str">
        <f t="shared" si="2"/>
        <v/>
      </c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 t="s">
        <v>167</v>
      </c>
      <c r="G70" s="3"/>
      <c r="H70" s="3"/>
      <c r="I70" s="2"/>
      <c r="J70" s="2"/>
      <c r="K70" s="4"/>
      <c r="L70" s="4"/>
      <c r="M70" s="5" t="str">
        <f t="shared" si="2"/>
        <v/>
      </c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 t="s">
        <v>167</v>
      </c>
      <c r="G71" s="3"/>
      <c r="H71" s="3"/>
      <c r="I71" s="2"/>
      <c r="J71" s="2"/>
      <c r="K71" s="4"/>
      <c r="L71" s="4"/>
      <c r="M71" s="5" t="str">
        <f t="shared" si="2"/>
        <v/>
      </c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 t="s">
        <v>167</v>
      </c>
      <c r="G72" s="3"/>
      <c r="H72" s="3"/>
      <c r="I72" s="2"/>
      <c r="J72" s="2"/>
      <c r="K72" s="4"/>
      <c r="L72" s="4"/>
      <c r="M72" s="5" t="str">
        <f t="shared" si="2"/>
        <v/>
      </c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 t="s">
        <v>167</v>
      </c>
      <c r="G73" s="3"/>
      <c r="H73" s="3"/>
      <c r="I73" s="2"/>
      <c r="J73" s="2"/>
      <c r="K73" s="4"/>
      <c r="L73" s="4"/>
      <c r="M73" s="5" t="str">
        <f t="shared" si="2"/>
        <v/>
      </c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 t="s">
        <v>167</v>
      </c>
      <c r="G74" s="3"/>
      <c r="H74" s="3"/>
      <c r="I74" s="2"/>
      <c r="J74" s="2"/>
      <c r="K74" s="4"/>
      <c r="L74" s="4"/>
      <c r="M74" s="5" t="str">
        <f t="shared" si="2"/>
        <v/>
      </c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 t="s">
        <v>167</v>
      </c>
      <c r="G75" s="3"/>
      <c r="H75" s="3"/>
      <c r="I75" s="2"/>
      <c r="J75" s="2"/>
      <c r="K75" s="4"/>
      <c r="L75" s="4"/>
      <c r="M75" s="5" t="str">
        <f t="shared" si="2"/>
        <v/>
      </c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 t="s">
        <v>167</v>
      </c>
      <c r="G76" s="3"/>
      <c r="H76" s="3"/>
      <c r="I76" s="2"/>
      <c r="J76" s="2"/>
      <c r="K76" s="4"/>
      <c r="L76" s="4"/>
      <c r="M76" s="5" t="str">
        <f t="shared" si="2"/>
        <v/>
      </c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 t="s">
        <v>167</v>
      </c>
      <c r="G77" s="3"/>
      <c r="H77" s="3"/>
      <c r="I77" s="2"/>
      <c r="J77" s="2"/>
      <c r="K77" s="4"/>
      <c r="L77" s="4"/>
      <c r="M77" s="5" t="str">
        <f t="shared" si="2"/>
        <v/>
      </c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 t="s">
        <v>167</v>
      </c>
      <c r="G78" s="3"/>
      <c r="H78" s="3"/>
      <c r="I78" s="2"/>
      <c r="J78" s="2"/>
      <c r="K78" s="4"/>
      <c r="L78" s="4"/>
      <c r="M78" s="5" t="str">
        <f t="shared" si="2"/>
        <v/>
      </c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 t="s">
        <v>167</v>
      </c>
      <c r="G79" s="3"/>
      <c r="H79" s="3"/>
      <c r="I79" s="2"/>
      <c r="J79" s="2"/>
      <c r="K79" s="4"/>
      <c r="L79" s="4"/>
      <c r="M79" s="5" t="str">
        <f t="shared" si="2"/>
        <v/>
      </c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 t="s">
        <v>167</v>
      </c>
      <c r="G80" s="3"/>
      <c r="H80" s="3"/>
      <c r="I80" s="2"/>
      <c r="J80" s="2"/>
      <c r="K80" s="4"/>
      <c r="L80" s="4"/>
      <c r="M80" s="5" t="str">
        <f t="shared" si="2"/>
        <v/>
      </c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 t="s">
        <v>167</v>
      </c>
      <c r="G81" s="3"/>
      <c r="H81" s="3"/>
      <c r="I81" s="2"/>
      <c r="J81" s="2"/>
      <c r="K81" s="4"/>
      <c r="L81" s="4"/>
      <c r="M81" s="5" t="str">
        <f t="shared" si="2"/>
        <v/>
      </c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 t="s">
        <v>167</v>
      </c>
      <c r="G82" s="3"/>
      <c r="H82" s="3"/>
      <c r="I82" s="2"/>
      <c r="J82" s="2"/>
      <c r="K82" s="4"/>
      <c r="L82" s="4"/>
      <c r="M82" s="5" t="str">
        <f t="shared" si="2"/>
        <v/>
      </c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 t="s">
        <v>167</v>
      </c>
      <c r="G83" s="3"/>
      <c r="H83" s="3"/>
      <c r="I83" s="2"/>
      <c r="J83" s="2"/>
      <c r="K83" s="4"/>
      <c r="L83" s="4"/>
      <c r="M83" s="5" t="str">
        <f t="shared" si="2"/>
        <v/>
      </c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 t="s">
        <v>167</v>
      </c>
      <c r="G84" s="3"/>
      <c r="H84" s="3"/>
      <c r="I84" s="2"/>
      <c r="J84" s="2"/>
      <c r="K84" s="4"/>
      <c r="L84" s="4"/>
      <c r="M84" s="5" t="str">
        <f t="shared" si="2"/>
        <v/>
      </c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 t="s">
        <v>167</v>
      </c>
      <c r="G85" s="3"/>
      <c r="H85" s="3"/>
      <c r="I85" s="2"/>
      <c r="J85" s="2"/>
      <c r="K85" s="4"/>
      <c r="L85" s="4"/>
      <c r="M85" s="5" t="str">
        <f t="shared" si="2"/>
        <v/>
      </c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 t="s">
        <v>167</v>
      </c>
      <c r="G86" s="3"/>
      <c r="H86" s="3"/>
      <c r="I86" s="2"/>
      <c r="J86" s="2"/>
      <c r="K86" s="4"/>
      <c r="L86" s="4"/>
      <c r="M86" s="5" t="str">
        <f t="shared" si="2"/>
        <v/>
      </c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 t="s">
        <v>167</v>
      </c>
      <c r="G87" s="3"/>
      <c r="H87" s="3"/>
      <c r="I87" s="2"/>
      <c r="J87" s="2"/>
      <c r="K87" s="4"/>
      <c r="L87" s="4"/>
      <c r="M87" s="5" t="str">
        <f t="shared" si="2"/>
        <v/>
      </c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 t="s">
        <v>167</v>
      </c>
      <c r="G88" s="3"/>
      <c r="H88" s="3"/>
      <c r="I88" s="2"/>
      <c r="J88" s="2"/>
      <c r="K88" s="4"/>
      <c r="L88" s="4"/>
      <c r="M88" s="5" t="str">
        <f t="shared" si="2"/>
        <v/>
      </c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 t="s">
        <v>167</v>
      </c>
      <c r="G89" s="3"/>
      <c r="H89" s="3"/>
      <c r="I89" s="2"/>
      <c r="J89" s="2"/>
      <c r="K89" s="4"/>
      <c r="L89" s="4"/>
      <c r="M89" s="5" t="str">
        <f t="shared" si="2"/>
        <v/>
      </c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 t="s">
        <v>167</v>
      </c>
      <c r="G90" s="3"/>
      <c r="H90" s="3"/>
      <c r="I90" s="2"/>
      <c r="J90" s="2"/>
      <c r="K90" s="4"/>
      <c r="L90" s="4"/>
      <c r="M90" s="5" t="str">
        <f t="shared" si="2"/>
        <v/>
      </c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 t="s">
        <v>167</v>
      </c>
      <c r="G91" s="3"/>
      <c r="H91" s="3"/>
      <c r="I91" s="2"/>
      <c r="J91" s="2"/>
      <c r="K91" s="4"/>
      <c r="L91" s="4"/>
      <c r="M91" s="5" t="str">
        <f t="shared" si="2"/>
        <v/>
      </c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 t="s">
        <v>167</v>
      </c>
      <c r="G92" s="3"/>
      <c r="H92" s="3"/>
      <c r="I92" s="2"/>
      <c r="J92" s="2"/>
      <c r="K92" s="4"/>
      <c r="L92" s="4"/>
      <c r="M92" s="5" t="str">
        <f t="shared" si="2"/>
        <v/>
      </c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 t="s">
        <v>167</v>
      </c>
      <c r="G93" s="3"/>
      <c r="H93" s="3"/>
      <c r="I93" s="2"/>
      <c r="J93" s="2"/>
      <c r="K93" s="4"/>
      <c r="L93" s="4"/>
      <c r="M93" s="5" t="str">
        <f t="shared" si="2"/>
        <v/>
      </c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 t="s">
        <v>167</v>
      </c>
      <c r="G94" s="3"/>
      <c r="H94" s="3"/>
      <c r="I94" s="2"/>
      <c r="J94" s="2"/>
      <c r="K94" s="4"/>
      <c r="L94" s="4"/>
      <c r="M94" s="5" t="str">
        <f t="shared" si="2"/>
        <v/>
      </c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 t="s">
        <v>167</v>
      </c>
      <c r="G95" s="3"/>
      <c r="H95" s="3"/>
      <c r="I95" s="2"/>
      <c r="J95" s="2"/>
      <c r="K95" s="4"/>
      <c r="L95" s="4"/>
      <c r="M95" s="5" t="str">
        <f t="shared" si="2"/>
        <v/>
      </c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 t="s">
        <v>167</v>
      </c>
      <c r="G96" s="3"/>
      <c r="H96" s="3"/>
      <c r="I96" s="2"/>
      <c r="J96" s="2"/>
      <c r="K96" s="4"/>
      <c r="L96" s="4"/>
      <c r="M96" s="5" t="str">
        <f t="shared" si="2"/>
        <v/>
      </c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 t="s">
        <v>167</v>
      </c>
      <c r="G97" s="3"/>
      <c r="H97" s="3"/>
      <c r="I97" s="2"/>
      <c r="J97" s="2"/>
      <c r="K97" s="4"/>
      <c r="L97" s="4"/>
      <c r="M97" s="5" t="str">
        <f t="shared" si="2"/>
        <v/>
      </c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 t="s">
        <v>167</v>
      </c>
      <c r="G98" s="3"/>
      <c r="H98" s="3"/>
      <c r="I98" s="2"/>
      <c r="J98" s="2"/>
      <c r="K98" s="4"/>
      <c r="L98" s="4"/>
      <c r="M98" s="5" t="str">
        <f t="shared" si="2"/>
        <v/>
      </c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 t="s">
        <v>167</v>
      </c>
      <c r="G99" s="3"/>
      <c r="H99" s="3"/>
      <c r="I99" s="2"/>
      <c r="J99" s="2"/>
      <c r="K99" s="4"/>
      <c r="L99" s="4"/>
      <c r="M99" s="5" t="str">
        <f t="shared" ref="M99:M130" si="3">IF(OR(K99="",L99=""),"",IFERROR(L99/K99,0))</f>
        <v/>
      </c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 t="s">
        <v>167</v>
      </c>
      <c r="G100" s="3"/>
      <c r="H100" s="3"/>
      <c r="I100" s="2"/>
      <c r="J100" s="2"/>
      <c r="K100" s="4"/>
      <c r="L100" s="4"/>
      <c r="M100" s="5" t="str">
        <f t="shared" si="3"/>
        <v/>
      </c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 t="s">
        <v>167</v>
      </c>
      <c r="G101" s="3"/>
      <c r="H101" s="3"/>
      <c r="I101" s="2"/>
      <c r="J101" s="2"/>
      <c r="K101" s="4"/>
      <c r="L101" s="4"/>
      <c r="M101" s="5" t="str">
        <f t="shared" si="3"/>
        <v/>
      </c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 t="s">
        <v>167</v>
      </c>
      <c r="G102" s="3"/>
      <c r="H102" s="3"/>
      <c r="I102" s="2"/>
      <c r="J102" s="2"/>
      <c r="K102" s="4"/>
      <c r="L102" s="4"/>
      <c r="M102" s="5" t="str">
        <f t="shared" si="3"/>
        <v/>
      </c>
      <c r="N102" s="2"/>
      <c r="O102" s="2"/>
      <c r="P102" s="2"/>
      <c r="Q102" s="2"/>
    </row>
    <row r="105" spans="1:17" x14ac:dyDescent="0.25">
      <c r="A105" s="20" t="s">
        <v>61</v>
      </c>
      <c r="B105" s="21"/>
      <c r="C105" s="21"/>
      <c r="D105" s="21"/>
      <c r="E105" s="21"/>
      <c r="F105" s="21"/>
      <c r="G105" s="21"/>
    </row>
    <row r="106" spans="1:17" ht="30" x14ac:dyDescent="0.25">
      <c r="A106" s="1" t="s">
        <v>3</v>
      </c>
      <c r="B106" s="1" t="s">
        <v>1</v>
      </c>
      <c r="C106" s="1" t="s">
        <v>62</v>
      </c>
      <c r="D106" s="1" t="s">
        <v>63</v>
      </c>
      <c r="E106" s="1" t="s">
        <v>64</v>
      </c>
      <c r="F106" s="1" t="s">
        <v>65</v>
      </c>
      <c r="G106" s="1" t="s">
        <v>66</v>
      </c>
    </row>
    <row r="107" spans="1:17" x14ac:dyDescent="0.25">
      <c r="A107" s="2" t="s">
        <v>168</v>
      </c>
      <c r="B107" s="2" t="s">
        <v>45</v>
      </c>
      <c r="C107" s="2" t="s">
        <v>118</v>
      </c>
      <c r="D107" s="2" t="s">
        <v>173</v>
      </c>
      <c r="E107" s="3">
        <v>45487</v>
      </c>
      <c r="F107" s="2" t="s">
        <v>69</v>
      </c>
      <c r="G107" s="2" t="s">
        <v>174</v>
      </c>
    </row>
    <row r="108" spans="1:17" x14ac:dyDescent="0.25">
      <c r="A108" s="2" t="s">
        <v>171</v>
      </c>
      <c r="B108" s="2" t="s">
        <v>38</v>
      </c>
      <c r="C108" s="2" t="s">
        <v>162</v>
      </c>
      <c r="D108" s="2" t="s">
        <v>175</v>
      </c>
      <c r="E108" s="3">
        <v>45761</v>
      </c>
      <c r="F108" s="2" t="s">
        <v>73</v>
      </c>
      <c r="G108" s="2" t="s">
        <v>176</v>
      </c>
    </row>
    <row r="109" spans="1:17" x14ac:dyDescent="0.25">
      <c r="A109" s="2"/>
      <c r="B109" s="2"/>
      <c r="C109" s="2"/>
      <c r="D109" s="2"/>
      <c r="E109" s="3"/>
      <c r="F109" s="2"/>
      <c r="G109" s="2"/>
    </row>
    <row r="110" spans="1:17" x14ac:dyDescent="0.25">
      <c r="A110" s="2"/>
      <c r="B110" s="2"/>
      <c r="C110" s="2"/>
      <c r="D110" s="2"/>
      <c r="E110" s="3"/>
      <c r="F110" s="2"/>
      <c r="G110" s="2"/>
    </row>
    <row r="111" spans="1:17" x14ac:dyDescent="0.25">
      <c r="A111" s="2"/>
      <c r="B111" s="2"/>
      <c r="C111" s="2"/>
      <c r="D111" s="2"/>
      <c r="E111" s="3"/>
      <c r="F111" s="2"/>
      <c r="G111" s="2"/>
    </row>
    <row r="112" spans="1:17" x14ac:dyDescent="0.25">
      <c r="A112" s="2"/>
      <c r="B112" s="2"/>
      <c r="C112" s="2"/>
      <c r="D112" s="2"/>
      <c r="E112" s="3"/>
      <c r="F112" s="2"/>
      <c r="G112" s="2"/>
    </row>
    <row r="113" spans="1:7" x14ac:dyDescent="0.25">
      <c r="A113" s="2"/>
      <c r="B113" s="2"/>
      <c r="C113" s="2"/>
      <c r="D113" s="2"/>
      <c r="E113" s="3"/>
      <c r="F113" s="2"/>
      <c r="G113" s="2"/>
    </row>
    <row r="114" spans="1:7" x14ac:dyDescent="0.25">
      <c r="A114" s="2"/>
      <c r="B114" s="2"/>
      <c r="C114" s="2"/>
      <c r="D114" s="2"/>
      <c r="E114" s="3"/>
      <c r="F114" s="2"/>
      <c r="G114" s="2"/>
    </row>
    <row r="115" spans="1:7" x14ac:dyDescent="0.25">
      <c r="A115" s="2"/>
      <c r="B115" s="2"/>
      <c r="C115" s="2"/>
      <c r="D115" s="2"/>
      <c r="E115" s="3"/>
      <c r="F115" s="2"/>
      <c r="G115" s="2"/>
    </row>
    <row r="116" spans="1:7" x14ac:dyDescent="0.25">
      <c r="A116" s="2"/>
      <c r="B116" s="2"/>
      <c r="C116" s="2"/>
      <c r="D116" s="2"/>
      <c r="E116" s="3"/>
      <c r="F116" s="2"/>
      <c r="G116" s="2"/>
    </row>
    <row r="117" spans="1:7" x14ac:dyDescent="0.25">
      <c r="A117" s="2"/>
      <c r="B117" s="2"/>
      <c r="C117" s="2"/>
      <c r="D117" s="2"/>
      <c r="E117" s="3"/>
      <c r="F117" s="2"/>
      <c r="G117" s="2"/>
    </row>
    <row r="118" spans="1:7" x14ac:dyDescent="0.25">
      <c r="A118" s="2"/>
      <c r="B118" s="2"/>
      <c r="C118" s="2"/>
      <c r="D118" s="2"/>
      <c r="E118" s="3"/>
      <c r="F118" s="2"/>
      <c r="G118" s="2"/>
    </row>
    <row r="119" spans="1:7" x14ac:dyDescent="0.25">
      <c r="A119" s="2"/>
      <c r="B119" s="2"/>
      <c r="C119" s="2"/>
      <c r="D119" s="2"/>
      <c r="E119" s="3"/>
      <c r="F119" s="2"/>
      <c r="G119" s="2"/>
    </row>
    <row r="120" spans="1:7" x14ac:dyDescent="0.25">
      <c r="A120" s="2"/>
      <c r="B120" s="2"/>
      <c r="C120" s="2"/>
      <c r="D120" s="2"/>
      <c r="E120" s="3"/>
      <c r="F120" s="2"/>
      <c r="G120" s="2"/>
    </row>
    <row r="121" spans="1:7" x14ac:dyDescent="0.25">
      <c r="A121" s="2"/>
      <c r="B121" s="2"/>
      <c r="C121" s="2"/>
      <c r="D121" s="2"/>
      <c r="E121" s="3"/>
      <c r="F121" s="2"/>
      <c r="G121" s="2"/>
    </row>
    <row r="122" spans="1:7" x14ac:dyDescent="0.25">
      <c r="A122" s="2"/>
      <c r="B122" s="2"/>
      <c r="C122" s="2"/>
      <c r="D122" s="2"/>
      <c r="E122" s="3"/>
      <c r="F122" s="2"/>
      <c r="G122" s="2"/>
    </row>
    <row r="123" spans="1:7" x14ac:dyDescent="0.25">
      <c r="A123" s="2"/>
      <c r="B123" s="2"/>
      <c r="C123" s="2"/>
      <c r="D123" s="2"/>
      <c r="E123" s="3"/>
      <c r="F123" s="2"/>
      <c r="G123" s="2"/>
    </row>
    <row r="124" spans="1:7" x14ac:dyDescent="0.25">
      <c r="A124" s="2"/>
      <c r="B124" s="2"/>
      <c r="C124" s="2"/>
      <c r="D124" s="2"/>
      <c r="E124" s="3"/>
      <c r="F124" s="2"/>
      <c r="G124" s="2"/>
    </row>
    <row r="125" spans="1:7" x14ac:dyDescent="0.25">
      <c r="A125" s="2"/>
      <c r="B125" s="2"/>
      <c r="C125" s="2"/>
      <c r="D125" s="2"/>
      <c r="E125" s="3"/>
      <c r="F125" s="2"/>
      <c r="G125" s="2"/>
    </row>
    <row r="126" spans="1:7" x14ac:dyDescent="0.25">
      <c r="A126" s="2"/>
      <c r="B126" s="2"/>
      <c r="C126" s="2"/>
      <c r="D126" s="2"/>
      <c r="E126" s="3"/>
      <c r="F126" s="2"/>
      <c r="G126" s="2"/>
    </row>
    <row r="127" spans="1:7" x14ac:dyDescent="0.25">
      <c r="A127" s="2"/>
      <c r="B127" s="2"/>
      <c r="C127" s="2"/>
      <c r="D127" s="2"/>
      <c r="E127" s="3"/>
      <c r="F127" s="2"/>
      <c r="G127" s="2"/>
    </row>
    <row r="128" spans="1:7" x14ac:dyDescent="0.25">
      <c r="A128" s="2"/>
      <c r="B128" s="2"/>
      <c r="C128" s="2"/>
      <c r="D128" s="2"/>
      <c r="E128" s="3"/>
      <c r="F128" s="2"/>
      <c r="G128" s="2"/>
    </row>
    <row r="129" spans="1:7" x14ac:dyDescent="0.25">
      <c r="A129" s="2"/>
      <c r="B129" s="2"/>
      <c r="C129" s="2"/>
      <c r="D129" s="2"/>
      <c r="E129" s="3"/>
      <c r="F129" s="2"/>
      <c r="G129" s="2"/>
    </row>
    <row r="130" spans="1:7" x14ac:dyDescent="0.25">
      <c r="A130" s="2"/>
      <c r="B130" s="2"/>
      <c r="C130" s="2"/>
      <c r="D130" s="2"/>
      <c r="E130" s="3"/>
      <c r="F130" s="2"/>
      <c r="G130" s="2"/>
    </row>
    <row r="131" spans="1:7" x14ac:dyDescent="0.25">
      <c r="A131" s="2"/>
      <c r="B131" s="2"/>
      <c r="C131" s="2"/>
      <c r="D131" s="2"/>
      <c r="E131" s="3"/>
      <c r="F131" s="2"/>
      <c r="G131" s="2"/>
    </row>
    <row r="132" spans="1:7" x14ac:dyDescent="0.25">
      <c r="A132" s="2"/>
      <c r="B132" s="2"/>
      <c r="C132" s="2"/>
      <c r="D132" s="2"/>
      <c r="E132" s="3"/>
      <c r="F132" s="2"/>
      <c r="G132" s="2"/>
    </row>
    <row r="133" spans="1:7" x14ac:dyDescent="0.25">
      <c r="A133" s="2"/>
      <c r="B133" s="2"/>
      <c r="C133" s="2"/>
      <c r="D133" s="2"/>
      <c r="E133" s="3"/>
      <c r="F133" s="2"/>
      <c r="G133" s="2"/>
    </row>
    <row r="134" spans="1:7" x14ac:dyDescent="0.25">
      <c r="A134" s="2"/>
      <c r="B134" s="2"/>
      <c r="C134" s="2"/>
      <c r="D134" s="2"/>
      <c r="E134" s="3"/>
      <c r="F134" s="2"/>
      <c r="G134" s="2"/>
    </row>
    <row r="135" spans="1:7" x14ac:dyDescent="0.25">
      <c r="A135" s="2"/>
      <c r="B135" s="2"/>
      <c r="C135" s="2"/>
      <c r="D135" s="2"/>
      <c r="E135" s="3"/>
      <c r="F135" s="2"/>
      <c r="G135" s="2"/>
    </row>
    <row r="136" spans="1:7" x14ac:dyDescent="0.25">
      <c r="A136" s="2"/>
      <c r="B136" s="2"/>
      <c r="C136" s="2"/>
      <c r="D136" s="2"/>
      <c r="E136" s="3"/>
      <c r="F136" s="2"/>
      <c r="G136" s="2"/>
    </row>
    <row r="137" spans="1:7" x14ac:dyDescent="0.25">
      <c r="A137" s="2"/>
      <c r="B137" s="2"/>
      <c r="C137" s="2"/>
      <c r="D137" s="2"/>
      <c r="E137" s="3"/>
      <c r="F137" s="2"/>
      <c r="G137" s="2"/>
    </row>
    <row r="138" spans="1:7" x14ac:dyDescent="0.25">
      <c r="A138" s="2"/>
      <c r="B138" s="2"/>
      <c r="C138" s="2"/>
      <c r="D138" s="2"/>
      <c r="E138" s="3"/>
      <c r="F138" s="2"/>
      <c r="G138" s="2"/>
    </row>
    <row r="139" spans="1:7" x14ac:dyDescent="0.25">
      <c r="A139" s="2"/>
      <c r="B139" s="2"/>
      <c r="C139" s="2"/>
      <c r="D139" s="2"/>
      <c r="E139" s="3"/>
      <c r="F139" s="2"/>
      <c r="G139" s="2"/>
    </row>
    <row r="140" spans="1:7" x14ac:dyDescent="0.25">
      <c r="A140" s="2"/>
      <c r="B140" s="2"/>
      <c r="C140" s="2"/>
      <c r="D140" s="2"/>
      <c r="E140" s="3"/>
      <c r="F140" s="2"/>
      <c r="G140" s="2"/>
    </row>
    <row r="141" spans="1:7" x14ac:dyDescent="0.25">
      <c r="A141" s="2"/>
      <c r="B141" s="2"/>
      <c r="C141" s="2"/>
      <c r="D141" s="2"/>
      <c r="E141" s="3"/>
      <c r="F141" s="2"/>
      <c r="G141" s="2"/>
    </row>
    <row r="142" spans="1:7" x14ac:dyDescent="0.25">
      <c r="A142" s="2"/>
      <c r="B142" s="2"/>
      <c r="C142" s="2"/>
      <c r="D142" s="2"/>
      <c r="E142" s="3"/>
      <c r="F142" s="2"/>
      <c r="G142" s="2"/>
    </row>
    <row r="143" spans="1:7" x14ac:dyDescent="0.25">
      <c r="A143" s="2"/>
      <c r="B143" s="2"/>
      <c r="C143" s="2"/>
      <c r="D143" s="2"/>
      <c r="E143" s="3"/>
      <c r="F143" s="2"/>
      <c r="G143" s="2"/>
    </row>
    <row r="144" spans="1:7" x14ac:dyDescent="0.25">
      <c r="A144" s="2"/>
      <c r="B144" s="2"/>
      <c r="C144" s="2"/>
      <c r="D144" s="2"/>
      <c r="E144" s="3"/>
      <c r="F144" s="2"/>
      <c r="G144" s="2"/>
    </row>
    <row r="145" spans="1:7" x14ac:dyDescent="0.25">
      <c r="A145" s="2"/>
      <c r="B145" s="2"/>
      <c r="C145" s="2"/>
      <c r="D145" s="2"/>
      <c r="E145" s="3"/>
      <c r="F145" s="2"/>
      <c r="G145" s="2"/>
    </row>
    <row r="146" spans="1:7" x14ac:dyDescent="0.25">
      <c r="A146" s="2"/>
      <c r="B146" s="2"/>
      <c r="C146" s="2"/>
      <c r="D146" s="2"/>
      <c r="E146" s="3"/>
      <c r="F146" s="2"/>
      <c r="G146" s="2"/>
    </row>
    <row r="147" spans="1:7" x14ac:dyDescent="0.25">
      <c r="A147" s="2"/>
      <c r="B147" s="2"/>
      <c r="C147" s="2"/>
      <c r="D147" s="2"/>
      <c r="E147" s="3"/>
      <c r="F147" s="2"/>
      <c r="G147" s="2"/>
    </row>
    <row r="148" spans="1:7" x14ac:dyDescent="0.25">
      <c r="A148" s="2"/>
      <c r="B148" s="2"/>
      <c r="C148" s="2"/>
      <c r="D148" s="2"/>
      <c r="E148" s="3"/>
      <c r="F148" s="2"/>
      <c r="G148" s="2"/>
    </row>
    <row r="149" spans="1:7" x14ac:dyDescent="0.25">
      <c r="A149" s="2"/>
      <c r="B149" s="2"/>
      <c r="C149" s="2"/>
      <c r="D149" s="2"/>
      <c r="E149" s="3"/>
      <c r="F149" s="2"/>
      <c r="G149" s="2"/>
    </row>
    <row r="150" spans="1:7" x14ac:dyDescent="0.25">
      <c r="A150" s="2"/>
      <c r="B150" s="2"/>
      <c r="C150" s="2"/>
      <c r="D150" s="2"/>
      <c r="E150" s="3"/>
      <c r="F150" s="2"/>
      <c r="G150" s="2"/>
    </row>
    <row r="151" spans="1:7" x14ac:dyDescent="0.25">
      <c r="A151" s="2"/>
      <c r="B151" s="2"/>
      <c r="C151" s="2"/>
      <c r="D151" s="2"/>
      <c r="E151" s="3"/>
      <c r="F151" s="2"/>
      <c r="G151" s="2"/>
    </row>
    <row r="152" spans="1:7" x14ac:dyDescent="0.25">
      <c r="A152" s="2"/>
      <c r="B152" s="2"/>
      <c r="C152" s="2"/>
      <c r="D152" s="2"/>
      <c r="E152" s="3"/>
      <c r="F152" s="2"/>
      <c r="G152" s="2"/>
    </row>
    <row r="153" spans="1:7" x14ac:dyDescent="0.25">
      <c r="A153" s="2"/>
      <c r="B153" s="2"/>
      <c r="C153" s="2"/>
      <c r="D153" s="2"/>
      <c r="E153" s="3"/>
      <c r="F153" s="2"/>
      <c r="G153" s="2"/>
    </row>
    <row r="154" spans="1:7" x14ac:dyDescent="0.25">
      <c r="A154" s="2"/>
      <c r="B154" s="2"/>
      <c r="C154" s="2"/>
      <c r="D154" s="2"/>
      <c r="E154" s="3"/>
      <c r="F154" s="2"/>
      <c r="G154" s="2"/>
    </row>
    <row r="155" spans="1:7" x14ac:dyDescent="0.25">
      <c r="A155" s="2"/>
      <c r="B155" s="2"/>
      <c r="C155" s="2"/>
      <c r="D155" s="2"/>
      <c r="E155" s="3"/>
      <c r="F155" s="2"/>
      <c r="G155" s="2"/>
    </row>
    <row r="156" spans="1:7" x14ac:dyDescent="0.25">
      <c r="A156" s="2"/>
      <c r="B156" s="2"/>
      <c r="C156" s="2"/>
      <c r="D156" s="2"/>
      <c r="E156" s="3"/>
      <c r="F156" s="2"/>
      <c r="G156" s="2"/>
    </row>
    <row r="157" spans="1:7" x14ac:dyDescent="0.25">
      <c r="A157" s="2"/>
      <c r="B157" s="2"/>
      <c r="C157" s="2"/>
      <c r="D157" s="2"/>
      <c r="E157" s="3"/>
      <c r="F157" s="2"/>
      <c r="G157" s="2"/>
    </row>
    <row r="158" spans="1:7" x14ac:dyDescent="0.25">
      <c r="A158" s="2"/>
      <c r="B158" s="2"/>
      <c r="C158" s="2"/>
      <c r="D158" s="2"/>
      <c r="E158" s="3"/>
      <c r="F158" s="2"/>
      <c r="G158" s="2"/>
    </row>
    <row r="159" spans="1:7" x14ac:dyDescent="0.25">
      <c r="A159" s="2"/>
      <c r="B159" s="2"/>
      <c r="C159" s="2"/>
      <c r="D159" s="2"/>
      <c r="E159" s="3"/>
      <c r="F159" s="2"/>
      <c r="G159" s="2"/>
    </row>
    <row r="160" spans="1:7" x14ac:dyDescent="0.25">
      <c r="A160" s="2"/>
      <c r="B160" s="2"/>
      <c r="C160" s="2"/>
      <c r="D160" s="2"/>
      <c r="E160" s="3"/>
      <c r="F160" s="2"/>
      <c r="G160" s="2"/>
    </row>
    <row r="161" spans="1:7" x14ac:dyDescent="0.25">
      <c r="A161" s="2"/>
      <c r="B161" s="2"/>
      <c r="C161" s="2"/>
      <c r="D161" s="2"/>
      <c r="E161" s="3"/>
      <c r="F161" s="2"/>
      <c r="G161" s="2"/>
    </row>
    <row r="162" spans="1:7" x14ac:dyDescent="0.25">
      <c r="A162" s="2"/>
      <c r="B162" s="2"/>
      <c r="C162" s="2"/>
      <c r="D162" s="2"/>
      <c r="E162" s="3"/>
      <c r="F162" s="2"/>
      <c r="G162" s="2"/>
    </row>
    <row r="163" spans="1:7" x14ac:dyDescent="0.25">
      <c r="A163" s="2"/>
      <c r="B163" s="2"/>
      <c r="C163" s="2"/>
      <c r="D163" s="2"/>
      <c r="E163" s="3"/>
      <c r="F163" s="2"/>
      <c r="G163" s="2"/>
    </row>
    <row r="164" spans="1:7" x14ac:dyDescent="0.25">
      <c r="A164" s="2"/>
      <c r="B164" s="2"/>
      <c r="C164" s="2"/>
      <c r="D164" s="2"/>
      <c r="E164" s="3"/>
      <c r="F164" s="2"/>
      <c r="G164" s="2"/>
    </row>
    <row r="165" spans="1:7" x14ac:dyDescent="0.25">
      <c r="A165" s="2"/>
      <c r="B165" s="2"/>
      <c r="C165" s="2"/>
      <c r="D165" s="2"/>
      <c r="E165" s="3"/>
      <c r="F165" s="2"/>
      <c r="G165" s="2"/>
    </row>
    <row r="166" spans="1:7" x14ac:dyDescent="0.25">
      <c r="A166" s="2"/>
      <c r="B166" s="2"/>
      <c r="C166" s="2"/>
      <c r="D166" s="2"/>
      <c r="E166" s="3"/>
      <c r="F166" s="2"/>
      <c r="G166" s="2"/>
    </row>
  </sheetData>
  <mergeCells count="2">
    <mergeCell ref="A105:G105"/>
    <mergeCell ref="A1:Q1"/>
  </mergeCells>
  <conditionalFormatting sqref="A3:Q102">
    <cfRule type="expression" dxfId="15" priority="8">
      <formula>$O3="Yes"</formula>
    </cfRule>
  </conditionalFormatting>
  <conditionalFormatting sqref="M3:M102">
    <cfRule type="expression" dxfId="14" priority="1">
      <formula>AND(M3&gt;=1,M3&lt;&gt;"")</formula>
    </cfRule>
    <cfRule type="expression" dxfId="13" priority="2">
      <formula>AND(M3&gt;=0.8,M3&lt;1)</formula>
    </cfRule>
    <cfRule type="expression" dxfId="12" priority="3">
      <formula>AND(M3&lt;0.8,M3&lt;&gt;"")</formula>
    </cfRule>
  </conditionalFormatting>
  <conditionalFormatting sqref="P3:P102">
    <cfRule type="expression" dxfId="11" priority="4">
      <formula>$P3="Completed"</formula>
    </cfRule>
    <cfRule type="expression" dxfId="10" priority="5">
      <formula>$P3="In progress"</formula>
    </cfRule>
    <cfRule type="expression" dxfId="9" priority="6">
      <formula>OR($P3="Delayed",$P3="Cancelled")</formula>
    </cfRule>
    <cfRule type="expression" dxfId="8" priority="7">
      <formula>$P3="Not started"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600-000000000000}">
          <x14:formula1>
            <xm:f>Lists!$F$1:$F$5</xm:f>
          </x14:formula1>
          <xm:sqref>P3:P102</xm:sqref>
        </x14:dataValidation>
        <x14:dataValidation type="list" allowBlank="1" xr:uid="{00000000-0002-0000-0600-000001000000}">
          <x14:formula1>
            <xm:f>Lists!$G$1:$G$2</xm:f>
          </x14:formula1>
          <xm:sqref>O3:O102</xm:sqref>
        </x14:dataValidation>
        <x14:dataValidation type="list" allowBlank="1" xr:uid="{00000000-0002-0000-0600-000002000000}">
          <x14:formula1>
            <xm:f>Lists!$D$2:$D$4</xm:f>
          </x14:formula1>
          <xm:sqref>I3:I102</xm:sqref>
        </x14:dataValidation>
        <x14:dataValidation type="list" allowBlank="1" xr:uid="{00000000-0002-0000-0600-000003000000}">
          <x14:formula1>
            <xm:f>Lists!$E$2:$E$13</xm:f>
          </x14:formula1>
          <xm:sqref>J3:J102</xm:sqref>
        </x14:dataValidation>
        <x14:dataValidation type="list" allowBlank="1" xr:uid="{00000000-0002-0000-0600-000004000000}">
          <x14:formula1>
            <xm:f>Lists!$B$2:$B$5</xm:f>
          </x14:formula1>
          <xm:sqref>E3:E102</xm:sqref>
        </x14:dataValidation>
        <x14:dataValidation type="list" allowBlank="1" xr:uid="{00000000-0002-0000-0600-000005000000}">
          <x14:formula1>
            <xm:f>Lists!$C$2:$C$5</xm:f>
          </x14:formula1>
          <xm:sqref>A3:A102</xm:sqref>
        </x14:dataValidation>
        <x14:dataValidation type="list" allowBlank="1" xr:uid="{00000000-0002-0000-0600-000006000000}">
          <x14:formula1>
            <xm:f>Lists!$H$1:$H$4</xm:f>
          </x14:formula1>
          <xm:sqref>C107:C166</xm:sqref>
        </x14:dataValidation>
        <x14:dataValidation type="list" allowBlank="1" xr:uid="{00000000-0002-0000-0600-000007000000}">
          <x14:formula1>
            <xm:f>Lists!$I$1:$I$3</xm:f>
          </x14:formula1>
          <xm:sqref>F107:F166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6"/>
  <sheetViews>
    <sheetView workbookViewId="0">
      <selection sqref="A1:Q1"/>
    </sheetView>
  </sheetViews>
  <sheetFormatPr defaultRowHeight="15" x14ac:dyDescent="0.25"/>
  <cols>
    <col min="1" max="1" width="18" customWidth="1"/>
    <col min="2" max="2" width="32" customWidth="1"/>
    <col min="3" max="3" width="20" customWidth="1"/>
    <col min="4" max="4" width="28" customWidth="1"/>
    <col min="5" max="5" width="18" customWidth="1"/>
    <col min="6" max="6" width="22" customWidth="1"/>
    <col min="7" max="7" width="26" customWidth="1"/>
    <col min="8" max="9" width="12" customWidth="1"/>
    <col min="10" max="10" width="14" customWidth="1"/>
    <col min="11" max="12" width="16" customWidth="1"/>
    <col min="13" max="13" width="12" customWidth="1"/>
    <col min="14" max="14" width="28" customWidth="1"/>
    <col min="15" max="15" width="18" customWidth="1"/>
    <col min="16" max="16" width="16" customWidth="1"/>
    <col min="17" max="17" width="34" customWidth="1"/>
  </cols>
  <sheetData>
    <row r="1" spans="1:17" x14ac:dyDescent="0.25">
      <c r="A1" s="20" t="s">
        <v>177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s="2" t="s">
        <v>45</v>
      </c>
      <c r="B3" s="2" t="s">
        <v>46</v>
      </c>
      <c r="C3" s="2" t="s">
        <v>178</v>
      </c>
      <c r="D3" s="2" t="s">
        <v>123</v>
      </c>
      <c r="E3" s="2" t="s">
        <v>49</v>
      </c>
      <c r="F3" s="2" t="s">
        <v>179</v>
      </c>
      <c r="G3" s="3">
        <v>45839</v>
      </c>
      <c r="H3" s="3">
        <v>45930</v>
      </c>
      <c r="I3" s="2" t="s">
        <v>56</v>
      </c>
      <c r="J3" s="2" t="s">
        <v>79</v>
      </c>
      <c r="K3" s="4">
        <v>41</v>
      </c>
      <c r="L3" s="4">
        <v>51</v>
      </c>
      <c r="M3" s="5">
        <f t="shared" ref="M3:M34" si="0">IF(OR(K3="",L3=""),"",IFERROR(L3/K3,0))</f>
        <v>1.2439024390243902</v>
      </c>
      <c r="N3" s="2" t="s">
        <v>51</v>
      </c>
      <c r="O3" s="2" t="s">
        <v>37</v>
      </c>
      <c r="P3" s="2" t="s">
        <v>28</v>
      </c>
      <c r="Q3" s="2" t="s">
        <v>29</v>
      </c>
    </row>
    <row r="4" spans="1:17" x14ac:dyDescent="0.25">
      <c r="A4" s="2" t="s">
        <v>18</v>
      </c>
      <c r="B4" s="2" t="s">
        <v>19</v>
      </c>
      <c r="C4" s="2" t="s">
        <v>180</v>
      </c>
      <c r="D4" s="2" t="s">
        <v>126</v>
      </c>
      <c r="E4" s="2" t="s">
        <v>22</v>
      </c>
      <c r="F4" s="2" t="s">
        <v>179</v>
      </c>
      <c r="G4" s="3">
        <v>45931</v>
      </c>
      <c r="H4" s="3">
        <v>46022</v>
      </c>
      <c r="I4" s="2" t="s">
        <v>56</v>
      </c>
      <c r="J4" s="2" t="s">
        <v>82</v>
      </c>
      <c r="K4" s="4">
        <v>46</v>
      </c>
      <c r="L4" s="4">
        <v>52</v>
      </c>
      <c r="M4" s="5">
        <f t="shared" si="0"/>
        <v>1.1304347826086956</v>
      </c>
      <c r="N4" s="2" t="s">
        <v>26</v>
      </c>
      <c r="O4" s="2" t="s">
        <v>27</v>
      </c>
      <c r="P4" s="2" t="s">
        <v>28</v>
      </c>
      <c r="Q4" s="2" t="s">
        <v>29</v>
      </c>
    </row>
    <row r="5" spans="1:17" x14ac:dyDescent="0.25">
      <c r="A5" s="2" t="s">
        <v>30</v>
      </c>
      <c r="B5" s="2" t="s">
        <v>31</v>
      </c>
      <c r="C5" s="2" t="s">
        <v>181</v>
      </c>
      <c r="D5" s="2" t="s">
        <v>128</v>
      </c>
      <c r="E5" s="2" t="s">
        <v>34</v>
      </c>
      <c r="F5" s="2" t="s">
        <v>179</v>
      </c>
      <c r="G5" s="3">
        <v>46023</v>
      </c>
      <c r="H5" s="3">
        <v>46112</v>
      </c>
      <c r="I5" s="2" t="s">
        <v>85</v>
      </c>
      <c r="J5" s="2" t="s">
        <v>86</v>
      </c>
      <c r="K5" s="4">
        <v>51</v>
      </c>
      <c r="L5" s="4">
        <v>53</v>
      </c>
      <c r="M5" s="5">
        <f t="shared" si="0"/>
        <v>1.0392156862745099</v>
      </c>
      <c r="N5" s="2" t="s">
        <v>36</v>
      </c>
      <c r="O5" s="2" t="s">
        <v>27</v>
      </c>
      <c r="P5" s="2" t="s">
        <v>28</v>
      </c>
      <c r="Q5" s="2" t="s">
        <v>29</v>
      </c>
    </row>
    <row r="6" spans="1:17" x14ac:dyDescent="0.25">
      <c r="A6" s="2" t="s">
        <v>38</v>
      </c>
      <c r="B6" s="2" t="s">
        <v>39</v>
      </c>
      <c r="C6" s="2" t="s">
        <v>182</v>
      </c>
      <c r="D6" s="2" t="s">
        <v>130</v>
      </c>
      <c r="E6" s="2" t="s">
        <v>42</v>
      </c>
      <c r="F6" s="2" t="s">
        <v>179</v>
      </c>
      <c r="G6" s="3">
        <v>46113</v>
      </c>
      <c r="H6" s="3">
        <v>46203</v>
      </c>
      <c r="I6" s="2" t="s">
        <v>85</v>
      </c>
      <c r="J6" s="2" t="s">
        <v>89</v>
      </c>
      <c r="K6" s="4">
        <v>56</v>
      </c>
      <c r="L6" s="4">
        <v>54</v>
      </c>
      <c r="M6" s="5">
        <f t="shared" si="0"/>
        <v>0.9642857142857143</v>
      </c>
      <c r="N6" s="2" t="s">
        <v>44</v>
      </c>
      <c r="O6" s="2" t="s">
        <v>37</v>
      </c>
      <c r="P6" s="2" t="s">
        <v>52</v>
      </c>
      <c r="Q6" s="2" t="s">
        <v>53</v>
      </c>
    </row>
    <row r="7" spans="1:17" x14ac:dyDescent="0.25">
      <c r="A7" s="2" t="s">
        <v>45</v>
      </c>
      <c r="B7" s="2" t="s">
        <v>46</v>
      </c>
      <c r="C7" s="2" t="s">
        <v>183</v>
      </c>
      <c r="D7" s="2" t="s">
        <v>132</v>
      </c>
      <c r="E7" s="2" t="s">
        <v>49</v>
      </c>
      <c r="F7" s="2" t="s">
        <v>179</v>
      </c>
      <c r="G7" s="3">
        <v>46204</v>
      </c>
      <c r="H7" s="3">
        <v>46295</v>
      </c>
      <c r="I7" s="2" t="s">
        <v>85</v>
      </c>
      <c r="J7" s="2" t="s">
        <v>92</v>
      </c>
      <c r="K7" s="4">
        <v>61</v>
      </c>
      <c r="L7" s="4">
        <v>0</v>
      </c>
      <c r="M7" s="5">
        <f t="shared" si="0"/>
        <v>0</v>
      </c>
      <c r="N7" s="2" t="s">
        <v>51</v>
      </c>
      <c r="O7" s="2" t="s">
        <v>27</v>
      </c>
      <c r="P7" s="2" t="s">
        <v>93</v>
      </c>
      <c r="Q7" s="2" t="s">
        <v>94</v>
      </c>
    </row>
    <row r="8" spans="1:17" x14ac:dyDescent="0.25">
      <c r="A8" s="2" t="s">
        <v>18</v>
      </c>
      <c r="B8" s="2" t="s">
        <v>19</v>
      </c>
      <c r="C8" s="2" t="s">
        <v>184</v>
      </c>
      <c r="D8" s="2" t="s">
        <v>134</v>
      </c>
      <c r="E8" s="2" t="s">
        <v>22</v>
      </c>
      <c r="F8" s="2" t="s">
        <v>179</v>
      </c>
      <c r="G8" s="3">
        <v>46296</v>
      </c>
      <c r="H8" s="3">
        <v>46387</v>
      </c>
      <c r="I8" s="2" t="s">
        <v>85</v>
      </c>
      <c r="J8" s="2" t="s">
        <v>97</v>
      </c>
      <c r="K8" s="4">
        <v>66</v>
      </c>
      <c r="L8" s="4">
        <v>0</v>
      </c>
      <c r="M8" s="5">
        <f t="shared" si="0"/>
        <v>0</v>
      </c>
      <c r="N8" s="2" t="s">
        <v>26</v>
      </c>
      <c r="O8" s="2" t="s">
        <v>27</v>
      </c>
      <c r="P8" s="2" t="s">
        <v>93</v>
      </c>
      <c r="Q8" s="2" t="s">
        <v>94</v>
      </c>
    </row>
    <row r="9" spans="1:17" x14ac:dyDescent="0.25">
      <c r="A9" s="2"/>
      <c r="B9" s="2"/>
      <c r="C9" s="2"/>
      <c r="D9" s="2"/>
      <c r="E9" s="2"/>
      <c r="F9" s="2" t="s">
        <v>179</v>
      </c>
      <c r="G9" s="3"/>
      <c r="H9" s="3"/>
      <c r="I9" s="2"/>
      <c r="J9" s="2"/>
      <c r="K9" s="4"/>
      <c r="L9" s="4"/>
      <c r="M9" s="5" t="str">
        <f t="shared" si="0"/>
        <v/>
      </c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 t="s">
        <v>179</v>
      </c>
      <c r="G10" s="3"/>
      <c r="H10" s="3"/>
      <c r="I10" s="2"/>
      <c r="J10" s="2"/>
      <c r="K10" s="4"/>
      <c r="L10" s="4"/>
      <c r="M10" s="5" t="str">
        <f t="shared" si="0"/>
        <v/>
      </c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 t="s">
        <v>179</v>
      </c>
      <c r="G11" s="3"/>
      <c r="H11" s="3"/>
      <c r="I11" s="2"/>
      <c r="J11" s="2"/>
      <c r="K11" s="4"/>
      <c r="L11" s="4"/>
      <c r="M11" s="5" t="str">
        <f t="shared" si="0"/>
        <v/>
      </c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 t="s">
        <v>179</v>
      </c>
      <c r="G12" s="3"/>
      <c r="H12" s="3"/>
      <c r="I12" s="2"/>
      <c r="J12" s="2"/>
      <c r="K12" s="4"/>
      <c r="L12" s="4"/>
      <c r="M12" s="5" t="str">
        <f t="shared" si="0"/>
        <v/>
      </c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 t="s">
        <v>179</v>
      </c>
      <c r="G13" s="3"/>
      <c r="H13" s="3"/>
      <c r="I13" s="2"/>
      <c r="J13" s="2"/>
      <c r="K13" s="4"/>
      <c r="L13" s="4"/>
      <c r="M13" s="5" t="str">
        <f t="shared" si="0"/>
        <v/>
      </c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 t="s">
        <v>179</v>
      </c>
      <c r="G14" s="3"/>
      <c r="H14" s="3"/>
      <c r="I14" s="2"/>
      <c r="J14" s="2"/>
      <c r="K14" s="4"/>
      <c r="L14" s="4"/>
      <c r="M14" s="5" t="str">
        <f t="shared" si="0"/>
        <v/>
      </c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 t="s">
        <v>179</v>
      </c>
      <c r="G15" s="3"/>
      <c r="H15" s="3"/>
      <c r="I15" s="2"/>
      <c r="J15" s="2"/>
      <c r="K15" s="4"/>
      <c r="L15" s="4"/>
      <c r="M15" s="5" t="str">
        <f t="shared" si="0"/>
        <v/>
      </c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 t="s">
        <v>179</v>
      </c>
      <c r="G16" s="3"/>
      <c r="H16" s="3"/>
      <c r="I16" s="2"/>
      <c r="J16" s="2"/>
      <c r="K16" s="4"/>
      <c r="L16" s="4"/>
      <c r="M16" s="5" t="str">
        <f t="shared" si="0"/>
        <v/>
      </c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 t="s">
        <v>179</v>
      </c>
      <c r="G17" s="3"/>
      <c r="H17" s="3"/>
      <c r="I17" s="2"/>
      <c r="J17" s="2"/>
      <c r="K17" s="4"/>
      <c r="L17" s="4"/>
      <c r="M17" s="5" t="str">
        <f t="shared" si="0"/>
        <v/>
      </c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 t="s">
        <v>179</v>
      </c>
      <c r="G18" s="3"/>
      <c r="H18" s="3"/>
      <c r="I18" s="2"/>
      <c r="J18" s="2"/>
      <c r="K18" s="4"/>
      <c r="L18" s="4"/>
      <c r="M18" s="5" t="str">
        <f t="shared" si="0"/>
        <v/>
      </c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 t="s">
        <v>179</v>
      </c>
      <c r="G19" s="3"/>
      <c r="H19" s="3"/>
      <c r="I19" s="2"/>
      <c r="J19" s="2"/>
      <c r="K19" s="4"/>
      <c r="L19" s="4"/>
      <c r="M19" s="5" t="str">
        <f t="shared" si="0"/>
        <v/>
      </c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 t="s">
        <v>179</v>
      </c>
      <c r="G20" s="3"/>
      <c r="H20" s="3"/>
      <c r="I20" s="2"/>
      <c r="J20" s="2"/>
      <c r="K20" s="4"/>
      <c r="L20" s="4"/>
      <c r="M20" s="5" t="str">
        <f t="shared" si="0"/>
        <v/>
      </c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 t="s">
        <v>179</v>
      </c>
      <c r="G21" s="3"/>
      <c r="H21" s="3"/>
      <c r="I21" s="2"/>
      <c r="J21" s="2"/>
      <c r="K21" s="4"/>
      <c r="L21" s="4"/>
      <c r="M21" s="5" t="str">
        <f t="shared" si="0"/>
        <v/>
      </c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 t="s">
        <v>179</v>
      </c>
      <c r="G22" s="3"/>
      <c r="H22" s="3"/>
      <c r="I22" s="2"/>
      <c r="J22" s="2"/>
      <c r="K22" s="4"/>
      <c r="L22" s="4"/>
      <c r="M22" s="5" t="str">
        <f t="shared" si="0"/>
        <v/>
      </c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 t="s">
        <v>179</v>
      </c>
      <c r="G23" s="3"/>
      <c r="H23" s="3"/>
      <c r="I23" s="2"/>
      <c r="J23" s="2"/>
      <c r="K23" s="4"/>
      <c r="L23" s="4"/>
      <c r="M23" s="5" t="str">
        <f t="shared" si="0"/>
        <v/>
      </c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 t="s">
        <v>179</v>
      </c>
      <c r="G24" s="3"/>
      <c r="H24" s="3"/>
      <c r="I24" s="2"/>
      <c r="J24" s="2"/>
      <c r="K24" s="4"/>
      <c r="L24" s="4"/>
      <c r="M24" s="5" t="str">
        <f t="shared" si="0"/>
        <v/>
      </c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 t="s">
        <v>179</v>
      </c>
      <c r="G25" s="3"/>
      <c r="H25" s="3"/>
      <c r="I25" s="2"/>
      <c r="J25" s="2"/>
      <c r="K25" s="4"/>
      <c r="L25" s="4"/>
      <c r="M25" s="5" t="str">
        <f t="shared" si="0"/>
        <v/>
      </c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 t="s">
        <v>179</v>
      </c>
      <c r="G26" s="3"/>
      <c r="H26" s="3"/>
      <c r="I26" s="2"/>
      <c r="J26" s="2"/>
      <c r="K26" s="4"/>
      <c r="L26" s="4"/>
      <c r="M26" s="5" t="str">
        <f t="shared" si="0"/>
        <v/>
      </c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 t="s">
        <v>179</v>
      </c>
      <c r="G27" s="3"/>
      <c r="H27" s="3"/>
      <c r="I27" s="2"/>
      <c r="J27" s="2"/>
      <c r="K27" s="4"/>
      <c r="L27" s="4"/>
      <c r="M27" s="5" t="str">
        <f t="shared" si="0"/>
        <v/>
      </c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 t="s">
        <v>179</v>
      </c>
      <c r="G28" s="3"/>
      <c r="H28" s="3"/>
      <c r="I28" s="2"/>
      <c r="J28" s="2"/>
      <c r="K28" s="4"/>
      <c r="L28" s="4"/>
      <c r="M28" s="5" t="str">
        <f t="shared" si="0"/>
        <v/>
      </c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 t="s">
        <v>179</v>
      </c>
      <c r="G29" s="3"/>
      <c r="H29" s="3"/>
      <c r="I29" s="2"/>
      <c r="J29" s="2"/>
      <c r="K29" s="4"/>
      <c r="L29" s="4"/>
      <c r="M29" s="5" t="str">
        <f t="shared" si="0"/>
        <v/>
      </c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 t="s">
        <v>179</v>
      </c>
      <c r="G30" s="3"/>
      <c r="H30" s="3"/>
      <c r="I30" s="2"/>
      <c r="J30" s="2"/>
      <c r="K30" s="4"/>
      <c r="L30" s="4"/>
      <c r="M30" s="5" t="str">
        <f t="shared" si="0"/>
        <v/>
      </c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 t="s">
        <v>179</v>
      </c>
      <c r="G31" s="3"/>
      <c r="H31" s="3"/>
      <c r="I31" s="2"/>
      <c r="J31" s="2"/>
      <c r="K31" s="4"/>
      <c r="L31" s="4"/>
      <c r="M31" s="5" t="str">
        <f t="shared" si="0"/>
        <v/>
      </c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 t="s">
        <v>179</v>
      </c>
      <c r="G32" s="3"/>
      <c r="H32" s="3"/>
      <c r="I32" s="2"/>
      <c r="J32" s="2"/>
      <c r="K32" s="4"/>
      <c r="L32" s="4"/>
      <c r="M32" s="5" t="str">
        <f t="shared" si="0"/>
        <v/>
      </c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 t="s">
        <v>179</v>
      </c>
      <c r="G33" s="3"/>
      <c r="H33" s="3"/>
      <c r="I33" s="2"/>
      <c r="J33" s="2"/>
      <c r="K33" s="4"/>
      <c r="L33" s="4"/>
      <c r="M33" s="5" t="str">
        <f t="shared" si="0"/>
        <v/>
      </c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 t="s">
        <v>179</v>
      </c>
      <c r="G34" s="3"/>
      <c r="H34" s="3"/>
      <c r="I34" s="2"/>
      <c r="J34" s="2"/>
      <c r="K34" s="4"/>
      <c r="L34" s="4"/>
      <c r="M34" s="5" t="str">
        <f t="shared" si="0"/>
        <v/>
      </c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 t="s">
        <v>179</v>
      </c>
      <c r="G35" s="3"/>
      <c r="H35" s="3"/>
      <c r="I35" s="2"/>
      <c r="J35" s="2"/>
      <c r="K35" s="4"/>
      <c r="L35" s="4"/>
      <c r="M35" s="5" t="str">
        <f t="shared" ref="M35:M66" si="1">IF(OR(K35="",L35=""),"",IFERROR(L35/K35,0))</f>
        <v/>
      </c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 t="s">
        <v>179</v>
      </c>
      <c r="G36" s="3"/>
      <c r="H36" s="3"/>
      <c r="I36" s="2"/>
      <c r="J36" s="2"/>
      <c r="K36" s="4"/>
      <c r="L36" s="4"/>
      <c r="M36" s="5" t="str">
        <f t="shared" si="1"/>
        <v/>
      </c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 t="s">
        <v>179</v>
      </c>
      <c r="G37" s="3"/>
      <c r="H37" s="3"/>
      <c r="I37" s="2"/>
      <c r="J37" s="2"/>
      <c r="K37" s="4"/>
      <c r="L37" s="4"/>
      <c r="M37" s="5" t="str">
        <f t="shared" si="1"/>
        <v/>
      </c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 t="s">
        <v>179</v>
      </c>
      <c r="G38" s="3"/>
      <c r="H38" s="3"/>
      <c r="I38" s="2"/>
      <c r="J38" s="2"/>
      <c r="K38" s="4"/>
      <c r="L38" s="4"/>
      <c r="M38" s="5" t="str">
        <f t="shared" si="1"/>
        <v/>
      </c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 t="s">
        <v>179</v>
      </c>
      <c r="G39" s="3"/>
      <c r="H39" s="3"/>
      <c r="I39" s="2"/>
      <c r="J39" s="2"/>
      <c r="K39" s="4"/>
      <c r="L39" s="4"/>
      <c r="M39" s="5" t="str">
        <f t="shared" si="1"/>
        <v/>
      </c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 t="s">
        <v>179</v>
      </c>
      <c r="G40" s="3"/>
      <c r="H40" s="3"/>
      <c r="I40" s="2"/>
      <c r="J40" s="2"/>
      <c r="K40" s="4"/>
      <c r="L40" s="4"/>
      <c r="M40" s="5" t="str">
        <f t="shared" si="1"/>
        <v/>
      </c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 t="s">
        <v>179</v>
      </c>
      <c r="G41" s="3"/>
      <c r="H41" s="3"/>
      <c r="I41" s="2"/>
      <c r="J41" s="2"/>
      <c r="K41" s="4"/>
      <c r="L41" s="4"/>
      <c r="M41" s="5" t="str">
        <f t="shared" si="1"/>
        <v/>
      </c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 t="s">
        <v>179</v>
      </c>
      <c r="G42" s="3"/>
      <c r="H42" s="3"/>
      <c r="I42" s="2"/>
      <c r="J42" s="2"/>
      <c r="K42" s="4"/>
      <c r="L42" s="4"/>
      <c r="M42" s="5" t="str">
        <f t="shared" si="1"/>
        <v/>
      </c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 t="s">
        <v>179</v>
      </c>
      <c r="G43" s="3"/>
      <c r="H43" s="3"/>
      <c r="I43" s="2"/>
      <c r="J43" s="2"/>
      <c r="K43" s="4"/>
      <c r="L43" s="4"/>
      <c r="M43" s="5" t="str">
        <f t="shared" si="1"/>
        <v/>
      </c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 t="s">
        <v>179</v>
      </c>
      <c r="G44" s="3"/>
      <c r="H44" s="3"/>
      <c r="I44" s="2"/>
      <c r="J44" s="2"/>
      <c r="K44" s="4"/>
      <c r="L44" s="4"/>
      <c r="M44" s="5" t="str">
        <f t="shared" si="1"/>
        <v/>
      </c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 t="s">
        <v>179</v>
      </c>
      <c r="G45" s="3"/>
      <c r="H45" s="3"/>
      <c r="I45" s="2"/>
      <c r="J45" s="2"/>
      <c r="K45" s="4"/>
      <c r="L45" s="4"/>
      <c r="M45" s="5" t="str">
        <f t="shared" si="1"/>
        <v/>
      </c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 t="s">
        <v>179</v>
      </c>
      <c r="G46" s="3"/>
      <c r="H46" s="3"/>
      <c r="I46" s="2"/>
      <c r="J46" s="2"/>
      <c r="K46" s="4"/>
      <c r="L46" s="4"/>
      <c r="M46" s="5" t="str">
        <f t="shared" si="1"/>
        <v/>
      </c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 t="s">
        <v>179</v>
      </c>
      <c r="G47" s="3"/>
      <c r="H47" s="3"/>
      <c r="I47" s="2"/>
      <c r="J47" s="2"/>
      <c r="K47" s="4"/>
      <c r="L47" s="4"/>
      <c r="M47" s="5" t="str">
        <f t="shared" si="1"/>
        <v/>
      </c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 t="s">
        <v>179</v>
      </c>
      <c r="G48" s="3"/>
      <c r="H48" s="3"/>
      <c r="I48" s="2"/>
      <c r="J48" s="2"/>
      <c r="K48" s="4"/>
      <c r="L48" s="4"/>
      <c r="M48" s="5" t="str">
        <f t="shared" si="1"/>
        <v/>
      </c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 t="s">
        <v>179</v>
      </c>
      <c r="G49" s="3"/>
      <c r="H49" s="3"/>
      <c r="I49" s="2"/>
      <c r="J49" s="2"/>
      <c r="K49" s="4"/>
      <c r="L49" s="4"/>
      <c r="M49" s="5" t="str">
        <f t="shared" si="1"/>
        <v/>
      </c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 t="s">
        <v>179</v>
      </c>
      <c r="G50" s="3"/>
      <c r="H50" s="3"/>
      <c r="I50" s="2"/>
      <c r="J50" s="2"/>
      <c r="K50" s="4"/>
      <c r="L50" s="4"/>
      <c r="M50" s="5" t="str">
        <f t="shared" si="1"/>
        <v/>
      </c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 t="s">
        <v>179</v>
      </c>
      <c r="G51" s="3"/>
      <c r="H51" s="3"/>
      <c r="I51" s="2"/>
      <c r="J51" s="2"/>
      <c r="K51" s="4"/>
      <c r="L51" s="4"/>
      <c r="M51" s="5" t="str">
        <f t="shared" si="1"/>
        <v/>
      </c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 t="s">
        <v>179</v>
      </c>
      <c r="G52" s="3"/>
      <c r="H52" s="3"/>
      <c r="I52" s="2"/>
      <c r="J52" s="2"/>
      <c r="K52" s="4"/>
      <c r="L52" s="4"/>
      <c r="M52" s="5" t="str">
        <f t="shared" si="1"/>
        <v/>
      </c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 t="s">
        <v>179</v>
      </c>
      <c r="G53" s="3"/>
      <c r="H53" s="3"/>
      <c r="I53" s="2"/>
      <c r="J53" s="2"/>
      <c r="K53" s="4"/>
      <c r="L53" s="4"/>
      <c r="M53" s="5" t="str">
        <f t="shared" si="1"/>
        <v/>
      </c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 t="s">
        <v>179</v>
      </c>
      <c r="G54" s="3"/>
      <c r="H54" s="3"/>
      <c r="I54" s="2"/>
      <c r="J54" s="2"/>
      <c r="K54" s="4"/>
      <c r="L54" s="4"/>
      <c r="M54" s="5" t="str">
        <f t="shared" si="1"/>
        <v/>
      </c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 t="s">
        <v>179</v>
      </c>
      <c r="G55" s="3"/>
      <c r="H55" s="3"/>
      <c r="I55" s="2"/>
      <c r="J55" s="2"/>
      <c r="K55" s="4"/>
      <c r="L55" s="4"/>
      <c r="M55" s="5" t="str">
        <f t="shared" si="1"/>
        <v/>
      </c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 t="s">
        <v>179</v>
      </c>
      <c r="G56" s="3"/>
      <c r="H56" s="3"/>
      <c r="I56" s="2"/>
      <c r="J56" s="2"/>
      <c r="K56" s="4"/>
      <c r="L56" s="4"/>
      <c r="M56" s="5" t="str">
        <f t="shared" si="1"/>
        <v/>
      </c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 t="s">
        <v>179</v>
      </c>
      <c r="G57" s="3"/>
      <c r="H57" s="3"/>
      <c r="I57" s="2"/>
      <c r="J57" s="2"/>
      <c r="K57" s="4"/>
      <c r="L57" s="4"/>
      <c r="M57" s="5" t="str">
        <f t="shared" si="1"/>
        <v/>
      </c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 t="s">
        <v>179</v>
      </c>
      <c r="G58" s="3"/>
      <c r="H58" s="3"/>
      <c r="I58" s="2"/>
      <c r="J58" s="2"/>
      <c r="K58" s="4"/>
      <c r="L58" s="4"/>
      <c r="M58" s="5" t="str">
        <f t="shared" si="1"/>
        <v/>
      </c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 t="s">
        <v>179</v>
      </c>
      <c r="G59" s="3"/>
      <c r="H59" s="3"/>
      <c r="I59" s="2"/>
      <c r="J59" s="2"/>
      <c r="K59" s="4"/>
      <c r="L59" s="4"/>
      <c r="M59" s="5" t="str">
        <f t="shared" si="1"/>
        <v/>
      </c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 t="s">
        <v>179</v>
      </c>
      <c r="G60" s="3"/>
      <c r="H60" s="3"/>
      <c r="I60" s="2"/>
      <c r="J60" s="2"/>
      <c r="K60" s="4"/>
      <c r="L60" s="4"/>
      <c r="M60" s="5" t="str">
        <f t="shared" si="1"/>
        <v/>
      </c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 t="s">
        <v>179</v>
      </c>
      <c r="G61" s="3"/>
      <c r="H61" s="3"/>
      <c r="I61" s="2"/>
      <c r="J61" s="2"/>
      <c r="K61" s="4"/>
      <c r="L61" s="4"/>
      <c r="M61" s="5" t="str">
        <f t="shared" si="1"/>
        <v/>
      </c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 t="s">
        <v>179</v>
      </c>
      <c r="G62" s="3"/>
      <c r="H62" s="3"/>
      <c r="I62" s="2"/>
      <c r="J62" s="2"/>
      <c r="K62" s="4"/>
      <c r="L62" s="4"/>
      <c r="M62" s="5" t="str">
        <f t="shared" si="1"/>
        <v/>
      </c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 t="s">
        <v>179</v>
      </c>
      <c r="G63" s="3"/>
      <c r="H63" s="3"/>
      <c r="I63" s="2"/>
      <c r="J63" s="2"/>
      <c r="K63" s="4"/>
      <c r="L63" s="4"/>
      <c r="M63" s="5" t="str">
        <f t="shared" si="1"/>
        <v/>
      </c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 t="s">
        <v>179</v>
      </c>
      <c r="G64" s="3"/>
      <c r="H64" s="3"/>
      <c r="I64" s="2"/>
      <c r="J64" s="2"/>
      <c r="K64" s="4"/>
      <c r="L64" s="4"/>
      <c r="M64" s="5" t="str">
        <f t="shared" si="1"/>
        <v/>
      </c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 t="s">
        <v>179</v>
      </c>
      <c r="G65" s="3"/>
      <c r="H65" s="3"/>
      <c r="I65" s="2"/>
      <c r="J65" s="2"/>
      <c r="K65" s="4"/>
      <c r="L65" s="4"/>
      <c r="M65" s="5" t="str">
        <f t="shared" si="1"/>
        <v/>
      </c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 t="s">
        <v>179</v>
      </c>
      <c r="G66" s="3"/>
      <c r="H66" s="3"/>
      <c r="I66" s="2"/>
      <c r="J66" s="2"/>
      <c r="K66" s="4"/>
      <c r="L66" s="4"/>
      <c r="M66" s="5" t="str">
        <f t="shared" si="1"/>
        <v/>
      </c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 t="s">
        <v>179</v>
      </c>
      <c r="G67" s="3"/>
      <c r="H67" s="3"/>
      <c r="I67" s="2"/>
      <c r="J67" s="2"/>
      <c r="K67" s="4"/>
      <c r="L67" s="4"/>
      <c r="M67" s="5" t="str">
        <f t="shared" ref="M67:M98" si="2">IF(OR(K67="",L67=""),"",IFERROR(L67/K67,0))</f>
        <v/>
      </c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 t="s">
        <v>179</v>
      </c>
      <c r="G68" s="3"/>
      <c r="H68" s="3"/>
      <c r="I68" s="2"/>
      <c r="J68" s="2"/>
      <c r="K68" s="4"/>
      <c r="L68" s="4"/>
      <c r="M68" s="5" t="str">
        <f t="shared" si="2"/>
        <v/>
      </c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 t="s">
        <v>179</v>
      </c>
      <c r="G69" s="3"/>
      <c r="H69" s="3"/>
      <c r="I69" s="2"/>
      <c r="J69" s="2"/>
      <c r="K69" s="4"/>
      <c r="L69" s="4"/>
      <c r="M69" s="5" t="str">
        <f t="shared" si="2"/>
        <v/>
      </c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 t="s">
        <v>179</v>
      </c>
      <c r="G70" s="3"/>
      <c r="H70" s="3"/>
      <c r="I70" s="2"/>
      <c r="J70" s="2"/>
      <c r="K70" s="4"/>
      <c r="L70" s="4"/>
      <c r="M70" s="5" t="str">
        <f t="shared" si="2"/>
        <v/>
      </c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 t="s">
        <v>179</v>
      </c>
      <c r="G71" s="3"/>
      <c r="H71" s="3"/>
      <c r="I71" s="2"/>
      <c r="J71" s="2"/>
      <c r="K71" s="4"/>
      <c r="L71" s="4"/>
      <c r="M71" s="5" t="str">
        <f t="shared" si="2"/>
        <v/>
      </c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 t="s">
        <v>179</v>
      </c>
      <c r="G72" s="3"/>
      <c r="H72" s="3"/>
      <c r="I72" s="2"/>
      <c r="J72" s="2"/>
      <c r="K72" s="4"/>
      <c r="L72" s="4"/>
      <c r="M72" s="5" t="str">
        <f t="shared" si="2"/>
        <v/>
      </c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 t="s">
        <v>179</v>
      </c>
      <c r="G73" s="3"/>
      <c r="H73" s="3"/>
      <c r="I73" s="2"/>
      <c r="J73" s="2"/>
      <c r="K73" s="4"/>
      <c r="L73" s="4"/>
      <c r="M73" s="5" t="str">
        <f t="shared" si="2"/>
        <v/>
      </c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 t="s">
        <v>179</v>
      </c>
      <c r="G74" s="3"/>
      <c r="H74" s="3"/>
      <c r="I74" s="2"/>
      <c r="J74" s="2"/>
      <c r="K74" s="4"/>
      <c r="L74" s="4"/>
      <c r="M74" s="5" t="str">
        <f t="shared" si="2"/>
        <v/>
      </c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 t="s">
        <v>179</v>
      </c>
      <c r="G75" s="3"/>
      <c r="H75" s="3"/>
      <c r="I75" s="2"/>
      <c r="J75" s="2"/>
      <c r="K75" s="4"/>
      <c r="L75" s="4"/>
      <c r="M75" s="5" t="str">
        <f t="shared" si="2"/>
        <v/>
      </c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 t="s">
        <v>179</v>
      </c>
      <c r="G76" s="3"/>
      <c r="H76" s="3"/>
      <c r="I76" s="2"/>
      <c r="J76" s="2"/>
      <c r="K76" s="4"/>
      <c r="L76" s="4"/>
      <c r="M76" s="5" t="str">
        <f t="shared" si="2"/>
        <v/>
      </c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 t="s">
        <v>179</v>
      </c>
      <c r="G77" s="3"/>
      <c r="H77" s="3"/>
      <c r="I77" s="2"/>
      <c r="J77" s="2"/>
      <c r="K77" s="4"/>
      <c r="L77" s="4"/>
      <c r="M77" s="5" t="str">
        <f t="shared" si="2"/>
        <v/>
      </c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 t="s">
        <v>179</v>
      </c>
      <c r="G78" s="3"/>
      <c r="H78" s="3"/>
      <c r="I78" s="2"/>
      <c r="J78" s="2"/>
      <c r="K78" s="4"/>
      <c r="L78" s="4"/>
      <c r="M78" s="5" t="str">
        <f t="shared" si="2"/>
        <v/>
      </c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 t="s">
        <v>179</v>
      </c>
      <c r="G79" s="3"/>
      <c r="H79" s="3"/>
      <c r="I79" s="2"/>
      <c r="J79" s="2"/>
      <c r="K79" s="4"/>
      <c r="L79" s="4"/>
      <c r="M79" s="5" t="str">
        <f t="shared" si="2"/>
        <v/>
      </c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 t="s">
        <v>179</v>
      </c>
      <c r="G80" s="3"/>
      <c r="H80" s="3"/>
      <c r="I80" s="2"/>
      <c r="J80" s="2"/>
      <c r="K80" s="4"/>
      <c r="L80" s="4"/>
      <c r="M80" s="5" t="str">
        <f t="shared" si="2"/>
        <v/>
      </c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 t="s">
        <v>179</v>
      </c>
      <c r="G81" s="3"/>
      <c r="H81" s="3"/>
      <c r="I81" s="2"/>
      <c r="J81" s="2"/>
      <c r="K81" s="4"/>
      <c r="L81" s="4"/>
      <c r="M81" s="5" t="str">
        <f t="shared" si="2"/>
        <v/>
      </c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 t="s">
        <v>179</v>
      </c>
      <c r="G82" s="3"/>
      <c r="H82" s="3"/>
      <c r="I82" s="2"/>
      <c r="J82" s="2"/>
      <c r="K82" s="4"/>
      <c r="L82" s="4"/>
      <c r="M82" s="5" t="str">
        <f t="shared" si="2"/>
        <v/>
      </c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 t="s">
        <v>179</v>
      </c>
      <c r="G83" s="3"/>
      <c r="H83" s="3"/>
      <c r="I83" s="2"/>
      <c r="J83" s="2"/>
      <c r="K83" s="4"/>
      <c r="L83" s="4"/>
      <c r="M83" s="5" t="str">
        <f t="shared" si="2"/>
        <v/>
      </c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 t="s">
        <v>179</v>
      </c>
      <c r="G84" s="3"/>
      <c r="H84" s="3"/>
      <c r="I84" s="2"/>
      <c r="J84" s="2"/>
      <c r="K84" s="4"/>
      <c r="L84" s="4"/>
      <c r="M84" s="5" t="str">
        <f t="shared" si="2"/>
        <v/>
      </c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 t="s">
        <v>179</v>
      </c>
      <c r="G85" s="3"/>
      <c r="H85" s="3"/>
      <c r="I85" s="2"/>
      <c r="J85" s="2"/>
      <c r="K85" s="4"/>
      <c r="L85" s="4"/>
      <c r="M85" s="5" t="str">
        <f t="shared" si="2"/>
        <v/>
      </c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 t="s">
        <v>179</v>
      </c>
      <c r="G86" s="3"/>
      <c r="H86" s="3"/>
      <c r="I86" s="2"/>
      <c r="J86" s="2"/>
      <c r="K86" s="4"/>
      <c r="L86" s="4"/>
      <c r="M86" s="5" t="str">
        <f t="shared" si="2"/>
        <v/>
      </c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 t="s">
        <v>179</v>
      </c>
      <c r="G87" s="3"/>
      <c r="H87" s="3"/>
      <c r="I87" s="2"/>
      <c r="J87" s="2"/>
      <c r="K87" s="4"/>
      <c r="L87" s="4"/>
      <c r="M87" s="5" t="str">
        <f t="shared" si="2"/>
        <v/>
      </c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 t="s">
        <v>179</v>
      </c>
      <c r="G88" s="3"/>
      <c r="H88" s="3"/>
      <c r="I88" s="2"/>
      <c r="J88" s="2"/>
      <c r="K88" s="4"/>
      <c r="L88" s="4"/>
      <c r="M88" s="5" t="str">
        <f t="shared" si="2"/>
        <v/>
      </c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 t="s">
        <v>179</v>
      </c>
      <c r="G89" s="3"/>
      <c r="H89" s="3"/>
      <c r="I89" s="2"/>
      <c r="J89" s="2"/>
      <c r="K89" s="4"/>
      <c r="L89" s="4"/>
      <c r="M89" s="5" t="str">
        <f t="shared" si="2"/>
        <v/>
      </c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 t="s">
        <v>179</v>
      </c>
      <c r="G90" s="3"/>
      <c r="H90" s="3"/>
      <c r="I90" s="2"/>
      <c r="J90" s="2"/>
      <c r="K90" s="4"/>
      <c r="L90" s="4"/>
      <c r="M90" s="5" t="str">
        <f t="shared" si="2"/>
        <v/>
      </c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 t="s">
        <v>179</v>
      </c>
      <c r="G91" s="3"/>
      <c r="H91" s="3"/>
      <c r="I91" s="2"/>
      <c r="J91" s="2"/>
      <c r="K91" s="4"/>
      <c r="L91" s="4"/>
      <c r="M91" s="5" t="str">
        <f t="shared" si="2"/>
        <v/>
      </c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 t="s">
        <v>179</v>
      </c>
      <c r="G92" s="3"/>
      <c r="H92" s="3"/>
      <c r="I92" s="2"/>
      <c r="J92" s="2"/>
      <c r="K92" s="4"/>
      <c r="L92" s="4"/>
      <c r="M92" s="5" t="str">
        <f t="shared" si="2"/>
        <v/>
      </c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 t="s">
        <v>179</v>
      </c>
      <c r="G93" s="3"/>
      <c r="H93" s="3"/>
      <c r="I93" s="2"/>
      <c r="J93" s="2"/>
      <c r="K93" s="4"/>
      <c r="L93" s="4"/>
      <c r="M93" s="5" t="str">
        <f t="shared" si="2"/>
        <v/>
      </c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 t="s">
        <v>179</v>
      </c>
      <c r="G94" s="3"/>
      <c r="H94" s="3"/>
      <c r="I94" s="2"/>
      <c r="J94" s="2"/>
      <c r="K94" s="4"/>
      <c r="L94" s="4"/>
      <c r="M94" s="5" t="str">
        <f t="shared" si="2"/>
        <v/>
      </c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 t="s">
        <v>179</v>
      </c>
      <c r="G95" s="3"/>
      <c r="H95" s="3"/>
      <c r="I95" s="2"/>
      <c r="J95" s="2"/>
      <c r="K95" s="4"/>
      <c r="L95" s="4"/>
      <c r="M95" s="5" t="str">
        <f t="shared" si="2"/>
        <v/>
      </c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 t="s">
        <v>179</v>
      </c>
      <c r="G96" s="3"/>
      <c r="H96" s="3"/>
      <c r="I96" s="2"/>
      <c r="J96" s="2"/>
      <c r="K96" s="4"/>
      <c r="L96" s="4"/>
      <c r="M96" s="5" t="str">
        <f t="shared" si="2"/>
        <v/>
      </c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 t="s">
        <v>179</v>
      </c>
      <c r="G97" s="3"/>
      <c r="H97" s="3"/>
      <c r="I97" s="2"/>
      <c r="J97" s="2"/>
      <c r="K97" s="4"/>
      <c r="L97" s="4"/>
      <c r="M97" s="5" t="str">
        <f t="shared" si="2"/>
        <v/>
      </c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 t="s">
        <v>179</v>
      </c>
      <c r="G98" s="3"/>
      <c r="H98" s="3"/>
      <c r="I98" s="2"/>
      <c r="J98" s="2"/>
      <c r="K98" s="4"/>
      <c r="L98" s="4"/>
      <c r="M98" s="5" t="str">
        <f t="shared" si="2"/>
        <v/>
      </c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 t="s">
        <v>179</v>
      </c>
      <c r="G99" s="3"/>
      <c r="H99" s="3"/>
      <c r="I99" s="2"/>
      <c r="J99" s="2"/>
      <c r="K99" s="4"/>
      <c r="L99" s="4"/>
      <c r="M99" s="5" t="str">
        <f t="shared" ref="M99:M130" si="3">IF(OR(K99="",L99=""),"",IFERROR(L99/K99,0))</f>
        <v/>
      </c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 t="s">
        <v>179</v>
      </c>
      <c r="G100" s="3"/>
      <c r="H100" s="3"/>
      <c r="I100" s="2"/>
      <c r="J100" s="2"/>
      <c r="K100" s="4"/>
      <c r="L100" s="4"/>
      <c r="M100" s="5" t="str">
        <f t="shared" si="3"/>
        <v/>
      </c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 t="s">
        <v>179</v>
      </c>
      <c r="G101" s="3"/>
      <c r="H101" s="3"/>
      <c r="I101" s="2"/>
      <c r="J101" s="2"/>
      <c r="K101" s="4"/>
      <c r="L101" s="4"/>
      <c r="M101" s="5" t="str">
        <f t="shared" si="3"/>
        <v/>
      </c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 t="s">
        <v>179</v>
      </c>
      <c r="G102" s="3"/>
      <c r="H102" s="3"/>
      <c r="I102" s="2"/>
      <c r="J102" s="2"/>
      <c r="K102" s="4"/>
      <c r="L102" s="4"/>
      <c r="M102" s="5" t="str">
        <f t="shared" si="3"/>
        <v/>
      </c>
      <c r="N102" s="2"/>
      <c r="O102" s="2"/>
      <c r="P102" s="2"/>
      <c r="Q102" s="2"/>
    </row>
    <row r="105" spans="1:17" x14ac:dyDescent="0.25">
      <c r="A105" s="20" t="s">
        <v>61</v>
      </c>
      <c r="B105" s="21"/>
      <c r="C105" s="21"/>
      <c r="D105" s="21"/>
      <c r="E105" s="21"/>
      <c r="F105" s="21"/>
      <c r="G105" s="21"/>
    </row>
    <row r="106" spans="1:17" ht="30" x14ac:dyDescent="0.25">
      <c r="A106" s="1" t="s">
        <v>3</v>
      </c>
      <c r="B106" s="1" t="s">
        <v>1</v>
      </c>
      <c r="C106" s="1" t="s">
        <v>62</v>
      </c>
      <c r="D106" s="1" t="s">
        <v>63</v>
      </c>
      <c r="E106" s="1" t="s">
        <v>64</v>
      </c>
      <c r="F106" s="1" t="s">
        <v>65</v>
      </c>
      <c r="G106" s="1" t="s">
        <v>66</v>
      </c>
    </row>
    <row r="107" spans="1:17" x14ac:dyDescent="0.25">
      <c r="A107" s="2" t="s">
        <v>178</v>
      </c>
      <c r="B107" s="2" t="s">
        <v>45</v>
      </c>
      <c r="C107" s="2" t="s">
        <v>118</v>
      </c>
      <c r="D107" s="2" t="s">
        <v>185</v>
      </c>
      <c r="E107" s="3">
        <v>45944</v>
      </c>
      <c r="F107" s="2" t="s">
        <v>69</v>
      </c>
      <c r="G107" s="2" t="s">
        <v>186</v>
      </c>
    </row>
    <row r="108" spans="1:17" x14ac:dyDescent="0.25">
      <c r="A108" s="2" t="s">
        <v>182</v>
      </c>
      <c r="B108" s="2" t="s">
        <v>38</v>
      </c>
      <c r="C108" s="2" t="s">
        <v>162</v>
      </c>
      <c r="D108" s="2" t="s">
        <v>187</v>
      </c>
      <c r="E108" s="3">
        <v>46217</v>
      </c>
      <c r="F108" s="2" t="s">
        <v>73</v>
      </c>
      <c r="G108" s="2" t="s">
        <v>188</v>
      </c>
    </row>
    <row r="109" spans="1:17" x14ac:dyDescent="0.25">
      <c r="A109" s="2"/>
      <c r="B109" s="2"/>
      <c r="C109" s="2"/>
      <c r="D109" s="2"/>
      <c r="E109" s="3"/>
      <c r="F109" s="2"/>
      <c r="G109" s="2"/>
    </row>
    <row r="110" spans="1:17" x14ac:dyDescent="0.25">
      <c r="A110" s="2"/>
      <c r="B110" s="2"/>
      <c r="C110" s="2"/>
      <c r="D110" s="2"/>
      <c r="E110" s="3"/>
      <c r="F110" s="2"/>
      <c r="G110" s="2"/>
    </row>
    <row r="111" spans="1:17" x14ac:dyDescent="0.25">
      <c r="A111" s="2"/>
      <c r="B111" s="2"/>
      <c r="C111" s="2"/>
      <c r="D111" s="2"/>
      <c r="E111" s="3"/>
      <c r="F111" s="2"/>
      <c r="G111" s="2"/>
    </row>
    <row r="112" spans="1:17" x14ac:dyDescent="0.25">
      <c r="A112" s="2"/>
      <c r="B112" s="2"/>
      <c r="C112" s="2"/>
      <c r="D112" s="2"/>
      <c r="E112" s="3"/>
      <c r="F112" s="2"/>
      <c r="G112" s="2"/>
    </row>
    <row r="113" spans="1:7" x14ac:dyDescent="0.25">
      <c r="A113" s="2"/>
      <c r="B113" s="2"/>
      <c r="C113" s="2"/>
      <c r="D113" s="2"/>
      <c r="E113" s="3"/>
      <c r="F113" s="2"/>
      <c r="G113" s="2"/>
    </row>
    <row r="114" spans="1:7" x14ac:dyDescent="0.25">
      <c r="A114" s="2"/>
      <c r="B114" s="2"/>
      <c r="C114" s="2"/>
      <c r="D114" s="2"/>
      <c r="E114" s="3"/>
      <c r="F114" s="2"/>
      <c r="G114" s="2"/>
    </row>
    <row r="115" spans="1:7" x14ac:dyDescent="0.25">
      <c r="A115" s="2"/>
      <c r="B115" s="2"/>
      <c r="C115" s="2"/>
      <c r="D115" s="2"/>
      <c r="E115" s="3"/>
      <c r="F115" s="2"/>
      <c r="G115" s="2"/>
    </row>
    <row r="116" spans="1:7" x14ac:dyDescent="0.25">
      <c r="A116" s="2"/>
      <c r="B116" s="2"/>
      <c r="C116" s="2"/>
      <c r="D116" s="2"/>
      <c r="E116" s="3"/>
      <c r="F116" s="2"/>
      <c r="G116" s="2"/>
    </row>
    <row r="117" spans="1:7" x14ac:dyDescent="0.25">
      <c r="A117" s="2"/>
      <c r="B117" s="2"/>
      <c r="C117" s="2"/>
      <c r="D117" s="2"/>
      <c r="E117" s="3"/>
      <c r="F117" s="2"/>
      <c r="G117" s="2"/>
    </row>
    <row r="118" spans="1:7" x14ac:dyDescent="0.25">
      <c r="A118" s="2"/>
      <c r="B118" s="2"/>
      <c r="C118" s="2"/>
      <c r="D118" s="2"/>
      <c r="E118" s="3"/>
      <c r="F118" s="2"/>
      <c r="G118" s="2"/>
    </row>
    <row r="119" spans="1:7" x14ac:dyDescent="0.25">
      <c r="A119" s="2"/>
      <c r="B119" s="2"/>
      <c r="C119" s="2"/>
      <c r="D119" s="2"/>
      <c r="E119" s="3"/>
      <c r="F119" s="2"/>
      <c r="G119" s="2"/>
    </row>
    <row r="120" spans="1:7" x14ac:dyDescent="0.25">
      <c r="A120" s="2"/>
      <c r="B120" s="2"/>
      <c r="C120" s="2"/>
      <c r="D120" s="2"/>
      <c r="E120" s="3"/>
      <c r="F120" s="2"/>
      <c r="G120" s="2"/>
    </row>
    <row r="121" spans="1:7" x14ac:dyDescent="0.25">
      <c r="A121" s="2"/>
      <c r="B121" s="2"/>
      <c r="C121" s="2"/>
      <c r="D121" s="2"/>
      <c r="E121" s="3"/>
      <c r="F121" s="2"/>
      <c r="G121" s="2"/>
    </row>
    <row r="122" spans="1:7" x14ac:dyDescent="0.25">
      <c r="A122" s="2"/>
      <c r="B122" s="2"/>
      <c r="C122" s="2"/>
      <c r="D122" s="2"/>
      <c r="E122" s="3"/>
      <c r="F122" s="2"/>
      <c r="G122" s="2"/>
    </row>
    <row r="123" spans="1:7" x14ac:dyDescent="0.25">
      <c r="A123" s="2"/>
      <c r="B123" s="2"/>
      <c r="C123" s="2"/>
      <c r="D123" s="2"/>
      <c r="E123" s="3"/>
      <c r="F123" s="2"/>
      <c r="G123" s="2"/>
    </row>
    <row r="124" spans="1:7" x14ac:dyDescent="0.25">
      <c r="A124" s="2"/>
      <c r="B124" s="2"/>
      <c r="C124" s="2"/>
      <c r="D124" s="2"/>
      <c r="E124" s="3"/>
      <c r="F124" s="2"/>
      <c r="G124" s="2"/>
    </row>
    <row r="125" spans="1:7" x14ac:dyDescent="0.25">
      <c r="A125" s="2"/>
      <c r="B125" s="2"/>
      <c r="C125" s="2"/>
      <c r="D125" s="2"/>
      <c r="E125" s="3"/>
      <c r="F125" s="2"/>
      <c r="G125" s="2"/>
    </row>
    <row r="126" spans="1:7" x14ac:dyDescent="0.25">
      <c r="A126" s="2"/>
      <c r="B126" s="2"/>
      <c r="C126" s="2"/>
      <c r="D126" s="2"/>
      <c r="E126" s="3"/>
      <c r="F126" s="2"/>
      <c r="G126" s="2"/>
    </row>
    <row r="127" spans="1:7" x14ac:dyDescent="0.25">
      <c r="A127" s="2"/>
      <c r="B127" s="2"/>
      <c r="C127" s="2"/>
      <c r="D127" s="2"/>
      <c r="E127" s="3"/>
      <c r="F127" s="2"/>
      <c r="G127" s="2"/>
    </row>
    <row r="128" spans="1:7" x14ac:dyDescent="0.25">
      <c r="A128" s="2"/>
      <c r="B128" s="2"/>
      <c r="C128" s="2"/>
      <c r="D128" s="2"/>
      <c r="E128" s="3"/>
      <c r="F128" s="2"/>
      <c r="G128" s="2"/>
    </row>
    <row r="129" spans="1:7" x14ac:dyDescent="0.25">
      <c r="A129" s="2"/>
      <c r="B129" s="2"/>
      <c r="C129" s="2"/>
      <c r="D129" s="2"/>
      <c r="E129" s="3"/>
      <c r="F129" s="2"/>
      <c r="G129" s="2"/>
    </row>
    <row r="130" spans="1:7" x14ac:dyDescent="0.25">
      <c r="A130" s="2"/>
      <c r="B130" s="2"/>
      <c r="C130" s="2"/>
      <c r="D130" s="2"/>
      <c r="E130" s="3"/>
      <c r="F130" s="2"/>
      <c r="G130" s="2"/>
    </row>
    <row r="131" spans="1:7" x14ac:dyDescent="0.25">
      <c r="A131" s="2"/>
      <c r="B131" s="2"/>
      <c r="C131" s="2"/>
      <c r="D131" s="2"/>
      <c r="E131" s="3"/>
      <c r="F131" s="2"/>
      <c r="G131" s="2"/>
    </row>
    <row r="132" spans="1:7" x14ac:dyDescent="0.25">
      <c r="A132" s="2"/>
      <c r="B132" s="2"/>
      <c r="C132" s="2"/>
      <c r="D132" s="2"/>
      <c r="E132" s="3"/>
      <c r="F132" s="2"/>
      <c r="G132" s="2"/>
    </row>
    <row r="133" spans="1:7" x14ac:dyDescent="0.25">
      <c r="A133" s="2"/>
      <c r="B133" s="2"/>
      <c r="C133" s="2"/>
      <c r="D133" s="2"/>
      <c r="E133" s="3"/>
      <c r="F133" s="2"/>
      <c r="G133" s="2"/>
    </row>
    <row r="134" spans="1:7" x14ac:dyDescent="0.25">
      <c r="A134" s="2"/>
      <c r="B134" s="2"/>
      <c r="C134" s="2"/>
      <c r="D134" s="2"/>
      <c r="E134" s="3"/>
      <c r="F134" s="2"/>
      <c r="G134" s="2"/>
    </row>
    <row r="135" spans="1:7" x14ac:dyDescent="0.25">
      <c r="A135" s="2"/>
      <c r="B135" s="2"/>
      <c r="C135" s="2"/>
      <c r="D135" s="2"/>
      <c r="E135" s="3"/>
      <c r="F135" s="2"/>
      <c r="G135" s="2"/>
    </row>
    <row r="136" spans="1:7" x14ac:dyDescent="0.25">
      <c r="A136" s="2"/>
      <c r="B136" s="2"/>
      <c r="C136" s="2"/>
      <c r="D136" s="2"/>
      <c r="E136" s="3"/>
      <c r="F136" s="2"/>
      <c r="G136" s="2"/>
    </row>
    <row r="137" spans="1:7" x14ac:dyDescent="0.25">
      <c r="A137" s="2"/>
      <c r="B137" s="2"/>
      <c r="C137" s="2"/>
      <c r="D137" s="2"/>
      <c r="E137" s="3"/>
      <c r="F137" s="2"/>
      <c r="G137" s="2"/>
    </row>
    <row r="138" spans="1:7" x14ac:dyDescent="0.25">
      <c r="A138" s="2"/>
      <c r="B138" s="2"/>
      <c r="C138" s="2"/>
      <c r="D138" s="2"/>
      <c r="E138" s="3"/>
      <c r="F138" s="2"/>
      <c r="G138" s="2"/>
    </row>
    <row r="139" spans="1:7" x14ac:dyDescent="0.25">
      <c r="A139" s="2"/>
      <c r="B139" s="2"/>
      <c r="C139" s="2"/>
      <c r="D139" s="2"/>
      <c r="E139" s="3"/>
      <c r="F139" s="2"/>
      <c r="G139" s="2"/>
    </row>
    <row r="140" spans="1:7" x14ac:dyDescent="0.25">
      <c r="A140" s="2"/>
      <c r="B140" s="2"/>
      <c r="C140" s="2"/>
      <c r="D140" s="2"/>
      <c r="E140" s="3"/>
      <c r="F140" s="2"/>
      <c r="G140" s="2"/>
    </row>
    <row r="141" spans="1:7" x14ac:dyDescent="0.25">
      <c r="A141" s="2"/>
      <c r="B141" s="2"/>
      <c r="C141" s="2"/>
      <c r="D141" s="2"/>
      <c r="E141" s="3"/>
      <c r="F141" s="2"/>
      <c r="G141" s="2"/>
    </row>
    <row r="142" spans="1:7" x14ac:dyDescent="0.25">
      <c r="A142" s="2"/>
      <c r="B142" s="2"/>
      <c r="C142" s="2"/>
      <c r="D142" s="2"/>
      <c r="E142" s="3"/>
      <c r="F142" s="2"/>
      <c r="G142" s="2"/>
    </row>
    <row r="143" spans="1:7" x14ac:dyDescent="0.25">
      <c r="A143" s="2"/>
      <c r="B143" s="2"/>
      <c r="C143" s="2"/>
      <c r="D143" s="2"/>
      <c r="E143" s="3"/>
      <c r="F143" s="2"/>
      <c r="G143" s="2"/>
    </row>
    <row r="144" spans="1:7" x14ac:dyDescent="0.25">
      <c r="A144" s="2"/>
      <c r="B144" s="2"/>
      <c r="C144" s="2"/>
      <c r="D144" s="2"/>
      <c r="E144" s="3"/>
      <c r="F144" s="2"/>
      <c r="G144" s="2"/>
    </row>
    <row r="145" spans="1:7" x14ac:dyDescent="0.25">
      <c r="A145" s="2"/>
      <c r="B145" s="2"/>
      <c r="C145" s="2"/>
      <c r="D145" s="2"/>
      <c r="E145" s="3"/>
      <c r="F145" s="2"/>
      <c r="G145" s="2"/>
    </row>
    <row r="146" spans="1:7" x14ac:dyDescent="0.25">
      <c r="A146" s="2"/>
      <c r="B146" s="2"/>
      <c r="C146" s="2"/>
      <c r="D146" s="2"/>
      <c r="E146" s="3"/>
      <c r="F146" s="2"/>
      <c r="G146" s="2"/>
    </row>
    <row r="147" spans="1:7" x14ac:dyDescent="0.25">
      <c r="A147" s="2"/>
      <c r="B147" s="2"/>
      <c r="C147" s="2"/>
      <c r="D147" s="2"/>
      <c r="E147" s="3"/>
      <c r="F147" s="2"/>
      <c r="G147" s="2"/>
    </row>
    <row r="148" spans="1:7" x14ac:dyDescent="0.25">
      <c r="A148" s="2"/>
      <c r="B148" s="2"/>
      <c r="C148" s="2"/>
      <c r="D148" s="2"/>
      <c r="E148" s="3"/>
      <c r="F148" s="2"/>
      <c r="G148" s="2"/>
    </row>
    <row r="149" spans="1:7" x14ac:dyDescent="0.25">
      <c r="A149" s="2"/>
      <c r="B149" s="2"/>
      <c r="C149" s="2"/>
      <c r="D149" s="2"/>
      <c r="E149" s="3"/>
      <c r="F149" s="2"/>
      <c r="G149" s="2"/>
    </row>
    <row r="150" spans="1:7" x14ac:dyDescent="0.25">
      <c r="A150" s="2"/>
      <c r="B150" s="2"/>
      <c r="C150" s="2"/>
      <c r="D150" s="2"/>
      <c r="E150" s="3"/>
      <c r="F150" s="2"/>
      <c r="G150" s="2"/>
    </row>
    <row r="151" spans="1:7" x14ac:dyDescent="0.25">
      <c r="A151" s="2"/>
      <c r="B151" s="2"/>
      <c r="C151" s="2"/>
      <c r="D151" s="2"/>
      <c r="E151" s="3"/>
      <c r="F151" s="2"/>
      <c r="G151" s="2"/>
    </row>
    <row r="152" spans="1:7" x14ac:dyDescent="0.25">
      <c r="A152" s="2"/>
      <c r="B152" s="2"/>
      <c r="C152" s="2"/>
      <c r="D152" s="2"/>
      <c r="E152" s="3"/>
      <c r="F152" s="2"/>
      <c r="G152" s="2"/>
    </row>
    <row r="153" spans="1:7" x14ac:dyDescent="0.25">
      <c r="A153" s="2"/>
      <c r="B153" s="2"/>
      <c r="C153" s="2"/>
      <c r="D153" s="2"/>
      <c r="E153" s="3"/>
      <c r="F153" s="2"/>
      <c r="G153" s="2"/>
    </row>
    <row r="154" spans="1:7" x14ac:dyDescent="0.25">
      <c r="A154" s="2"/>
      <c r="B154" s="2"/>
      <c r="C154" s="2"/>
      <c r="D154" s="2"/>
      <c r="E154" s="3"/>
      <c r="F154" s="2"/>
      <c r="G154" s="2"/>
    </row>
    <row r="155" spans="1:7" x14ac:dyDescent="0.25">
      <c r="A155" s="2"/>
      <c r="B155" s="2"/>
      <c r="C155" s="2"/>
      <c r="D155" s="2"/>
      <c r="E155" s="3"/>
      <c r="F155" s="2"/>
      <c r="G155" s="2"/>
    </row>
    <row r="156" spans="1:7" x14ac:dyDescent="0.25">
      <c r="A156" s="2"/>
      <c r="B156" s="2"/>
      <c r="C156" s="2"/>
      <c r="D156" s="2"/>
      <c r="E156" s="3"/>
      <c r="F156" s="2"/>
      <c r="G156" s="2"/>
    </row>
    <row r="157" spans="1:7" x14ac:dyDescent="0.25">
      <c r="A157" s="2"/>
      <c r="B157" s="2"/>
      <c r="C157" s="2"/>
      <c r="D157" s="2"/>
      <c r="E157" s="3"/>
      <c r="F157" s="2"/>
      <c r="G157" s="2"/>
    </row>
    <row r="158" spans="1:7" x14ac:dyDescent="0.25">
      <c r="A158" s="2"/>
      <c r="B158" s="2"/>
      <c r="C158" s="2"/>
      <c r="D158" s="2"/>
      <c r="E158" s="3"/>
      <c r="F158" s="2"/>
      <c r="G158" s="2"/>
    </row>
    <row r="159" spans="1:7" x14ac:dyDescent="0.25">
      <c r="A159" s="2"/>
      <c r="B159" s="2"/>
      <c r="C159" s="2"/>
      <c r="D159" s="2"/>
      <c r="E159" s="3"/>
      <c r="F159" s="2"/>
      <c r="G159" s="2"/>
    </row>
    <row r="160" spans="1:7" x14ac:dyDescent="0.25">
      <c r="A160" s="2"/>
      <c r="B160" s="2"/>
      <c r="C160" s="2"/>
      <c r="D160" s="2"/>
      <c r="E160" s="3"/>
      <c r="F160" s="2"/>
      <c r="G160" s="2"/>
    </row>
    <row r="161" spans="1:7" x14ac:dyDescent="0.25">
      <c r="A161" s="2"/>
      <c r="B161" s="2"/>
      <c r="C161" s="2"/>
      <c r="D161" s="2"/>
      <c r="E161" s="3"/>
      <c r="F161" s="2"/>
      <c r="G161" s="2"/>
    </row>
    <row r="162" spans="1:7" x14ac:dyDescent="0.25">
      <c r="A162" s="2"/>
      <c r="B162" s="2"/>
      <c r="C162" s="2"/>
      <c r="D162" s="2"/>
      <c r="E162" s="3"/>
      <c r="F162" s="2"/>
      <c r="G162" s="2"/>
    </row>
    <row r="163" spans="1:7" x14ac:dyDescent="0.25">
      <c r="A163" s="2"/>
      <c r="B163" s="2"/>
      <c r="C163" s="2"/>
      <c r="D163" s="2"/>
      <c r="E163" s="3"/>
      <c r="F163" s="2"/>
      <c r="G163" s="2"/>
    </row>
    <row r="164" spans="1:7" x14ac:dyDescent="0.25">
      <c r="A164" s="2"/>
      <c r="B164" s="2"/>
      <c r="C164" s="2"/>
      <c r="D164" s="2"/>
      <c r="E164" s="3"/>
      <c r="F164" s="2"/>
      <c r="G164" s="2"/>
    </row>
    <row r="165" spans="1:7" x14ac:dyDescent="0.25">
      <c r="A165" s="2"/>
      <c r="B165" s="2"/>
      <c r="C165" s="2"/>
      <c r="D165" s="2"/>
      <c r="E165" s="3"/>
      <c r="F165" s="2"/>
      <c r="G165" s="2"/>
    </row>
    <row r="166" spans="1:7" x14ac:dyDescent="0.25">
      <c r="A166" s="2"/>
      <c r="B166" s="2"/>
      <c r="C166" s="2"/>
      <c r="D166" s="2"/>
      <c r="E166" s="3"/>
      <c r="F166" s="2"/>
      <c r="G166" s="2"/>
    </row>
  </sheetData>
  <mergeCells count="2">
    <mergeCell ref="A105:G105"/>
    <mergeCell ref="A1:Q1"/>
  </mergeCells>
  <conditionalFormatting sqref="A3:Q102">
    <cfRule type="expression" dxfId="7" priority="8">
      <formula>$O3="Yes"</formula>
    </cfRule>
  </conditionalFormatting>
  <conditionalFormatting sqref="M3:M102">
    <cfRule type="expression" dxfId="6" priority="1">
      <formula>AND(M3&gt;=1,M3&lt;&gt;"")</formula>
    </cfRule>
    <cfRule type="expression" dxfId="5" priority="2">
      <formula>AND(M3&gt;=0.8,M3&lt;1)</formula>
    </cfRule>
    <cfRule type="expression" dxfId="4" priority="3">
      <formula>AND(M3&lt;0.8,M3&lt;&gt;"")</formula>
    </cfRule>
  </conditionalFormatting>
  <conditionalFormatting sqref="P3:P102">
    <cfRule type="expression" dxfId="3" priority="4">
      <formula>$P3="Completed"</formula>
    </cfRule>
    <cfRule type="expression" dxfId="2" priority="5">
      <formula>$P3="In progress"</formula>
    </cfRule>
    <cfRule type="expression" dxfId="1" priority="6">
      <formula>OR($P3="Delayed",$P3="Cancelled")</formula>
    </cfRule>
    <cfRule type="expression" dxfId="0" priority="7">
      <formula>$P3="Not started"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700-000000000000}">
          <x14:formula1>
            <xm:f>Lists!$F$1:$F$5</xm:f>
          </x14:formula1>
          <xm:sqref>P3:P102</xm:sqref>
        </x14:dataValidation>
        <x14:dataValidation type="list" allowBlank="1" xr:uid="{00000000-0002-0000-0700-000001000000}">
          <x14:formula1>
            <xm:f>Lists!$G$1:$G$2</xm:f>
          </x14:formula1>
          <xm:sqref>O3:O102</xm:sqref>
        </x14:dataValidation>
        <x14:dataValidation type="list" allowBlank="1" xr:uid="{00000000-0002-0000-0700-000002000000}">
          <x14:formula1>
            <xm:f>Lists!$D$2:$D$4</xm:f>
          </x14:formula1>
          <xm:sqref>I3:I102</xm:sqref>
        </x14:dataValidation>
        <x14:dataValidation type="list" allowBlank="1" xr:uid="{00000000-0002-0000-0700-000003000000}">
          <x14:formula1>
            <xm:f>Lists!$E$2:$E$13</xm:f>
          </x14:formula1>
          <xm:sqref>J3:J102</xm:sqref>
        </x14:dataValidation>
        <x14:dataValidation type="list" allowBlank="1" xr:uid="{00000000-0002-0000-0700-000004000000}">
          <x14:formula1>
            <xm:f>Lists!$B$2:$B$5</xm:f>
          </x14:formula1>
          <xm:sqref>E3:E102</xm:sqref>
        </x14:dataValidation>
        <x14:dataValidation type="list" allowBlank="1" xr:uid="{00000000-0002-0000-0700-000005000000}">
          <x14:formula1>
            <xm:f>Lists!$C$2:$C$5</xm:f>
          </x14:formula1>
          <xm:sqref>A3:A102</xm:sqref>
        </x14:dataValidation>
        <x14:dataValidation type="list" allowBlank="1" xr:uid="{00000000-0002-0000-0700-000006000000}">
          <x14:formula1>
            <xm:f>Lists!$H$1:$H$4</xm:f>
          </x14:formula1>
          <xm:sqref>C107:C166</xm:sqref>
        </x14:dataValidation>
        <x14:dataValidation type="list" allowBlank="1" xr:uid="{00000000-0002-0000-0700-000007000000}">
          <x14:formula1>
            <xm:f>Lists!$I$1:$I$3</xm:f>
          </x14:formula1>
          <xm:sqref>F107:F166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6"/>
  <sheetViews>
    <sheetView showGridLines="0" zoomScale="80" zoomScaleNormal="80" workbookViewId="0">
      <selection activeCell="B4" sqref="B4"/>
    </sheetView>
  </sheetViews>
  <sheetFormatPr defaultRowHeight="15" x14ac:dyDescent="0.25"/>
  <cols>
    <col min="1" max="1" width="16" customWidth="1"/>
    <col min="2" max="2" width="18" customWidth="1"/>
    <col min="3" max="3" width="12" hidden="1" customWidth="1"/>
    <col min="4" max="17" width="14" customWidth="1"/>
  </cols>
  <sheetData>
    <row r="1" spans="1:17" ht="21" x14ac:dyDescent="0.35">
      <c r="A1" s="31" t="s">
        <v>189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3" spans="1:17" ht="21.95" customHeight="1" x14ac:dyDescent="0.25">
      <c r="A3" s="6" t="s">
        <v>190</v>
      </c>
      <c r="E3" s="22" t="s">
        <v>191</v>
      </c>
      <c r="F3" s="21"/>
      <c r="G3" s="21"/>
      <c r="H3" s="22" t="s">
        <v>192</v>
      </c>
      <c r="I3" s="21"/>
      <c r="J3" s="21"/>
      <c r="K3" s="22" t="s">
        <v>13</v>
      </c>
      <c r="L3" s="21"/>
      <c r="M3" s="21"/>
      <c r="N3" s="22" t="s">
        <v>193</v>
      </c>
      <c r="O3" s="21"/>
      <c r="P3" s="21"/>
      <c r="Q3" s="21"/>
    </row>
    <row r="4" spans="1:17" ht="21.95" customHeight="1" x14ac:dyDescent="0.25">
      <c r="A4" s="7" t="s">
        <v>194</v>
      </c>
      <c r="B4" s="8" t="s">
        <v>195</v>
      </c>
      <c r="C4" t="str">
        <f>IF(B4="All","*",B4)</f>
        <v>*</v>
      </c>
      <c r="E4" s="30">
        <f>SUMIFS(Consolidated_Data!$K$2:$K$801,Consolidated_Data!$C$2:$C$801,"&lt;&gt;",Consolidated_Data!$F$2:$F$801,$C$4,Consolidated_Data!$E$2:$E$801,$C$5,Consolidated_Data!$A$2:$A$801,$C$6,Consolidated_Data!$I$2:$I$801,$C$7,Consolidated_Data!$J$2:$J$801,$C$8)</f>
        <v>2592</v>
      </c>
      <c r="F4" s="21"/>
      <c r="G4" s="21"/>
      <c r="H4" s="25">
        <f>SUMIFS(Consolidated_Data!$L$2:$L$801,Consolidated_Data!$C$2:$C$801,"&lt;&gt;",Consolidated_Data!$F$2:$F$801,$C$4,Consolidated_Data!$E$2:$E$801,$C$5,Consolidated_Data!$A$2:$A$801,$C$6,Consolidated_Data!$I$2:$I$801,$C$7,Consolidated_Data!$J$2:$J$801,$C$8)</f>
        <v>2162</v>
      </c>
      <c r="I4" s="21"/>
      <c r="J4" s="21"/>
      <c r="K4" s="26">
        <f>IFERROR(H4/E4,0)</f>
        <v>0.83410493827160492</v>
      </c>
      <c r="L4" s="21"/>
      <c r="M4" s="21"/>
      <c r="N4" s="23">
        <f>SUM(E13:E16)</f>
        <v>48</v>
      </c>
      <c r="O4" s="21"/>
      <c r="P4" s="21"/>
      <c r="Q4" s="21"/>
    </row>
    <row r="5" spans="1:17" ht="21.95" customHeight="1" x14ac:dyDescent="0.25">
      <c r="A5" s="7" t="s">
        <v>5</v>
      </c>
      <c r="B5" s="8" t="s">
        <v>195</v>
      </c>
      <c r="C5" t="str">
        <f>IF(B5="All","*",B5)</f>
        <v>*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ht="21.95" customHeight="1" x14ac:dyDescent="0.25">
      <c r="A6" s="7" t="s">
        <v>1</v>
      </c>
      <c r="B6" s="8" t="s">
        <v>195</v>
      </c>
      <c r="C6" t="str">
        <f>IF(B6="All","*",B6)</f>
        <v>*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ht="21.95" customHeight="1" x14ac:dyDescent="0.25">
      <c r="A7" s="7" t="s">
        <v>9</v>
      </c>
      <c r="B7" s="8" t="s">
        <v>195</v>
      </c>
      <c r="C7" t="str">
        <f>IF(B7="All","*",B7)</f>
        <v>*</v>
      </c>
      <c r="E7" s="22" t="s">
        <v>28</v>
      </c>
      <c r="F7" s="21"/>
      <c r="G7" s="21"/>
      <c r="H7" s="22" t="s">
        <v>196</v>
      </c>
      <c r="I7" s="21"/>
      <c r="J7" s="21"/>
      <c r="K7" s="22" t="s">
        <v>197</v>
      </c>
      <c r="L7" s="21"/>
      <c r="M7" s="21"/>
      <c r="N7" s="24" t="s">
        <v>198</v>
      </c>
      <c r="O7" s="21"/>
      <c r="P7" s="21"/>
      <c r="Q7" s="21"/>
    </row>
    <row r="8" spans="1:17" ht="21.95" customHeight="1" x14ac:dyDescent="0.25">
      <c r="A8" s="7" t="s">
        <v>199</v>
      </c>
      <c r="B8" s="8" t="s">
        <v>195</v>
      </c>
      <c r="C8" t="str">
        <f>IF(B8="All","*",B8)</f>
        <v>*</v>
      </c>
      <c r="E8" s="25">
        <f>COUNTIFS(Consolidated_Data!$C$2:$C$801,"&lt;&gt;",Consolidated_Data!$P$2:$P$801,"Completed",Consolidated_Data!$F$2:$F$801,$C$4,Consolidated_Data!$E$2:$E$801,$C$5,Consolidated_Data!$A$2:$A$801,$C$6,Consolidated_Data!$I$2:$I$801,$C$7,Consolidated_Data!$J$2:$J$801,$C$8)</f>
        <v>22</v>
      </c>
      <c r="F8" s="21"/>
      <c r="G8" s="21"/>
      <c r="H8" s="28">
        <f>COUNTIFS(Consolidated_Data!$C$2:$C$801,"&lt;&gt;",Consolidated_Data!$P$2:$P$801,"Delayed",Consolidated_Data!$F$2:$F$801,$C$4,Consolidated_Data!$E$2:$E$801,$C$5,Consolidated_Data!$A$2:$A$801,$C$6,Consolidated_Data!$I$2:$I$801,$C$7,Consolidated_Data!$J$2:$J$801,$C$8)</f>
        <v>0</v>
      </c>
      <c r="I8" s="21"/>
      <c r="J8" s="21"/>
      <c r="K8" s="29">
        <f>COUNTIFS(Consolidated_Data!$C$2:$C$801,"&lt;&gt;",Consolidated_Data!$O$2:$O$801,"Yes",Consolidated_Data!$F$2:$F$801,$C$4,Consolidated_Data!$E$2:$E$801,$C$5,Consolidated_Data!$A$2:$A$801,$C$6,Consolidated_Data!$I$2:$I$801,$C$7,Consolidated_Data!$J$2:$J$801,$C$8)</f>
        <v>16</v>
      </c>
      <c r="L8" s="21"/>
      <c r="M8" s="21"/>
      <c r="N8" s="21"/>
      <c r="O8" s="21"/>
      <c r="P8" s="21"/>
      <c r="Q8" s="21"/>
    </row>
    <row r="9" spans="1:17" ht="21.95" customHeight="1" x14ac:dyDescent="0.25"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1" spans="1:17" ht="20.100000000000001" customHeight="1" x14ac:dyDescent="0.25">
      <c r="A11" s="9" t="s">
        <v>200</v>
      </c>
      <c r="B11" s="10"/>
      <c r="C11" s="10"/>
      <c r="D11" s="10"/>
      <c r="E11" s="10"/>
      <c r="F11" s="10"/>
      <c r="G11" s="9" t="s">
        <v>201</v>
      </c>
      <c r="H11" s="10"/>
      <c r="I11" s="10"/>
      <c r="J11" s="9" t="s">
        <v>202</v>
      </c>
      <c r="K11" s="10"/>
      <c r="L11" s="10"/>
      <c r="M11" s="10"/>
      <c r="N11" s="10"/>
    </row>
    <row r="12" spans="1:17" ht="20.100000000000001" customHeight="1" x14ac:dyDescent="0.25">
      <c r="A12" s="11" t="s">
        <v>5</v>
      </c>
      <c r="B12" s="11" t="s">
        <v>203</v>
      </c>
      <c r="C12" s="11" t="s">
        <v>204</v>
      </c>
      <c r="D12" s="11" t="s">
        <v>205</v>
      </c>
      <c r="E12" s="11" t="s">
        <v>193</v>
      </c>
      <c r="F12" s="10"/>
      <c r="G12" s="11" t="s">
        <v>16</v>
      </c>
      <c r="H12" s="11" t="s">
        <v>206</v>
      </c>
      <c r="I12" s="10"/>
      <c r="J12" s="11" t="s">
        <v>207</v>
      </c>
      <c r="K12" s="11" t="s">
        <v>203</v>
      </c>
      <c r="L12" s="11" t="s">
        <v>204</v>
      </c>
      <c r="M12" s="11" t="s">
        <v>205</v>
      </c>
      <c r="N12" s="11" t="s">
        <v>193</v>
      </c>
    </row>
    <row r="13" spans="1:17" ht="20.100000000000001" customHeight="1" x14ac:dyDescent="0.25">
      <c r="A13" s="10" t="s">
        <v>22</v>
      </c>
      <c r="B13" s="12">
        <f>SUMIFS(Consolidated_Data!$K$2:$K$801,Consolidated_Data!$C$2:$C$801,"&lt;&gt;",Consolidated_Data!$E$2:$E$801,$A13,Consolidated_Data!$F$2:$F$801,$C$4,Consolidated_Data!$E$2:$E$801,$C$5,Consolidated_Data!$A$2:$A$801,$C$6,Consolidated_Data!$I$2:$I$801,$C$7,Consolidated_Data!$J$2:$J$801,$C$8)</f>
        <v>648</v>
      </c>
      <c r="C13" s="12">
        <f>SUMIFS(Consolidated_Data!$L$2:$L$801,Consolidated_Data!$C$2:$C$801,"&lt;&gt;",Consolidated_Data!$E$2:$E$801,$A13,Consolidated_Data!$F$2:$F$801,$C$4,Consolidated_Data!$E$2:$E$801,$C$5,Consolidated_Data!$A$2:$A$801,$C$6,Consolidated_Data!$I$2:$I$801,$C$7,Consolidated_Data!$J$2:$J$801,$C$8)</f>
        <v>555</v>
      </c>
      <c r="D13" s="13">
        <f>IFERROR(C13/B13,0)</f>
        <v>0.85648148148148151</v>
      </c>
      <c r="E13" s="14">
        <f>COUNTIFS(Consolidated_Data!$C$2:$C$801,"&lt;&gt;",Consolidated_Data!$E$2:$E$801,$A13,Consolidated_Data!$F$2:$F$801,$C$4,Consolidated_Data!$E$2:$E$801,$C$5,Consolidated_Data!$A$2:$A$801,$C$6,Consolidated_Data!$I$2:$I$801,$C$7,Consolidated_Data!$J$2:$J$801,$C$8)</f>
        <v>12</v>
      </c>
      <c r="F13" s="10"/>
      <c r="G13" s="10" t="s">
        <v>93</v>
      </c>
      <c r="H13" s="14">
        <f>COUNTIFS(Consolidated_Data!$C$2:$C$801,"&lt;&gt;",Consolidated_Data!$P$2:$P$801,$G13,Consolidated_Data!$F$2:$F$801,$C$4,Consolidated_Data!$E$2:$E$801,$C$5,Consolidated_Data!$A$2:$A$801,$C$6,Consolidated_Data!$I$2:$I$801,$C$7,Consolidated_Data!$J$2:$J$801,$C$8)</f>
        <v>8</v>
      </c>
      <c r="I13" s="10"/>
      <c r="J13" s="10" t="s">
        <v>18</v>
      </c>
      <c r="K13" s="12">
        <f>SUMIFS(Consolidated_Data!$K$2:$K$801,Consolidated_Data!$C$2:$C$801,"&lt;&gt;",Consolidated_Data!$A$2:$A$801,$J13,Consolidated_Data!$F$2:$F$801,$C$4,Consolidated_Data!$E$2:$E$801,$C$5,Consolidated_Data!$A$2:$A$801,$C$6,Consolidated_Data!$I$2:$I$801,$C$7,Consolidated_Data!$J$2:$J$801,$C$8)</f>
        <v>648</v>
      </c>
      <c r="L13" s="12">
        <f>SUMIFS(Consolidated_Data!$L$2:$L$801,Consolidated_Data!$C$2:$C$801,"&lt;&gt;",Consolidated_Data!$A$2:$A$801,$J13,Consolidated_Data!$F$2:$F$801,$C$4,Consolidated_Data!$E$2:$E$801,$C$5,Consolidated_Data!$A$2:$A$801,$C$6,Consolidated_Data!$I$2:$I$801,$C$7,Consolidated_Data!$J$2:$J$801,$C$8)</f>
        <v>555</v>
      </c>
      <c r="M13" s="13">
        <f>IFERROR(L13/K13,0)</f>
        <v>0.85648148148148151</v>
      </c>
      <c r="N13" s="14">
        <f>COUNTIFS(Consolidated_Data!$C$2:$C$801,"&lt;&gt;",Consolidated_Data!$A$2:$A$801,$J13,Consolidated_Data!$F$2:$F$801,$C$4,Consolidated_Data!$E$2:$E$801,$C$5,Consolidated_Data!$A$2:$A$801,$C$6,Consolidated_Data!$I$2:$I$801,$C$7,Consolidated_Data!$J$2:$J$801,$C$8)</f>
        <v>12</v>
      </c>
    </row>
    <row r="14" spans="1:17" ht="20.100000000000001" customHeight="1" x14ac:dyDescent="0.25">
      <c r="A14" s="10" t="s">
        <v>34</v>
      </c>
      <c r="B14" s="12">
        <f>SUMIFS(Consolidated_Data!$K$2:$K$801,Consolidated_Data!$C$2:$C$801,"&lt;&gt;",Consolidated_Data!$E$2:$E$801,$A14,Consolidated_Data!$F$2:$F$801,$C$4,Consolidated_Data!$E$2:$E$801,$C$5,Consolidated_Data!$A$2:$A$801,$C$6,Consolidated_Data!$I$2:$I$801,$C$7,Consolidated_Data!$J$2:$J$801,$C$8)</f>
        <v>720</v>
      </c>
      <c r="C14" s="12">
        <f>SUMIFS(Consolidated_Data!$L$2:$L$801,Consolidated_Data!$C$2:$C$801,"&lt;&gt;",Consolidated_Data!$E$2:$E$801,$A14,Consolidated_Data!$F$2:$F$801,$C$4,Consolidated_Data!$E$2:$E$801,$C$5,Consolidated_Data!$A$2:$A$801,$C$6,Consolidated_Data!$I$2:$I$801,$C$7,Consolidated_Data!$J$2:$J$801,$C$8)</f>
        <v>586</v>
      </c>
      <c r="D14" s="13">
        <f>IFERROR(C14/B14,0)</f>
        <v>0.81388888888888888</v>
      </c>
      <c r="E14" s="14">
        <f>COUNTIFS(Consolidated_Data!$C$2:$C$801,"&lt;&gt;",Consolidated_Data!$E$2:$E$801,$A14,Consolidated_Data!$F$2:$F$801,$C$4,Consolidated_Data!$E$2:$E$801,$C$5,Consolidated_Data!$A$2:$A$801,$C$6,Consolidated_Data!$I$2:$I$801,$C$7,Consolidated_Data!$J$2:$J$801,$C$8)</f>
        <v>12</v>
      </c>
      <c r="F14" s="10"/>
      <c r="G14" s="10" t="s">
        <v>52</v>
      </c>
      <c r="H14" s="14">
        <f>COUNTIFS(Consolidated_Data!$C$2:$C$801,"&lt;&gt;",Consolidated_Data!$P$2:$P$801,$G14,Consolidated_Data!$F$2:$F$801,$C$4,Consolidated_Data!$E$2:$E$801,$C$5,Consolidated_Data!$A$2:$A$801,$C$6,Consolidated_Data!$I$2:$I$801,$C$7,Consolidated_Data!$J$2:$J$801,$C$8)</f>
        <v>18</v>
      </c>
      <c r="I14" s="10"/>
      <c r="J14" s="10" t="s">
        <v>30</v>
      </c>
      <c r="K14" s="12">
        <f>SUMIFS(Consolidated_Data!$K$2:$K$801,Consolidated_Data!$C$2:$C$801,"&lt;&gt;",Consolidated_Data!$A$2:$A$801,$J14,Consolidated_Data!$F$2:$F$801,$C$4,Consolidated_Data!$E$2:$E$801,$C$5,Consolidated_Data!$A$2:$A$801,$C$6,Consolidated_Data!$I$2:$I$801,$C$7,Consolidated_Data!$J$2:$J$801,$C$8)</f>
        <v>720</v>
      </c>
      <c r="L14" s="12">
        <f>SUMIFS(Consolidated_Data!$L$2:$L$801,Consolidated_Data!$C$2:$C$801,"&lt;&gt;",Consolidated_Data!$A$2:$A$801,$J14,Consolidated_Data!$F$2:$F$801,$C$4,Consolidated_Data!$E$2:$E$801,$C$5,Consolidated_Data!$A$2:$A$801,$C$6,Consolidated_Data!$I$2:$I$801,$C$7,Consolidated_Data!$J$2:$J$801,$C$8)</f>
        <v>586</v>
      </c>
      <c r="M14" s="13">
        <f>IFERROR(L14/K14,0)</f>
        <v>0.81388888888888888</v>
      </c>
      <c r="N14" s="14">
        <f>COUNTIFS(Consolidated_Data!$C$2:$C$801,"&lt;&gt;",Consolidated_Data!$A$2:$A$801,$J14,Consolidated_Data!$F$2:$F$801,$C$4,Consolidated_Data!$E$2:$E$801,$C$5,Consolidated_Data!$A$2:$A$801,$C$6,Consolidated_Data!$I$2:$I$801,$C$7,Consolidated_Data!$J$2:$J$801,$C$8)</f>
        <v>12</v>
      </c>
    </row>
    <row r="15" spans="1:17" ht="20.100000000000001" customHeight="1" x14ac:dyDescent="0.25">
      <c r="A15" s="10" t="s">
        <v>42</v>
      </c>
      <c r="B15" s="12">
        <f>SUMIFS(Consolidated_Data!$K$2:$K$801,Consolidated_Data!$C$2:$C$801,"&lt;&gt;",Consolidated_Data!$E$2:$E$801,$A15,Consolidated_Data!$F$2:$F$801,$C$4,Consolidated_Data!$E$2:$E$801,$C$5,Consolidated_Data!$A$2:$A$801,$C$6,Consolidated_Data!$I$2:$I$801,$C$7,Consolidated_Data!$J$2:$J$801,$C$8)</f>
        <v>648</v>
      </c>
      <c r="C15" s="12">
        <f>SUMIFS(Consolidated_Data!$L$2:$L$801,Consolidated_Data!$C$2:$C$801,"&lt;&gt;",Consolidated_Data!$E$2:$E$801,$A15,Consolidated_Data!$F$2:$F$801,$C$4,Consolidated_Data!$E$2:$E$801,$C$5,Consolidated_Data!$A$2:$A$801,$C$6,Consolidated_Data!$I$2:$I$801,$C$7,Consolidated_Data!$J$2:$J$801,$C$8)</f>
        <v>524</v>
      </c>
      <c r="D15" s="13">
        <f>IFERROR(C15/B15,0)</f>
        <v>0.80864197530864201</v>
      </c>
      <c r="E15" s="14">
        <f>COUNTIFS(Consolidated_Data!$C$2:$C$801,"&lt;&gt;",Consolidated_Data!$E$2:$E$801,$A15,Consolidated_Data!$F$2:$F$801,$C$4,Consolidated_Data!$E$2:$E$801,$C$5,Consolidated_Data!$A$2:$A$801,$C$6,Consolidated_Data!$I$2:$I$801,$C$7,Consolidated_Data!$J$2:$J$801,$C$8)</f>
        <v>12</v>
      </c>
      <c r="F15" s="10"/>
      <c r="G15" s="10" t="s">
        <v>28</v>
      </c>
      <c r="H15" s="14">
        <f>COUNTIFS(Consolidated_Data!$C$2:$C$801,"&lt;&gt;",Consolidated_Data!$P$2:$P$801,$G15,Consolidated_Data!$F$2:$F$801,$C$4,Consolidated_Data!$E$2:$E$801,$C$5,Consolidated_Data!$A$2:$A$801,$C$6,Consolidated_Data!$I$2:$I$801,$C$7,Consolidated_Data!$J$2:$J$801,$C$8)</f>
        <v>22</v>
      </c>
      <c r="I15" s="10"/>
      <c r="J15" s="10" t="s">
        <v>38</v>
      </c>
      <c r="K15" s="12">
        <f>SUMIFS(Consolidated_Data!$K$2:$K$801,Consolidated_Data!$C$2:$C$801,"&lt;&gt;",Consolidated_Data!$A$2:$A$801,$J15,Consolidated_Data!$F$2:$F$801,$C$4,Consolidated_Data!$E$2:$E$801,$C$5,Consolidated_Data!$A$2:$A$801,$C$6,Consolidated_Data!$I$2:$I$801,$C$7,Consolidated_Data!$J$2:$J$801,$C$8)</f>
        <v>648</v>
      </c>
      <c r="L15" s="12">
        <f>SUMIFS(Consolidated_Data!$L$2:$L$801,Consolidated_Data!$C$2:$C$801,"&lt;&gt;",Consolidated_Data!$A$2:$A$801,$J15,Consolidated_Data!$F$2:$F$801,$C$4,Consolidated_Data!$E$2:$E$801,$C$5,Consolidated_Data!$A$2:$A$801,$C$6,Consolidated_Data!$I$2:$I$801,$C$7,Consolidated_Data!$J$2:$J$801,$C$8)</f>
        <v>524</v>
      </c>
      <c r="M15" s="13">
        <f>IFERROR(L15/K15,0)</f>
        <v>0.80864197530864201</v>
      </c>
      <c r="N15" s="14">
        <f>COUNTIFS(Consolidated_Data!$C$2:$C$801,"&lt;&gt;",Consolidated_Data!$A$2:$A$801,$J15,Consolidated_Data!$F$2:$F$801,$C$4,Consolidated_Data!$E$2:$E$801,$C$5,Consolidated_Data!$A$2:$A$801,$C$6,Consolidated_Data!$I$2:$I$801,$C$7,Consolidated_Data!$J$2:$J$801,$C$8)</f>
        <v>12</v>
      </c>
    </row>
    <row r="16" spans="1:17" ht="20.100000000000001" customHeight="1" x14ac:dyDescent="0.25">
      <c r="A16" s="10" t="s">
        <v>49</v>
      </c>
      <c r="B16" s="12">
        <f>SUMIFS(Consolidated_Data!$K$2:$K$801,Consolidated_Data!$C$2:$C$801,"&lt;&gt;",Consolidated_Data!$E$2:$E$801,$A16,Consolidated_Data!$F$2:$F$801,$C$4,Consolidated_Data!$E$2:$E$801,$C$5,Consolidated_Data!$A$2:$A$801,$C$6,Consolidated_Data!$I$2:$I$801,$C$7,Consolidated_Data!$J$2:$J$801,$C$8)</f>
        <v>576</v>
      </c>
      <c r="C16" s="12">
        <f>SUMIFS(Consolidated_Data!$L$2:$L$801,Consolidated_Data!$C$2:$C$801,"&lt;&gt;",Consolidated_Data!$E$2:$E$801,$A16,Consolidated_Data!$F$2:$F$801,$C$4,Consolidated_Data!$E$2:$E$801,$C$5,Consolidated_Data!$A$2:$A$801,$C$6,Consolidated_Data!$I$2:$I$801,$C$7,Consolidated_Data!$J$2:$J$801,$C$8)</f>
        <v>497</v>
      </c>
      <c r="D16" s="13">
        <f>IFERROR(C16/B16,0)</f>
        <v>0.86284722222222221</v>
      </c>
      <c r="E16" s="14">
        <f>COUNTIFS(Consolidated_Data!$C$2:$C$801,"&lt;&gt;",Consolidated_Data!$E$2:$E$801,$A16,Consolidated_Data!$F$2:$F$801,$C$4,Consolidated_Data!$E$2:$E$801,$C$5,Consolidated_Data!$A$2:$A$801,$C$6,Consolidated_Data!$I$2:$I$801,$C$7,Consolidated_Data!$J$2:$J$801,$C$8)</f>
        <v>12</v>
      </c>
      <c r="F16" s="10"/>
      <c r="G16" s="10" t="s">
        <v>196</v>
      </c>
      <c r="H16" s="14">
        <f>COUNTIFS(Consolidated_Data!$C$2:$C$801,"&lt;&gt;",Consolidated_Data!$P$2:$P$801,$G16,Consolidated_Data!$F$2:$F$801,$C$4,Consolidated_Data!$E$2:$E$801,$C$5,Consolidated_Data!$A$2:$A$801,$C$6,Consolidated_Data!$I$2:$I$801,$C$7,Consolidated_Data!$J$2:$J$801,$C$8)</f>
        <v>0</v>
      </c>
      <c r="I16" s="10"/>
      <c r="J16" s="10" t="s">
        <v>45</v>
      </c>
      <c r="K16" s="12">
        <f>SUMIFS(Consolidated_Data!$K$2:$K$801,Consolidated_Data!$C$2:$C$801,"&lt;&gt;",Consolidated_Data!$A$2:$A$801,$J16,Consolidated_Data!$F$2:$F$801,$C$4,Consolidated_Data!$E$2:$E$801,$C$5,Consolidated_Data!$A$2:$A$801,$C$6,Consolidated_Data!$I$2:$I$801,$C$7,Consolidated_Data!$J$2:$J$801,$C$8)</f>
        <v>576</v>
      </c>
      <c r="L16" s="12">
        <f>SUMIFS(Consolidated_Data!$L$2:$L$801,Consolidated_Data!$C$2:$C$801,"&lt;&gt;",Consolidated_Data!$A$2:$A$801,$J16,Consolidated_Data!$F$2:$F$801,$C$4,Consolidated_Data!$E$2:$E$801,$C$5,Consolidated_Data!$A$2:$A$801,$C$6,Consolidated_Data!$I$2:$I$801,$C$7,Consolidated_Data!$J$2:$J$801,$C$8)</f>
        <v>497</v>
      </c>
      <c r="M16" s="13">
        <f>IFERROR(L16/K16,0)</f>
        <v>0.86284722222222221</v>
      </c>
      <c r="N16" s="14">
        <f>COUNTIFS(Consolidated_Data!$C$2:$C$801,"&lt;&gt;",Consolidated_Data!$A$2:$A$801,$J16,Consolidated_Data!$F$2:$F$801,$C$4,Consolidated_Data!$E$2:$E$801,$C$5,Consolidated_Data!$A$2:$A$801,$C$6,Consolidated_Data!$I$2:$I$801,$C$7,Consolidated_Data!$J$2:$J$801,$C$8)</f>
        <v>12</v>
      </c>
    </row>
    <row r="17" spans="1:14" ht="20.100000000000001" customHeight="1" x14ac:dyDescent="0.25">
      <c r="A17" s="10"/>
      <c r="B17" s="10"/>
      <c r="C17" s="10"/>
      <c r="D17" s="10"/>
      <c r="E17" s="10"/>
      <c r="F17" s="10"/>
      <c r="G17" s="10" t="s">
        <v>208</v>
      </c>
      <c r="H17" s="14">
        <f>COUNTIFS(Consolidated_Data!$C$2:$C$801,"&lt;&gt;",Consolidated_Data!$P$2:$P$801,$G17,Consolidated_Data!$F$2:$F$801,$C$4,Consolidated_Data!$E$2:$E$801,$C$5,Consolidated_Data!$A$2:$A$801,$C$6,Consolidated_Data!$I$2:$I$801,$C$7,Consolidated_Data!$J$2:$J$801,$C$8)</f>
        <v>0</v>
      </c>
      <c r="I17" s="10"/>
      <c r="J17" s="10"/>
      <c r="K17" s="10"/>
      <c r="L17" s="10"/>
      <c r="M17" s="10"/>
      <c r="N17" s="10"/>
    </row>
    <row r="18" spans="1:14" ht="20.100000000000001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20.100000000000001" customHeight="1" x14ac:dyDescent="0.25">
      <c r="A19" s="9" t="s">
        <v>209</v>
      </c>
      <c r="B19" s="10"/>
      <c r="C19" s="10"/>
      <c r="D19" s="10"/>
      <c r="E19" s="10"/>
      <c r="F19" s="10"/>
      <c r="G19" s="9" t="s">
        <v>210</v>
      </c>
      <c r="H19" s="10"/>
      <c r="I19" s="10"/>
      <c r="J19" s="10"/>
      <c r="K19" s="10"/>
      <c r="L19" s="10"/>
      <c r="M19" s="10"/>
      <c r="N19" s="10"/>
    </row>
    <row r="20" spans="1:14" ht="20.100000000000001" customHeight="1" x14ac:dyDescent="0.25">
      <c r="A20" s="11" t="s">
        <v>199</v>
      </c>
      <c r="B20" s="11" t="s">
        <v>203</v>
      </c>
      <c r="C20" s="11" t="s">
        <v>204</v>
      </c>
      <c r="D20" s="11" t="s">
        <v>193</v>
      </c>
      <c r="E20" s="10"/>
      <c r="F20" s="10"/>
      <c r="G20" s="11" t="s">
        <v>194</v>
      </c>
      <c r="H20" s="11" t="s">
        <v>203</v>
      </c>
      <c r="I20" s="11" t="s">
        <v>204</v>
      </c>
      <c r="J20" s="11" t="s">
        <v>193</v>
      </c>
      <c r="K20" s="10"/>
      <c r="L20" s="10"/>
      <c r="M20" s="10"/>
      <c r="N20" s="10"/>
    </row>
    <row r="21" spans="1:14" ht="20.100000000000001" customHeight="1" x14ac:dyDescent="0.25">
      <c r="A21" s="10" t="s">
        <v>25</v>
      </c>
      <c r="B21" s="12">
        <f>SUMIFS(Consolidated_Data!$K$2:$K$801,Consolidated_Data!$C$2:$C$801,"&lt;&gt;",Consolidated_Data!$J$2:$J$801,$A21,Consolidated_Data!$F$2:$F$801,$C$4,Consolidated_Data!$E$2:$E$801,$C$5,Consolidated_Data!$A$2:$A$801,$C$6,Consolidated_Data!$I$2:$I$801,$C$7,Consolidated_Data!$J$2:$J$801,$C$8)</f>
        <v>202</v>
      </c>
      <c r="C21" s="12">
        <f>SUMIFS(Consolidated_Data!$L$2:$L$801,Consolidated_Data!$C$2:$C$801,"&lt;&gt;",Consolidated_Data!$J$2:$J$801,$A21,Consolidated_Data!$F$2:$F$801,$C$4,Consolidated_Data!$E$2:$E$801,$C$5,Consolidated_Data!$A$2:$A$801,$C$6,Consolidated_Data!$I$2:$I$801,$C$7,Consolidated_Data!$J$2:$J$801,$C$8)</f>
        <v>215</v>
      </c>
      <c r="D21" s="14">
        <f>COUNTIFS(Consolidated_Data!$C$2:$C$801,"&lt;&gt;",Consolidated_Data!$J$2:$J$801,$A21,Consolidated_Data!$F$2:$F$801,$C$4,Consolidated_Data!$E$2:$E$801,$C$5,Consolidated_Data!$A$2:$A$801,$C$6,Consolidated_Data!$I$2:$I$801,$C$7,Consolidated_Data!$J$2:$J$801,$C$8)</f>
        <v>4</v>
      </c>
      <c r="E21" s="10"/>
      <c r="F21" s="10"/>
      <c r="G21" s="10" t="s">
        <v>23</v>
      </c>
      <c r="H21" s="12">
        <f>SUMIFS(Consolidated_Data!$K$2:$K$801,Consolidated_Data!$C$2:$C$801,"&lt;&gt;",Consolidated_Data!$F$2:$F$801,$G21,Consolidated_Data!$F$2:$F$801,$C$4,Consolidated_Data!$E$2:$E$801,$C$5,Consolidated_Data!$A$2:$A$801,$C$6,Consolidated_Data!$I$2:$I$801,$C$7,Consolidated_Data!$J$2:$J$801,$C$8)</f>
        <v>327</v>
      </c>
      <c r="I21" s="12">
        <f>SUMIFS(Consolidated_Data!$L$2:$L$801,Consolidated_Data!$C$2:$C$801,"&lt;&gt;",Consolidated_Data!$F$2:$F$801,$G21,Consolidated_Data!$F$2:$F$801,$C$4,Consolidated_Data!$E$2:$E$801,$C$5,Consolidated_Data!$A$2:$A$801,$C$6,Consolidated_Data!$I$2:$I$801,$C$7,Consolidated_Data!$J$2:$J$801,$C$8)</f>
        <v>327</v>
      </c>
      <c r="J21" s="10">
        <f>COUNTIFS(Consolidated_Data!$C$2:$C$801,"&lt;&gt;",Consolidated_Data!$F$2:$F$801,$G21,Consolidated_Data!$F$2:$F$801,$C$4,Consolidated_Data!$E$2:$E$801,$C$5,Consolidated_Data!$A$2:$A$801,$C$6,Consolidated_Data!$I$2:$I$801,$C$7,Consolidated_Data!$J$2:$J$801,$C$8)</f>
        <v>6</v>
      </c>
      <c r="K21" s="10"/>
      <c r="L21" s="10"/>
      <c r="M21" s="10"/>
      <c r="N21" s="10"/>
    </row>
    <row r="22" spans="1:14" ht="20.100000000000001" customHeight="1" x14ac:dyDescent="0.25">
      <c r="A22" s="10" t="s">
        <v>35</v>
      </c>
      <c r="B22" s="12">
        <f>SUMIFS(Consolidated_Data!$K$2:$K$801,Consolidated_Data!$C$2:$C$801,"&lt;&gt;",Consolidated_Data!$J$2:$J$801,$A22,Consolidated_Data!$F$2:$F$801,$C$4,Consolidated_Data!$E$2:$E$801,$C$5,Consolidated_Data!$A$2:$A$801,$C$6,Consolidated_Data!$I$2:$I$801,$C$7,Consolidated_Data!$J$2:$J$801,$C$8)</f>
        <v>222</v>
      </c>
      <c r="C22" s="12">
        <f>SUMIFS(Consolidated_Data!$L$2:$L$801,Consolidated_Data!$C$2:$C$801,"&lt;&gt;",Consolidated_Data!$J$2:$J$801,$A22,Consolidated_Data!$F$2:$F$801,$C$4,Consolidated_Data!$E$2:$E$801,$C$5,Consolidated_Data!$A$2:$A$801,$C$6,Consolidated_Data!$I$2:$I$801,$C$7,Consolidated_Data!$J$2:$J$801,$C$8)</f>
        <v>219</v>
      </c>
      <c r="D22" s="14">
        <f>COUNTIFS(Consolidated_Data!$C$2:$C$801,"&lt;&gt;",Consolidated_Data!$J$2:$J$801,$A22,Consolidated_Data!$F$2:$F$801,$C$4,Consolidated_Data!$E$2:$E$801,$C$5,Consolidated_Data!$A$2:$A$801,$C$6,Consolidated_Data!$I$2:$I$801,$C$7,Consolidated_Data!$J$2:$J$801,$C$8)</f>
        <v>4</v>
      </c>
      <c r="E22" s="10"/>
      <c r="F22" s="10"/>
      <c r="G22" s="10" t="s">
        <v>78</v>
      </c>
      <c r="H22" s="12">
        <f>SUMIFS(Consolidated_Data!$K$2:$K$801,Consolidated_Data!$C$2:$C$801,"&lt;&gt;",Consolidated_Data!$F$2:$F$801,$G22,Consolidated_Data!$F$2:$F$801,$C$4,Consolidated_Data!$E$2:$E$801,$C$5,Consolidated_Data!$A$2:$A$801,$C$6,Consolidated_Data!$I$2:$I$801,$C$7,Consolidated_Data!$J$2:$J$801,$C$8)</f>
        <v>369</v>
      </c>
      <c r="I22" s="12">
        <f>SUMIFS(Consolidated_Data!$L$2:$L$801,Consolidated_Data!$C$2:$C$801,"&lt;&gt;",Consolidated_Data!$F$2:$F$801,$G22,Consolidated_Data!$F$2:$F$801,$C$4,Consolidated_Data!$E$2:$E$801,$C$5,Consolidated_Data!$A$2:$A$801,$C$6,Consolidated_Data!$I$2:$I$801,$C$7,Consolidated_Data!$J$2:$J$801,$C$8)</f>
        <v>233</v>
      </c>
      <c r="J22" s="10">
        <f>COUNTIFS(Consolidated_Data!$C$2:$C$801,"&lt;&gt;",Consolidated_Data!$F$2:$F$801,$G22,Consolidated_Data!$F$2:$F$801,$C$4,Consolidated_Data!$E$2:$E$801,$C$5,Consolidated_Data!$A$2:$A$801,$C$6,Consolidated_Data!$I$2:$I$801,$C$7,Consolidated_Data!$J$2:$J$801,$C$8)</f>
        <v>6</v>
      </c>
      <c r="K22" s="10"/>
      <c r="L22" s="10"/>
      <c r="M22" s="10"/>
      <c r="N22" s="10"/>
    </row>
    <row r="23" spans="1:14" ht="20.100000000000001" customHeight="1" x14ac:dyDescent="0.25">
      <c r="A23" s="10" t="s">
        <v>43</v>
      </c>
      <c r="B23" s="12">
        <f>SUMIFS(Consolidated_Data!$K$2:$K$801,Consolidated_Data!$C$2:$C$801,"&lt;&gt;",Consolidated_Data!$J$2:$J$801,$A23,Consolidated_Data!$F$2:$F$801,$C$4,Consolidated_Data!$E$2:$E$801,$C$5,Consolidated_Data!$A$2:$A$801,$C$6,Consolidated_Data!$I$2:$I$801,$C$7,Consolidated_Data!$J$2:$J$801,$C$8)</f>
        <v>192</v>
      </c>
      <c r="C23" s="12">
        <f>SUMIFS(Consolidated_Data!$L$2:$L$801,Consolidated_Data!$C$2:$C$801,"&lt;&gt;",Consolidated_Data!$J$2:$J$801,$A23,Consolidated_Data!$F$2:$F$801,$C$4,Consolidated_Data!$E$2:$E$801,$C$5,Consolidated_Data!$A$2:$A$801,$C$6,Consolidated_Data!$I$2:$I$801,$C$7,Consolidated_Data!$J$2:$J$801,$C$8)</f>
        <v>194</v>
      </c>
      <c r="D23" s="14">
        <f>COUNTIFS(Consolidated_Data!$C$2:$C$801,"&lt;&gt;",Consolidated_Data!$J$2:$J$801,$A23,Consolidated_Data!$F$2:$F$801,$C$4,Consolidated_Data!$E$2:$E$801,$C$5,Consolidated_Data!$A$2:$A$801,$C$6,Consolidated_Data!$I$2:$I$801,$C$7,Consolidated_Data!$J$2:$J$801,$C$8)</f>
        <v>4</v>
      </c>
      <c r="E23" s="10"/>
      <c r="F23" s="10"/>
      <c r="G23" s="10" t="s">
        <v>105</v>
      </c>
      <c r="H23" s="12">
        <f>SUMIFS(Consolidated_Data!$K$2:$K$801,Consolidated_Data!$C$2:$C$801,"&lt;&gt;",Consolidated_Data!$F$2:$F$801,$G23,Consolidated_Data!$F$2:$F$801,$C$4,Consolidated_Data!$E$2:$E$801,$C$5,Consolidated_Data!$A$2:$A$801,$C$6,Consolidated_Data!$I$2:$I$801,$C$7,Consolidated_Data!$J$2:$J$801,$C$8)</f>
        <v>361</v>
      </c>
      <c r="I23" s="12">
        <f>SUMIFS(Consolidated_Data!$L$2:$L$801,Consolidated_Data!$C$2:$C$801,"&lt;&gt;",Consolidated_Data!$F$2:$F$801,$G23,Consolidated_Data!$F$2:$F$801,$C$4,Consolidated_Data!$E$2:$E$801,$C$5,Consolidated_Data!$A$2:$A$801,$C$6,Consolidated_Data!$I$2:$I$801,$C$7,Consolidated_Data!$J$2:$J$801,$C$8)</f>
        <v>355</v>
      </c>
      <c r="J23" s="10">
        <f>COUNTIFS(Consolidated_Data!$C$2:$C$801,"&lt;&gt;",Consolidated_Data!$F$2:$F$801,$G23,Consolidated_Data!$F$2:$F$801,$C$4,Consolidated_Data!$E$2:$E$801,$C$5,Consolidated_Data!$A$2:$A$801,$C$6,Consolidated_Data!$I$2:$I$801,$C$7,Consolidated_Data!$J$2:$J$801,$C$8)</f>
        <v>6</v>
      </c>
      <c r="K23" s="10"/>
      <c r="L23" s="10"/>
      <c r="M23" s="10"/>
      <c r="N23" s="10"/>
    </row>
    <row r="24" spans="1:14" ht="20.100000000000001" customHeight="1" x14ac:dyDescent="0.25">
      <c r="A24" s="10" t="s">
        <v>50</v>
      </c>
      <c r="B24" s="12">
        <f>SUMIFS(Consolidated_Data!$K$2:$K$801,Consolidated_Data!$C$2:$C$801,"&lt;&gt;",Consolidated_Data!$J$2:$J$801,$A24,Consolidated_Data!$F$2:$F$801,$C$4,Consolidated_Data!$E$2:$E$801,$C$5,Consolidated_Data!$A$2:$A$801,$C$6,Consolidated_Data!$I$2:$I$801,$C$7,Consolidated_Data!$J$2:$J$801,$C$8)</f>
        <v>212</v>
      </c>
      <c r="C24" s="12">
        <f>SUMIFS(Consolidated_Data!$L$2:$L$801,Consolidated_Data!$C$2:$C$801,"&lt;&gt;",Consolidated_Data!$J$2:$J$801,$A24,Consolidated_Data!$F$2:$F$801,$C$4,Consolidated_Data!$E$2:$E$801,$C$5,Consolidated_Data!$A$2:$A$801,$C$6,Consolidated_Data!$I$2:$I$801,$C$7,Consolidated_Data!$J$2:$J$801,$C$8)</f>
        <v>219</v>
      </c>
      <c r="D24" s="14">
        <f>COUNTIFS(Consolidated_Data!$C$2:$C$801,"&lt;&gt;",Consolidated_Data!$J$2:$J$801,$A24,Consolidated_Data!$F$2:$F$801,$C$4,Consolidated_Data!$E$2:$E$801,$C$5,Consolidated_Data!$A$2:$A$801,$C$6,Consolidated_Data!$I$2:$I$801,$C$7,Consolidated_Data!$J$2:$J$801,$C$8)</f>
        <v>4</v>
      </c>
      <c r="E24" s="10"/>
      <c r="F24" s="10"/>
      <c r="G24" s="10" t="s">
        <v>124</v>
      </c>
      <c r="H24" s="12">
        <f>SUMIFS(Consolidated_Data!$K$2:$K$801,Consolidated_Data!$C$2:$C$801,"&lt;&gt;",Consolidated_Data!$F$2:$F$801,$G24,Consolidated_Data!$F$2:$F$801,$C$4,Consolidated_Data!$E$2:$E$801,$C$5,Consolidated_Data!$A$2:$A$801,$C$6,Consolidated_Data!$I$2:$I$801,$C$7,Consolidated_Data!$J$2:$J$801,$C$8)</f>
        <v>353</v>
      </c>
      <c r="I24" s="12">
        <f>SUMIFS(Consolidated_Data!$L$2:$L$801,Consolidated_Data!$C$2:$C$801,"&lt;&gt;",Consolidated_Data!$F$2:$F$801,$G24,Consolidated_Data!$F$2:$F$801,$C$4,Consolidated_Data!$E$2:$E$801,$C$5,Consolidated_Data!$A$2:$A$801,$C$6,Consolidated_Data!$I$2:$I$801,$C$7,Consolidated_Data!$J$2:$J$801,$C$8)</f>
        <v>271</v>
      </c>
      <c r="J24" s="10">
        <f>COUNTIFS(Consolidated_Data!$C$2:$C$801,"&lt;&gt;",Consolidated_Data!$F$2:$F$801,$G24,Consolidated_Data!$F$2:$F$801,$C$4,Consolidated_Data!$E$2:$E$801,$C$5,Consolidated_Data!$A$2:$A$801,$C$6,Consolidated_Data!$I$2:$I$801,$C$7,Consolidated_Data!$J$2:$J$801,$C$8)</f>
        <v>6</v>
      </c>
      <c r="K24" s="10"/>
      <c r="L24" s="10"/>
      <c r="M24" s="10"/>
      <c r="N24" s="10"/>
    </row>
    <row r="25" spans="1:14" ht="20.100000000000001" customHeight="1" x14ac:dyDescent="0.25">
      <c r="A25" s="10" t="s">
        <v>57</v>
      </c>
      <c r="B25" s="12">
        <f>SUMIFS(Consolidated_Data!$K$2:$K$801,Consolidated_Data!$C$2:$C$801,"&lt;&gt;",Consolidated_Data!$J$2:$J$801,$A25,Consolidated_Data!$F$2:$F$801,$C$4,Consolidated_Data!$E$2:$E$801,$C$5,Consolidated_Data!$A$2:$A$801,$C$6,Consolidated_Data!$I$2:$I$801,$C$7,Consolidated_Data!$J$2:$J$801,$C$8)</f>
        <v>232</v>
      </c>
      <c r="C25" s="12">
        <f>SUMIFS(Consolidated_Data!$L$2:$L$801,Consolidated_Data!$C$2:$C$801,"&lt;&gt;",Consolidated_Data!$J$2:$J$801,$A25,Consolidated_Data!$F$2:$F$801,$C$4,Consolidated_Data!$E$2:$E$801,$C$5,Consolidated_Data!$A$2:$A$801,$C$6,Consolidated_Data!$I$2:$I$801,$C$7,Consolidated_Data!$J$2:$J$801,$C$8)</f>
        <v>223</v>
      </c>
      <c r="D25" s="14">
        <f>COUNTIFS(Consolidated_Data!$C$2:$C$801,"&lt;&gt;",Consolidated_Data!$J$2:$J$801,$A25,Consolidated_Data!$F$2:$F$801,$C$4,Consolidated_Data!$E$2:$E$801,$C$5,Consolidated_Data!$A$2:$A$801,$C$6,Consolidated_Data!$I$2:$I$801,$C$7,Consolidated_Data!$J$2:$J$801,$C$8)</f>
        <v>4</v>
      </c>
      <c r="E25" s="10"/>
      <c r="F25" s="10"/>
      <c r="G25" s="10" t="s">
        <v>142</v>
      </c>
      <c r="H25" s="12">
        <f>SUMIFS(Consolidated_Data!$K$2:$K$801,Consolidated_Data!$C$2:$C$801,"&lt;&gt;",Consolidated_Data!$F$2:$F$801,$G25,Consolidated_Data!$F$2:$F$801,$C$4,Consolidated_Data!$E$2:$E$801,$C$5,Consolidated_Data!$A$2:$A$801,$C$6,Consolidated_Data!$I$2:$I$801,$C$7,Consolidated_Data!$J$2:$J$801,$C$8)</f>
        <v>295</v>
      </c>
      <c r="I25" s="12">
        <f>SUMIFS(Consolidated_Data!$L$2:$L$801,Consolidated_Data!$C$2:$C$801,"&lt;&gt;",Consolidated_Data!$F$2:$F$801,$G25,Consolidated_Data!$F$2:$F$801,$C$4,Consolidated_Data!$E$2:$E$801,$C$5,Consolidated_Data!$A$2:$A$801,$C$6,Consolidated_Data!$I$2:$I$801,$C$7,Consolidated_Data!$J$2:$J$801,$C$8)</f>
        <v>304</v>
      </c>
      <c r="J25" s="10">
        <f>COUNTIFS(Consolidated_Data!$C$2:$C$801,"&lt;&gt;",Consolidated_Data!$F$2:$F$801,$G25,Consolidated_Data!$F$2:$F$801,$C$4,Consolidated_Data!$E$2:$E$801,$C$5,Consolidated_Data!$A$2:$A$801,$C$6,Consolidated_Data!$I$2:$I$801,$C$7,Consolidated_Data!$J$2:$J$801,$C$8)</f>
        <v>6</v>
      </c>
      <c r="K25" s="10"/>
      <c r="L25" s="10"/>
      <c r="M25" s="10"/>
      <c r="N25" s="10"/>
    </row>
    <row r="26" spans="1:14" ht="20.100000000000001" customHeight="1" x14ac:dyDescent="0.25">
      <c r="A26" s="10" t="s">
        <v>60</v>
      </c>
      <c r="B26" s="12">
        <f>SUMIFS(Consolidated_Data!$K$2:$K$801,Consolidated_Data!$C$2:$C$801,"&lt;&gt;",Consolidated_Data!$J$2:$J$801,$A26,Consolidated_Data!$F$2:$F$801,$C$4,Consolidated_Data!$E$2:$E$801,$C$5,Consolidated_Data!$A$2:$A$801,$C$6,Consolidated_Data!$I$2:$I$801,$C$7,Consolidated_Data!$J$2:$J$801,$C$8)</f>
        <v>202</v>
      </c>
      <c r="C26" s="12">
        <f>SUMIFS(Consolidated_Data!$L$2:$L$801,Consolidated_Data!$C$2:$C$801,"&lt;&gt;",Consolidated_Data!$J$2:$J$801,$A26,Consolidated_Data!$F$2:$F$801,$C$4,Consolidated_Data!$E$2:$E$801,$C$5,Consolidated_Data!$A$2:$A$801,$C$6,Consolidated_Data!$I$2:$I$801,$C$7,Consolidated_Data!$J$2:$J$801,$C$8)</f>
        <v>198</v>
      </c>
      <c r="D26" s="14">
        <f>COUNTIFS(Consolidated_Data!$C$2:$C$801,"&lt;&gt;",Consolidated_Data!$J$2:$J$801,$A26,Consolidated_Data!$F$2:$F$801,$C$4,Consolidated_Data!$E$2:$E$801,$C$5,Consolidated_Data!$A$2:$A$801,$C$6,Consolidated_Data!$I$2:$I$801,$C$7,Consolidated_Data!$J$2:$J$801,$C$8)</f>
        <v>4</v>
      </c>
      <c r="E26" s="10"/>
      <c r="F26" s="10"/>
      <c r="G26" s="10" t="s">
        <v>154</v>
      </c>
      <c r="H26" s="12">
        <f>SUMIFS(Consolidated_Data!$K$2:$K$801,Consolidated_Data!$C$2:$C$801,"&lt;&gt;",Consolidated_Data!$F$2:$F$801,$G26,Consolidated_Data!$F$2:$F$801,$C$4,Consolidated_Data!$E$2:$E$801,$C$5,Consolidated_Data!$A$2:$A$801,$C$6,Consolidated_Data!$I$2:$I$801,$C$7,Consolidated_Data!$J$2:$J$801,$C$8)</f>
        <v>287</v>
      </c>
      <c r="I26" s="12">
        <f>SUMIFS(Consolidated_Data!$L$2:$L$801,Consolidated_Data!$C$2:$C$801,"&lt;&gt;",Consolidated_Data!$F$2:$F$801,$G26,Consolidated_Data!$F$2:$F$801,$C$4,Consolidated_Data!$E$2:$E$801,$C$5,Consolidated_Data!$A$2:$A$801,$C$6,Consolidated_Data!$I$2:$I$801,$C$7,Consolidated_Data!$J$2:$J$801,$C$8)</f>
        <v>180</v>
      </c>
      <c r="J26" s="10">
        <f>COUNTIFS(Consolidated_Data!$C$2:$C$801,"&lt;&gt;",Consolidated_Data!$F$2:$F$801,$G26,Consolidated_Data!$F$2:$F$801,$C$4,Consolidated_Data!$E$2:$E$801,$C$5,Consolidated_Data!$A$2:$A$801,$C$6,Consolidated_Data!$I$2:$I$801,$C$7,Consolidated_Data!$J$2:$J$801,$C$8)</f>
        <v>6</v>
      </c>
      <c r="K26" s="10"/>
      <c r="L26" s="10"/>
      <c r="M26" s="10"/>
      <c r="N26" s="10"/>
    </row>
    <row r="27" spans="1:14" ht="20.100000000000001" customHeight="1" x14ac:dyDescent="0.25">
      <c r="A27" s="10" t="s">
        <v>79</v>
      </c>
      <c r="B27" s="12">
        <f>SUMIFS(Consolidated_Data!$K$2:$K$801,Consolidated_Data!$C$2:$C$801,"&lt;&gt;",Consolidated_Data!$J$2:$J$801,$A27,Consolidated_Data!$F$2:$F$801,$C$4,Consolidated_Data!$E$2:$E$801,$C$5,Consolidated_Data!$A$2:$A$801,$C$6,Consolidated_Data!$I$2:$I$801,$C$7,Consolidated_Data!$J$2:$J$801,$C$8)</f>
        <v>230</v>
      </c>
      <c r="C27" s="12">
        <f>SUMIFS(Consolidated_Data!$L$2:$L$801,Consolidated_Data!$C$2:$C$801,"&lt;&gt;",Consolidated_Data!$J$2:$J$801,$A27,Consolidated_Data!$F$2:$F$801,$C$4,Consolidated_Data!$E$2:$E$801,$C$5,Consolidated_Data!$A$2:$A$801,$C$6,Consolidated_Data!$I$2:$I$801,$C$7,Consolidated_Data!$J$2:$J$801,$C$8)</f>
        <v>234</v>
      </c>
      <c r="D27" s="14">
        <f>COUNTIFS(Consolidated_Data!$C$2:$C$801,"&lt;&gt;",Consolidated_Data!$J$2:$J$801,$A27,Consolidated_Data!$F$2:$F$801,$C$4,Consolidated_Data!$E$2:$E$801,$C$5,Consolidated_Data!$A$2:$A$801,$C$6,Consolidated_Data!$I$2:$I$801,$C$7,Consolidated_Data!$J$2:$J$801,$C$8)</f>
        <v>4</v>
      </c>
      <c r="E27" s="10"/>
      <c r="F27" s="10"/>
      <c r="G27" s="10" t="s">
        <v>167</v>
      </c>
      <c r="H27" s="12">
        <f>SUMIFS(Consolidated_Data!$K$2:$K$801,Consolidated_Data!$C$2:$C$801,"&lt;&gt;",Consolidated_Data!$F$2:$F$801,$G27,Consolidated_Data!$F$2:$F$801,$C$4,Consolidated_Data!$E$2:$E$801,$C$5,Consolidated_Data!$A$2:$A$801,$C$6,Consolidated_Data!$I$2:$I$801,$C$7,Consolidated_Data!$J$2:$J$801,$C$8)</f>
        <v>279</v>
      </c>
      <c r="I27" s="12">
        <f>SUMIFS(Consolidated_Data!$L$2:$L$801,Consolidated_Data!$C$2:$C$801,"&lt;&gt;",Consolidated_Data!$F$2:$F$801,$G27,Consolidated_Data!$F$2:$F$801,$C$4,Consolidated_Data!$E$2:$E$801,$C$5,Consolidated_Data!$A$2:$A$801,$C$6,Consolidated_Data!$I$2:$I$801,$C$7,Consolidated_Data!$J$2:$J$801,$C$8)</f>
        <v>282</v>
      </c>
      <c r="J27" s="10">
        <f>COUNTIFS(Consolidated_Data!$C$2:$C$801,"&lt;&gt;",Consolidated_Data!$F$2:$F$801,$G27,Consolidated_Data!$F$2:$F$801,$C$4,Consolidated_Data!$E$2:$E$801,$C$5,Consolidated_Data!$A$2:$A$801,$C$6,Consolidated_Data!$I$2:$I$801,$C$7,Consolidated_Data!$J$2:$J$801,$C$8)</f>
        <v>6</v>
      </c>
      <c r="K27" s="10"/>
      <c r="L27" s="10"/>
      <c r="M27" s="10"/>
      <c r="N27" s="10"/>
    </row>
    <row r="28" spans="1:14" ht="20.100000000000001" customHeight="1" x14ac:dyDescent="0.25">
      <c r="A28" s="10" t="s">
        <v>82</v>
      </c>
      <c r="B28" s="12">
        <f>SUMIFS(Consolidated_Data!$K$2:$K$801,Consolidated_Data!$C$2:$C$801,"&lt;&gt;",Consolidated_Data!$J$2:$J$801,$A28,Consolidated_Data!$F$2:$F$801,$C$4,Consolidated_Data!$E$2:$E$801,$C$5,Consolidated_Data!$A$2:$A$801,$C$6,Consolidated_Data!$I$2:$I$801,$C$7,Consolidated_Data!$J$2:$J$801,$C$8)</f>
        <v>200</v>
      </c>
      <c r="C28" s="12">
        <f>SUMIFS(Consolidated_Data!$L$2:$L$801,Consolidated_Data!$C$2:$C$801,"&lt;&gt;",Consolidated_Data!$J$2:$J$801,$A28,Consolidated_Data!$F$2:$F$801,$C$4,Consolidated_Data!$E$2:$E$801,$C$5,Consolidated_Data!$A$2:$A$801,$C$6,Consolidated_Data!$I$2:$I$801,$C$7,Consolidated_Data!$J$2:$J$801,$C$8)</f>
        <v>209</v>
      </c>
      <c r="D28" s="14">
        <f>COUNTIFS(Consolidated_Data!$C$2:$C$801,"&lt;&gt;",Consolidated_Data!$J$2:$J$801,$A28,Consolidated_Data!$F$2:$F$801,$C$4,Consolidated_Data!$E$2:$E$801,$C$5,Consolidated_Data!$A$2:$A$801,$C$6,Consolidated_Data!$I$2:$I$801,$C$7,Consolidated_Data!$J$2:$J$801,$C$8)</f>
        <v>4</v>
      </c>
      <c r="E28" s="10"/>
      <c r="F28" s="10"/>
      <c r="G28" s="10" t="s">
        <v>179</v>
      </c>
      <c r="H28" s="12">
        <f>SUMIFS(Consolidated_Data!$K$2:$K$801,Consolidated_Data!$C$2:$C$801,"&lt;&gt;",Consolidated_Data!$F$2:$F$801,$G28,Consolidated_Data!$F$2:$F$801,$C$4,Consolidated_Data!$E$2:$E$801,$C$5,Consolidated_Data!$A$2:$A$801,$C$6,Consolidated_Data!$I$2:$I$801,$C$7,Consolidated_Data!$J$2:$J$801,$C$8)</f>
        <v>321</v>
      </c>
      <c r="I28" s="12">
        <f>SUMIFS(Consolidated_Data!$L$2:$L$801,Consolidated_Data!$C$2:$C$801,"&lt;&gt;",Consolidated_Data!$F$2:$F$801,$G28,Consolidated_Data!$F$2:$F$801,$C$4,Consolidated_Data!$E$2:$E$801,$C$5,Consolidated_Data!$A$2:$A$801,$C$6,Consolidated_Data!$I$2:$I$801,$C$7,Consolidated_Data!$J$2:$J$801,$C$8)</f>
        <v>210</v>
      </c>
      <c r="J28" s="10">
        <f>COUNTIFS(Consolidated_Data!$C$2:$C$801,"&lt;&gt;",Consolidated_Data!$F$2:$F$801,$G28,Consolidated_Data!$F$2:$F$801,$C$4,Consolidated_Data!$E$2:$E$801,$C$5,Consolidated_Data!$A$2:$A$801,$C$6,Consolidated_Data!$I$2:$I$801,$C$7,Consolidated_Data!$J$2:$J$801,$C$8)</f>
        <v>6</v>
      </c>
      <c r="K28" s="10"/>
      <c r="L28" s="10"/>
      <c r="M28" s="10"/>
      <c r="N28" s="10"/>
    </row>
    <row r="29" spans="1:14" ht="20.100000000000001" customHeight="1" x14ac:dyDescent="0.25">
      <c r="A29" s="10" t="s">
        <v>86</v>
      </c>
      <c r="B29" s="12">
        <f>SUMIFS(Consolidated_Data!$K$2:$K$801,Consolidated_Data!$C$2:$C$801,"&lt;&gt;",Consolidated_Data!$J$2:$J$801,$A29,Consolidated_Data!$F$2:$F$801,$C$4,Consolidated_Data!$E$2:$E$801,$C$5,Consolidated_Data!$A$2:$A$801,$C$6,Consolidated_Data!$I$2:$I$801,$C$7,Consolidated_Data!$J$2:$J$801,$C$8)</f>
        <v>220</v>
      </c>
      <c r="C29" s="12">
        <f>SUMIFS(Consolidated_Data!$L$2:$L$801,Consolidated_Data!$C$2:$C$801,"&lt;&gt;",Consolidated_Data!$J$2:$J$801,$A29,Consolidated_Data!$F$2:$F$801,$C$4,Consolidated_Data!$E$2:$E$801,$C$5,Consolidated_Data!$A$2:$A$801,$C$6,Consolidated_Data!$I$2:$I$801,$C$7,Consolidated_Data!$J$2:$J$801,$C$8)</f>
        <v>213</v>
      </c>
      <c r="D29" s="14">
        <f>COUNTIFS(Consolidated_Data!$C$2:$C$801,"&lt;&gt;",Consolidated_Data!$J$2:$J$801,$A29,Consolidated_Data!$F$2:$F$801,$C$4,Consolidated_Data!$E$2:$E$801,$C$5,Consolidated_Data!$A$2:$A$801,$C$6,Consolidated_Data!$I$2:$I$801,$C$7,Consolidated_Data!$J$2:$J$801,$C$8)</f>
        <v>4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20.100000000000001" customHeight="1" x14ac:dyDescent="0.25">
      <c r="A30" s="10" t="s">
        <v>89</v>
      </c>
      <c r="B30" s="12">
        <f>SUMIFS(Consolidated_Data!$K$2:$K$801,Consolidated_Data!$C$2:$C$801,"&lt;&gt;",Consolidated_Data!$J$2:$J$801,$A30,Consolidated_Data!$F$2:$F$801,$C$4,Consolidated_Data!$E$2:$E$801,$C$5,Consolidated_Data!$A$2:$A$801,$C$6,Consolidated_Data!$I$2:$I$801,$C$7,Consolidated_Data!$J$2:$J$801,$C$8)</f>
        <v>240</v>
      </c>
      <c r="C30" s="12">
        <f>SUMIFS(Consolidated_Data!$L$2:$L$801,Consolidated_Data!$C$2:$C$801,"&lt;&gt;",Consolidated_Data!$J$2:$J$801,$A30,Consolidated_Data!$F$2:$F$801,$C$4,Consolidated_Data!$E$2:$E$801,$C$5,Consolidated_Data!$A$2:$A$801,$C$6,Consolidated_Data!$I$2:$I$801,$C$7,Consolidated_Data!$J$2:$J$801,$C$8)</f>
        <v>238</v>
      </c>
      <c r="D30" s="14">
        <f>COUNTIFS(Consolidated_Data!$C$2:$C$801,"&lt;&gt;",Consolidated_Data!$J$2:$J$801,$A30,Consolidated_Data!$F$2:$F$801,$C$4,Consolidated_Data!$E$2:$E$801,$C$5,Consolidated_Data!$A$2:$A$801,$C$6,Consolidated_Data!$I$2:$I$801,$C$7,Consolidated_Data!$J$2:$J$801,$C$8)</f>
        <v>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20.100000000000001" customHeight="1" x14ac:dyDescent="0.25">
      <c r="A31" s="10" t="s">
        <v>92</v>
      </c>
      <c r="B31" s="12">
        <f>SUMIFS(Consolidated_Data!$K$2:$K$801,Consolidated_Data!$C$2:$C$801,"&lt;&gt;",Consolidated_Data!$J$2:$J$801,$A31,Consolidated_Data!$F$2:$F$801,$C$4,Consolidated_Data!$E$2:$E$801,$C$5,Consolidated_Data!$A$2:$A$801,$C$6,Consolidated_Data!$I$2:$I$801,$C$7,Consolidated_Data!$J$2:$J$801,$C$8)</f>
        <v>210</v>
      </c>
      <c r="C31" s="12">
        <f>SUMIFS(Consolidated_Data!$L$2:$L$801,Consolidated_Data!$C$2:$C$801,"&lt;&gt;",Consolidated_Data!$J$2:$J$801,$A31,Consolidated_Data!$F$2:$F$801,$C$4,Consolidated_Data!$E$2:$E$801,$C$5,Consolidated_Data!$A$2:$A$801,$C$6,Consolidated_Data!$I$2:$I$801,$C$7,Consolidated_Data!$J$2:$J$801,$C$8)</f>
        <v>0</v>
      </c>
      <c r="D31" s="14">
        <f>COUNTIFS(Consolidated_Data!$C$2:$C$801,"&lt;&gt;",Consolidated_Data!$J$2:$J$801,$A31,Consolidated_Data!$F$2:$F$801,$C$4,Consolidated_Data!$E$2:$E$801,$C$5,Consolidated_Data!$A$2:$A$801,$C$6,Consolidated_Data!$I$2:$I$801,$C$7,Consolidated_Data!$J$2:$J$801,$C$8)</f>
        <v>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20.100000000000001" customHeight="1" x14ac:dyDescent="0.25">
      <c r="A32" s="10" t="s">
        <v>97</v>
      </c>
      <c r="B32" s="12">
        <f>SUMIFS(Consolidated_Data!$K$2:$K$801,Consolidated_Data!$C$2:$C$801,"&lt;&gt;",Consolidated_Data!$J$2:$J$801,$A32,Consolidated_Data!$F$2:$F$801,$C$4,Consolidated_Data!$E$2:$E$801,$C$5,Consolidated_Data!$A$2:$A$801,$C$6,Consolidated_Data!$I$2:$I$801,$C$7,Consolidated_Data!$J$2:$J$801,$C$8)</f>
        <v>230</v>
      </c>
      <c r="C32" s="12">
        <f>SUMIFS(Consolidated_Data!$L$2:$L$801,Consolidated_Data!$C$2:$C$801,"&lt;&gt;",Consolidated_Data!$J$2:$J$801,$A32,Consolidated_Data!$F$2:$F$801,$C$4,Consolidated_Data!$E$2:$E$801,$C$5,Consolidated_Data!$A$2:$A$801,$C$6,Consolidated_Data!$I$2:$I$801,$C$7,Consolidated_Data!$J$2:$J$801,$C$8)</f>
        <v>0</v>
      </c>
      <c r="D32" s="14">
        <f>COUNTIFS(Consolidated_Data!$C$2:$C$801,"&lt;&gt;",Consolidated_Data!$J$2:$J$801,$A32,Consolidated_Data!$F$2:$F$801,$C$4,Consolidated_Data!$E$2:$E$801,$C$5,Consolidated_Data!$A$2:$A$801,$C$6,Consolidated_Data!$I$2:$I$801,$C$7,Consolidated_Data!$J$2:$J$801,$C$8)</f>
        <v>4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5" spans="1:14" x14ac:dyDescent="0.25">
      <c r="A35" s="27" t="s">
        <v>211</v>
      </c>
      <c r="B35" s="21"/>
      <c r="C35" s="21"/>
      <c r="D35" s="21"/>
      <c r="E35" s="21"/>
      <c r="F35" s="21"/>
    </row>
    <row r="36" spans="1:14" x14ac:dyDescent="0.25">
      <c r="A36" s="21"/>
      <c r="B36" s="21"/>
      <c r="C36" s="21"/>
      <c r="D36" s="21"/>
      <c r="E36" s="21"/>
      <c r="F36" s="21"/>
    </row>
  </sheetData>
  <mergeCells count="17">
    <mergeCell ref="A1:Q1"/>
    <mergeCell ref="H7:J7"/>
    <mergeCell ref="E8:G9"/>
    <mergeCell ref="A35:F36"/>
    <mergeCell ref="H8:J9"/>
    <mergeCell ref="E3:G3"/>
    <mergeCell ref="K3:M3"/>
    <mergeCell ref="H3:J3"/>
    <mergeCell ref="K8:M9"/>
    <mergeCell ref="E4:G6"/>
    <mergeCell ref="E7:G7"/>
    <mergeCell ref="K7:M7"/>
    <mergeCell ref="N4:Q6"/>
    <mergeCell ref="N7:Q9"/>
    <mergeCell ref="H4:J6"/>
    <mergeCell ref="N3:Q3"/>
    <mergeCell ref="K4:M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800-000000000000}">
          <x14:formula1>
            <xm:f>Lists!$A$1:$A$9</xm:f>
          </x14:formula1>
          <xm:sqref>B4</xm:sqref>
        </x14:dataValidation>
        <x14:dataValidation type="list" xr:uid="{00000000-0002-0000-0800-000001000000}">
          <x14:formula1>
            <xm:f>Lists!$B$1:$B$5</xm:f>
          </x14:formula1>
          <xm:sqref>B5</xm:sqref>
        </x14:dataValidation>
        <x14:dataValidation type="list" xr:uid="{00000000-0002-0000-0800-000002000000}">
          <x14:formula1>
            <xm:f>Lists!$C$1:$C$5</xm:f>
          </x14:formula1>
          <xm:sqref>B6</xm:sqref>
        </x14:dataValidation>
        <x14:dataValidation type="list" xr:uid="{00000000-0002-0000-0800-000003000000}">
          <x14:formula1>
            <xm:f>Lists!$D$1:$D$4</xm:f>
          </x14:formula1>
          <xm:sqref>B7</xm:sqref>
        </x14:dataValidation>
        <x14:dataValidation type="list" xr:uid="{00000000-0002-0000-0800-000004000000}">
          <x14:formula1>
            <xm:f>Lists!$E$1:$E$13</xm:f>
          </x14:formula1>
          <xm:sqref>B8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"/>
  <sheetViews>
    <sheetView workbookViewId="0">
      <selection activeCell="E1" sqref="E1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6.7109375" bestFit="1" customWidth="1"/>
    <col min="4" max="4" width="6.28515625" bestFit="1" customWidth="1"/>
    <col min="6" max="6" width="11" bestFit="1" customWidth="1"/>
    <col min="7" max="7" width="4" bestFit="1" customWidth="1"/>
    <col min="8" max="8" width="17.85546875" bestFit="1" customWidth="1"/>
    <col min="9" max="9" width="9.7109375" bestFit="1" customWidth="1"/>
    <col min="11" max="11" width="21.140625" bestFit="1" customWidth="1"/>
  </cols>
  <sheetData>
    <row r="1" spans="1:11" x14ac:dyDescent="0.25">
      <c r="A1" t="s">
        <v>195</v>
      </c>
      <c r="B1" t="s">
        <v>195</v>
      </c>
      <c r="C1" t="s">
        <v>195</v>
      </c>
      <c r="D1" t="s">
        <v>195</v>
      </c>
      <c r="E1" t="s">
        <v>195</v>
      </c>
      <c r="F1" t="s">
        <v>93</v>
      </c>
      <c r="G1" t="s">
        <v>37</v>
      </c>
      <c r="H1" t="s">
        <v>162</v>
      </c>
      <c r="I1" t="s">
        <v>138</v>
      </c>
      <c r="K1" t="s">
        <v>212</v>
      </c>
    </row>
    <row r="2" spans="1:11" x14ac:dyDescent="0.25">
      <c r="A2" t="s">
        <v>23</v>
      </c>
      <c r="B2" t="s">
        <v>22</v>
      </c>
      <c r="C2" t="s">
        <v>18</v>
      </c>
      <c r="D2" t="s">
        <v>24</v>
      </c>
      <c r="E2" t="s">
        <v>25</v>
      </c>
      <c r="F2" t="s">
        <v>52</v>
      </c>
      <c r="G2" t="s">
        <v>27</v>
      </c>
      <c r="H2" t="s">
        <v>118</v>
      </c>
      <c r="I2" t="s">
        <v>73</v>
      </c>
      <c r="K2" t="s">
        <v>213</v>
      </c>
    </row>
    <row r="3" spans="1:11" x14ac:dyDescent="0.25">
      <c r="A3" t="s">
        <v>78</v>
      </c>
      <c r="B3" t="s">
        <v>34</v>
      </c>
      <c r="C3" t="s">
        <v>30</v>
      </c>
      <c r="D3" t="s">
        <v>56</v>
      </c>
      <c r="E3" t="s">
        <v>35</v>
      </c>
      <c r="F3" t="s">
        <v>28</v>
      </c>
      <c r="H3" t="s">
        <v>71</v>
      </c>
      <c r="I3" t="s">
        <v>69</v>
      </c>
      <c r="K3" t="s">
        <v>214</v>
      </c>
    </row>
    <row r="4" spans="1:11" x14ac:dyDescent="0.25">
      <c r="A4" t="s">
        <v>105</v>
      </c>
      <c r="B4" t="s">
        <v>42</v>
      </c>
      <c r="C4" t="s">
        <v>38</v>
      </c>
      <c r="D4" t="s">
        <v>85</v>
      </c>
      <c r="E4" t="s">
        <v>43</v>
      </c>
      <c r="F4" t="s">
        <v>196</v>
      </c>
      <c r="H4" t="s">
        <v>67</v>
      </c>
      <c r="K4" t="s">
        <v>215</v>
      </c>
    </row>
    <row r="5" spans="1:11" x14ac:dyDescent="0.25">
      <c r="A5" t="s">
        <v>124</v>
      </c>
      <c r="B5" t="s">
        <v>49</v>
      </c>
      <c r="C5" t="s">
        <v>45</v>
      </c>
      <c r="E5" t="s">
        <v>50</v>
      </c>
      <c r="F5" t="s">
        <v>208</v>
      </c>
      <c r="K5" t="s">
        <v>216</v>
      </c>
    </row>
    <row r="6" spans="1:11" x14ac:dyDescent="0.25">
      <c r="A6" t="s">
        <v>142</v>
      </c>
      <c r="E6" t="s">
        <v>57</v>
      </c>
      <c r="K6" t="s">
        <v>217</v>
      </c>
    </row>
    <row r="7" spans="1:11" x14ac:dyDescent="0.25">
      <c r="A7" t="s">
        <v>154</v>
      </c>
      <c r="E7" t="s">
        <v>60</v>
      </c>
      <c r="K7" t="s">
        <v>218</v>
      </c>
    </row>
    <row r="8" spans="1:11" x14ac:dyDescent="0.25">
      <c r="A8" t="s">
        <v>167</v>
      </c>
      <c r="E8" t="s">
        <v>79</v>
      </c>
      <c r="K8" t="s">
        <v>219</v>
      </c>
    </row>
    <row r="9" spans="1:11" x14ac:dyDescent="0.25">
      <c r="A9" t="s">
        <v>179</v>
      </c>
      <c r="E9" t="s">
        <v>82</v>
      </c>
      <c r="K9" t="s">
        <v>220</v>
      </c>
    </row>
    <row r="10" spans="1:11" x14ac:dyDescent="0.25">
      <c r="E10" t="s">
        <v>86</v>
      </c>
      <c r="K10" t="s">
        <v>221</v>
      </c>
    </row>
    <row r="11" spans="1:11" x14ac:dyDescent="0.25">
      <c r="E11" t="s">
        <v>89</v>
      </c>
    </row>
    <row r="12" spans="1:11" x14ac:dyDescent="0.25">
      <c r="E12" t="s">
        <v>92</v>
      </c>
    </row>
    <row r="13" spans="1:11" x14ac:dyDescent="0.25">
      <c r="E13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01"/>
  <sheetViews>
    <sheetView workbookViewId="0">
      <selection activeCell="A2" sqref="A2"/>
    </sheetView>
  </sheetViews>
  <sheetFormatPr defaultRowHeight="15" x14ac:dyDescent="0.25"/>
  <cols>
    <col min="1" max="1" width="18.140625" bestFit="1" customWidth="1"/>
    <col min="2" max="2" width="37" bestFit="1" customWidth="1"/>
    <col min="3" max="17" width="18" customWidth="1"/>
  </cols>
  <sheetData>
    <row r="1" spans="1:17" x14ac:dyDescent="0.25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</row>
    <row r="2" spans="1:17" x14ac:dyDescent="0.25">
      <c r="A2" s="16" t="str">
        <f>IF(Country_1!$C3="","",Country_1!A3)</f>
        <v>OI-101</v>
      </c>
      <c r="B2" s="16" t="str">
        <f>IF(Country_1!$C3="","",Country_1!B3)</f>
        <v>People trained in targeted skills</v>
      </c>
      <c r="C2" s="16" t="str">
        <f>IF(Country_1!$C3="","",Country_1!C3)</f>
        <v>C1A001</v>
      </c>
      <c r="D2" s="16" t="str">
        <f>IF(Country_1!$C3="","",Country_1!D3)</f>
        <v>Training workshop 1</v>
      </c>
      <c r="E2" s="16" t="str">
        <f>IF(Country_1!$C3="","",Country_1!E3)</f>
        <v>Training</v>
      </c>
      <c r="F2" s="16" t="str">
        <f>IF(Country_1!$C3="","",Country_1!F3)</f>
        <v>Country_1</v>
      </c>
      <c r="G2" s="17">
        <f>IF(Country_1!$C3="","",Country_1!G3)</f>
        <v>45292</v>
      </c>
      <c r="H2" s="17">
        <f>IF(Country_1!$C3="","",Country_1!H3)</f>
        <v>45382</v>
      </c>
      <c r="I2" s="16" t="str">
        <f>IF(Country_1!$C3="","",Country_1!I3)</f>
        <v>Year 1</v>
      </c>
      <c r="J2" s="16" t="str">
        <f>IF(Country_1!$C3="","",Country_1!J3)</f>
        <v>Y1Q1</v>
      </c>
      <c r="K2" s="18">
        <f>IF(Country_1!$C3="","",Country_1!K3)</f>
        <v>42</v>
      </c>
      <c r="L2" s="18">
        <f>IF(Country_1!$C3="","",Country_1!L3)</f>
        <v>52</v>
      </c>
      <c r="M2" s="19">
        <f>IF(Country_1!$C3="","",Country_1!M3)</f>
        <v>1.2380952380952381</v>
      </c>
      <c r="N2" s="16" t="str">
        <f>IF(Country_1!$C3="","",Country_1!N3)</f>
        <v>Signed attendance sheet; pre/post test forms</v>
      </c>
      <c r="O2" s="16" t="str">
        <f>IF(Country_1!$C3="","",Country_1!O3)</f>
        <v>No</v>
      </c>
      <c r="P2" s="16" t="str">
        <f>IF(Country_1!$C3="","",Country_1!P3)</f>
        <v>Completed</v>
      </c>
      <c r="Q2" s="16" t="str">
        <f>IF(Country_1!$C3="","",Country_1!Q3)</f>
        <v>Completed as scheduled.</v>
      </c>
    </row>
    <row r="3" spans="1:17" x14ac:dyDescent="0.25">
      <c r="A3" s="16" t="str">
        <f>IF(Country_1!$C4="","",Country_1!A4)</f>
        <v>OI-102</v>
      </c>
      <c r="B3" s="16" t="str">
        <f>IF(Country_1!$C4="","",Country_1!B4)</f>
        <v>Community outreach events delivered</v>
      </c>
      <c r="C3" s="16" t="str">
        <f>IF(Country_1!$C4="","",Country_1!C4)</f>
        <v>C1A002</v>
      </c>
      <c r="D3" s="16" t="str">
        <f>IF(Country_1!$C4="","",Country_1!D4)</f>
        <v>Community outreach campaign 2</v>
      </c>
      <c r="E3" s="16" t="str">
        <f>IF(Country_1!$C4="","",Country_1!E4)</f>
        <v>Outreach</v>
      </c>
      <c r="F3" s="16" t="str">
        <f>IF(Country_1!$C4="","",Country_1!F4)</f>
        <v>Country_1</v>
      </c>
      <c r="G3" s="17">
        <f>IF(Country_1!$C4="","",Country_1!G4)</f>
        <v>45383</v>
      </c>
      <c r="H3" s="17">
        <f>IF(Country_1!$C4="","",Country_1!H4)</f>
        <v>45473</v>
      </c>
      <c r="I3" s="16" t="str">
        <f>IF(Country_1!$C4="","",Country_1!I4)</f>
        <v>Year 1</v>
      </c>
      <c r="J3" s="16" t="str">
        <f>IF(Country_1!$C4="","",Country_1!J4)</f>
        <v>Y1Q2</v>
      </c>
      <c r="K3" s="18">
        <f>IF(Country_1!$C4="","",Country_1!K4)</f>
        <v>47</v>
      </c>
      <c r="L3" s="18">
        <f>IF(Country_1!$C4="","",Country_1!L4)</f>
        <v>53</v>
      </c>
      <c r="M3" s="19">
        <f>IF(Country_1!$C4="","",Country_1!M4)</f>
        <v>1.1276595744680851</v>
      </c>
      <c r="N3" s="16" t="str">
        <f>IF(Country_1!$C4="","",Country_1!N4)</f>
        <v>Activity report; photo log</v>
      </c>
      <c r="O3" s="16" t="str">
        <f>IF(Country_1!$C4="","",Country_1!O4)</f>
        <v>Yes</v>
      </c>
      <c r="P3" s="16" t="str">
        <f>IF(Country_1!$C4="","",Country_1!P4)</f>
        <v>Completed</v>
      </c>
      <c r="Q3" s="16" t="str">
        <f>IF(Country_1!$C4="","",Country_1!Q4)</f>
        <v>Completed as scheduled.</v>
      </c>
    </row>
    <row r="4" spans="1:17" x14ac:dyDescent="0.25">
      <c r="A4" s="16" t="str">
        <f>IF(Country_1!$C5="","",Country_1!A5)</f>
        <v>OI-103</v>
      </c>
      <c r="B4" s="16" t="str">
        <f>IF(Country_1!$C5="","",Country_1!B5)</f>
        <v>Supportive supervision visits conducted</v>
      </c>
      <c r="C4" s="16" t="str">
        <f>IF(Country_1!$C5="","",Country_1!C5)</f>
        <v>C1A003</v>
      </c>
      <c r="D4" s="16" t="str">
        <f>IF(Country_1!$C5="","",Country_1!D5)</f>
        <v>Supportive supervision visit 3</v>
      </c>
      <c r="E4" s="16" t="str">
        <f>IF(Country_1!$C5="","",Country_1!E5)</f>
        <v>Monitoring</v>
      </c>
      <c r="F4" s="16" t="str">
        <f>IF(Country_1!$C5="","",Country_1!F5)</f>
        <v>Country_1</v>
      </c>
      <c r="G4" s="17">
        <f>IF(Country_1!$C5="","",Country_1!G5)</f>
        <v>45474</v>
      </c>
      <c r="H4" s="17">
        <f>IF(Country_1!$C5="","",Country_1!H5)</f>
        <v>45565</v>
      </c>
      <c r="I4" s="16" t="str">
        <f>IF(Country_1!$C5="","",Country_1!I5)</f>
        <v>Year 1</v>
      </c>
      <c r="J4" s="16" t="str">
        <f>IF(Country_1!$C5="","",Country_1!J5)</f>
        <v>Y1Q3</v>
      </c>
      <c r="K4" s="18">
        <f>IF(Country_1!$C5="","",Country_1!K5)</f>
        <v>52</v>
      </c>
      <c r="L4" s="18">
        <f>IF(Country_1!$C5="","",Country_1!L5)</f>
        <v>54</v>
      </c>
      <c r="M4" s="19">
        <f>IF(Country_1!$C5="","",Country_1!M5)</f>
        <v>1.0384615384615385</v>
      </c>
      <c r="N4" s="16" t="str">
        <f>IF(Country_1!$C5="","",Country_1!N5)</f>
        <v>Supervision checklist; visit report</v>
      </c>
      <c r="O4" s="16" t="str">
        <f>IF(Country_1!$C5="","",Country_1!O5)</f>
        <v>No</v>
      </c>
      <c r="P4" s="16" t="str">
        <f>IF(Country_1!$C5="","",Country_1!P5)</f>
        <v>Completed</v>
      </c>
      <c r="Q4" s="16" t="str">
        <f>IF(Country_1!$C5="","",Country_1!Q5)</f>
        <v>Completed as scheduled.</v>
      </c>
    </row>
    <row r="5" spans="1:17" x14ac:dyDescent="0.25">
      <c r="A5" s="16" t="str">
        <f>IF(Country_1!$C6="","",Country_1!A6)</f>
        <v>OI-104</v>
      </c>
      <c r="B5" s="16" t="str">
        <f>IF(Country_1!$C6="","",Country_1!B6)</f>
        <v>Policy dialogues facilitated</v>
      </c>
      <c r="C5" s="16" t="str">
        <f>IF(Country_1!$C6="","",Country_1!C6)</f>
        <v>C1A004</v>
      </c>
      <c r="D5" s="16" t="str">
        <f>IF(Country_1!$C6="","",Country_1!D6)</f>
        <v>Policy dialogue 4</v>
      </c>
      <c r="E5" s="16" t="str">
        <f>IF(Country_1!$C6="","",Country_1!E6)</f>
        <v>Advocacy</v>
      </c>
      <c r="F5" s="16" t="str">
        <f>IF(Country_1!$C6="","",Country_1!F6)</f>
        <v>Country_1</v>
      </c>
      <c r="G5" s="17">
        <f>IF(Country_1!$C6="","",Country_1!G6)</f>
        <v>45566</v>
      </c>
      <c r="H5" s="17">
        <f>IF(Country_1!$C6="","",Country_1!H6)</f>
        <v>45657</v>
      </c>
      <c r="I5" s="16" t="str">
        <f>IF(Country_1!$C6="","",Country_1!I6)</f>
        <v>Year 1</v>
      </c>
      <c r="J5" s="16" t="str">
        <f>IF(Country_1!$C6="","",Country_1!J6)</f>
        <v>Y1Q4</v>
      </c>
      <c r="K5" s="18">
        <f>IF(Country_1!$C6="","",Country_1!K6)</f>
        <v>57</v>
      </c>
      <c r="L5" s="18">
        <f>IF(Country_1!$C6="","",Country_1!L6)</f>
        <v>55</v>
      </c>
      <c r="M5" s="19">
        <f>IF(Country_1!$C6="","",Country_1!M6)</f>
        <v>0.96491228070175439</v>
      </c>
      <c r="N5" s="16" t="str">
        <f>IF(Country_1!$C6="","",Country_1!N6)</f>
        <v>Meeting minutes; participant list</v>
      </c>
      <c r="O5" s="16" t="str">
        <f>IF(Country_1!$C6="","",Country_1!O6)</f>
        <v>No</v>
      </c>
      <c r="P5" s="16" t="str">
        <f>IF(Country_1!$C6="","",Country_1!P6)</f>
        <v>In progress</v>
      </c>
      <c r="Q5" s="16" t="str">
        <f>IF(Country_1!$C6="","",Country_1!Q6)</f>
        <v>Final attendance reconciliation pending.</v>
      </c>
    </row>
    <row r="6" spans="1:17" x14ac:dyDescent="0.25">
      <c r="A6" s="16" t="str">
        <f>IF(Country_1!$C7="","",Country_1!A7)</f>
        <v>OI-101</v>
      </c>
      <c r="B6" s="16" t="str">
        <f>IF(Country_1!$C7="","",Country_1!B7)</f>
        <v>People trained in targeted skills</v>
      </c>
      <c r="C6" s="16" t="str">
        <f>IF(Country_1!$C7="","",Country_1!C7)</f>
        <v>C1A005</v>
      </c>
      <c r="D6" s="16" t="str">
        <f>IF(Country_1!$C7="","",Country_1!D7)</f>
        <v>Training workshop 5</v>
      </c>
      <c r="E6" s="16" t="str">
        <f>IF(Country_1!$C7="","",Country_1!E7)</f>
        <v>Training</v>
      </c>
      <c r="F6" s="16" t="str">
        <f>IF(Country_1!$C7="","",Country_1!F7)</f>
        <v>Country_1</v>
      </c>
      <c r="G6" s="17">
        <f>IF(Country_1!$C7="","",Country_1!G7)</f>
        <v>45658</v>
      </c>
      <c r="H6" s="17">
        <f>IF(Country_1!$C7="","",Country_1!H7)</f>
        <v>45747</v>
      </c>
      <c r="I6" s="16" t="str">
        <f>IF(Country_1!$C7="","",Country_1!I7)</f>
        <v>Year 2</v>
      </c>
      <c r="J6" s="16" t="str">
        <f>IF(Country_1!$C7="","",Country_1!J7)</f>
        <v>Y2Q1</v>
      </c>
      <c r="K6" s="18">
        <f>IF(Country_1!$C7="","",Country_1!K7)</f>
        <v>62</v>
      </c>
      <c r="L6" s="18">
        <f>IF(Country_1!$C7="","",Country_1!L7)</f>
        <v>56</v>
      </c>
      <c r="M6" s="19">
        <f>IF(Country_1!$C7="","",Country_1!M7)</f>
        <v>0.90322580645161288</v>
      </c>
      <c r="N6" s="16" t="str">
        <f>IF(Country_1!$C7="","",Country_1!N7)</f>
        <v>Signed attendance sheet; pre/post test forms</v>
      </c>
      <c r="O6" s="16" t="str">
        <f>IF(Country_1!$C7="","",Country_1!O7)</f>
        <v>Yes</v>
      </c>
      <c r="P6" s="16" t="str">
        <f>IF(Country_1!$C7="","",Country_1!P7)</f>
        <v>In progress</v>
      </c>
      <c r="Q6" s="16" t="str">
        <f>IF(Country_1!$C7="","",Country_1!Q7)</f>
        <v>Final attendance reconciliation pending.</v>
      </c>
    </row>
    <row r="7" spans="1:17" x14ac:dyDescent="0.25">
      <c r="A7" s="16" t="str">
        <f>IF(Country_1!$C8="","",Country_1!A8)</f>
        <v>OI-102</v>
      </c>
      <c r="B7" s="16" t="str">
        <f>IF(Country_1!$C8="","",Country_1!B8)</f>
        <v>Community outreach events delivered</v>
      </c>
      <c r="C7" s="16" t="str">
        <f>IF(Country_1!$C8="","",Country_1!C8)</f>
        <v>C1A006</v>
      </c>
      <c r="D7" s="16" t="str">
        <f>IF(Country_1!$C8="","",Country_1!D8)</f>
        <v>Community outreach campaign 6</v>
      </c>
      <c r="E7" s="16" t="str">
        <f>IF(Country_1!$C8="","",Country_1!E8)</f>
        <v>Outreach</v>
      </c>
      <c r="F7" s="16" t="str">
        <f>IF(Country_1!$C8="","",Country_1!F8)</f>
        <v>Country_1</v>
      </c>
      <c r="G7" s="17">
        <f>IF(Country_1!$C8="","",Country_1!G8)</f>
        <v>45748</v>
      </c>
      <c r="H7" s="17">
        <f>IF(Country_1!$C8="","",Country_1!H8)</f>
        <v>45838</v>
      </c>
      <c r="I7" s="16" t="str">
        <f>IF(Country_1!$C8="","",Country_1!I8)</f>
        <v>Year 2</v>
      </c>
      <c r="J7" s="16" t="str">
        <f>IF(Country_1!$C8="","",Country_1!J8)</f>
        <v>Y2Q2</v>
      </c>
      <c r="K7" s="18">
        <f>IF(Country_1!$C8="","",Country_1!K8)</f>
        <v>67</v>
      </c>
      <c r="L7" s="18">
        <f>IF(Country_1!$C8="","",Country_1!L8)</f>
        <v>57</v>
      </c>
      <c r="M7" s="19">
        <f>IF(Country_1!$C8="","",Country_1!M8)</f>
        <v>0.85074626865671643</v>
      </c>
      <c r="N7" s="16" t="str">
        <f>IF(Country_1!$C8="","",Country_1!N8)</f>
        <v>Activity report; photo log</v>
      </c>
      <c r="O7" s="16" t="str">
        <f>IF(Country_1!$C8="","",Country_1!O8)</f>
        <v>No</v>
      </c>
      <c r="P7" s="16" t="str">
        <f>IF(Country_1!$C8="","",Country_1!P8)</f>
        <v>In progress</v>
      </c>
      <c r="Q7" s="16" t="str">
        <f>IF(Country_1!$C8="","",Country_1!Q8)</f>
        <v>Final attendance reconciliation pending.</v>
      </c>
    </row>
    <row r="8" spans="1:17" x14ac:dyDescent="0.25">
      <c r="A8" s="16" t="str">
        <f>IF(Country_1!$C9="","",Country_1!A9)</f>
        <v/>
      </c>
      <c r="B8" s="16" t="str">
        <f>IF(Country_1!$C9="","",Country_1!B9)</f>
        <v/>
      </c>
      <c r="C8" s="16" t="str">
        <f>IF(Country_1!$C9="","",Country_1!C9)</f>
        <v/>
      </c>
      <c r="D8" s="16" t="str">
        <f>IF(Country_1!$C9="","",Country_1!D9)</f>
        <v/>
      </c>
      <c r="E8" s="16" t="str">
        <f>IF(Country_1!$C9="","",Country_1!E9)</f>
        <v/>
      </c>
      <c r="F8" s="16" t="str">
        <f>IF(Country_1!$C9="","",Country_1!F9)</f>
        <v/>
      </c>
      <c r="G8" s="17" t="str">
        <f>IF(Country_1!$C9="","",Country_1!G9)</f>
        <v/>
      </c>
      <c r="H8" s="17" t="str">
        <f>IF(Country_1!$C9="","",Country_1!H9)</f>
        <v/>
      </c>
      <c r="I8" s="16" t="str">
        <f>IF(Country_1!$C9="","",Country_1!I9)</f>
        <v/>
      </c>
      <c r="J8" s="16" t="str">
        <f>IF(Country_1!$C9="","",Country_1!J9)</f>
        <v/>
      </c>
      <c r="K8" s="18" t="str">
        <f>IF(Country_1!$C9="","",Country_1!K9)</f>
        <v/>
      </c>
      <c r="L8" s="18" t="str">
        <f>IF(Country_1!$C9="","",Country_1!L9)</f>
        <v/>
      </c>
      <c r="M8" s="19" t="str">
        <f>IF(Country_1!$C9="","",Country_1!M9)</f>
        <v/>
      </c>
      <c r="N8" s="16" t="str">
        <f>IF(Country_1!$C9="","",Country_1!N9)</f>
        <v/>
      </c>
      <c r="O8" s="16" t="str">
        <f>IF(Country_1!$C9="","",Country_1!O9)</f>
        <v/>
      </c>
      <c r="P8" s="16" t="str">
        <f>IF(Country_1!$C9="","",Country_1!P9)</f>
        <v/>
      </c>
      <c r="Q8" s="16" t="str">
        <f>IF(Country_1!$C9="","",Country_1!Q9)</f>
        <v/>
      </c>
    </row>
    <row r="9" spans="1:17" x14ac:dyDescent="0.25">
      <c r="A9" s="16" t="str">
        <f>IF(Country_1!$C10="","",Country_1!A10)</f>
        <v/>
      </c>
      <c r="B9" s="16" t="str">
        <f>IF(Country_1!$C10="","",Country_1!B10)</f>
        <v/>
      </c>
      <c r="C9" s="16" t="str">
        <f>IF(Country_1!$C10="","",Country_1!C10)</f>
        <v/>
      </c>
      <c r="D9" s="16" t="str">
        <f>IF(Country_1!$C10="","",Country_1!D10)</f>
        <v/>
      </c>
      <c r="E9" s="16" t="str">
        <f>IF(Country_1!$C10="","",Country_1!E10)</f>
        <v/>
      </c>
      <c r="F9" s="16" t="str">
        <f>IF(Country_1!$C10="","",Country_1!F10)</f>
        <v/>
      </c>
      <c r="G9" s="17" t="str">
        <f>IF(Country_1!$C10="","",Country_1!G10)</f>
        <v/>
      </c>
      <c r="H9" s="17" t="str">
        <f>IF(Country_1!$C10="","",Country_1!H10)</f>
        <v/>
      </c>
      <c r="I9" s="16" t="str">
        <f>IF(Country_1!$C10="","",Country_1!I10)</f>
        <v/>
      </c>
      <c r="J9" s="16" t="str">
        <f>IF(Country_1!$C10="","",Country_1!J10)</f>
        <v/>
      </c>
      <c r="K9" s="18" t="str">
        <f>IF(Country_1!$C10="","",Country_1!K10)</f>
        <v/>
      </c>
      <c r="L9" s="18" t="str">
        <f>IF(Country_1!$C10="","",Country_1!L10)</f>
        <v/>
      </c>
      <c r="M9" s="19" t="str">
        <f>IF(Country_1!$C10="","",Country_1!M10)</f>
        <v/>
      </c>
      <c r="N9" s="16" t="str">
        <f>IF(Country_1!$C10="","",Country_1!N10)</f>
        <v/>
      </c>
      <c r="O9" s="16" t="str">
        <f>IF(Country_1!$C10="","",Country_1!O10)</f>
        <v/>
      </c>
      <c r="P9" s="16" t="str">
        <f>IF(Country_1!$C10="","",Country_1!P10)</f>
        <v/>
      </c>
      <c r="Q9" s="16" t="str">
        <f>IF(Country_1!$C10="","",Country_1!Q10)</f>
        <v/>
      </c>
    </row>
    <row r="10" spans="1:17" x14ac:dyDescent="0.25">
      <c r="A10" s="16" t="str">
        <f>IF(Country_1!$C11="","",Country_1!A11)</f>
        <v/>
      </c>
      <c r="B10" s="16" t="str">
        <f>IF(Country_1!$C11="","",Country_1!B11)</f>
        <v/>
      </c>
      <c r="C10" s="16" t="str">
        <f>IF(Country_1!$C11="","",Country_1!C11)</f>
        <v/>
      </c>
      <c r="D10" s="16" t="str">
        <f>IF(Country_1!$C11="","",Country_1!D11)</f>
        <v/>
      </c>
      <c r="E10" s="16" t="str">
        <f>IF(Country_1!$C11="","",Country_1!E11)</f>
        <v/>
      </c>
      <c r="F10" s="16" t="str">
        <f>IF(Country_1!$C11="","",Country_1!F11)</f>
        <v/>
      </c>
      <c r="G10" s="17" t="str">
        <f>IF(Country_1!$C11="","",Country_1!G11)</f>
        <v/>
      </c>
      <c r="H10" s="17" t="str">
        <f>IF(Country_1!$C11="","",Country_1!H11)</f>
        <v/>
      </c>
      <c r="I10" s="16" t="str">
        <f>IF(Country_1!$C11="","",Country_1!I11)</f>
        <v/>
      </c>
      <c r="J10" s="16" t="str">
        <f>IF(Country_1!$C11="","",Country_1!J11)</f>
        <v/>
      </c>
      <c r="K10" s="18" t="str">
        <f>IF(Country_1!$C11="","",Country_1!K11)</f>
        <v/>
      </c>
      <c r="L10" s="18" t="str">
        <f>IF(Country_1!$C11="","",Country_1!L11)</f>
        <v/>
      </c>
      <c r="M10" s="19" t="str">
        <f>IF(Country_1!$C11="","",Country_1!M11)</f>
        <v/>
      </c>
      <c r="N10" s="16" t="str">
        <f>IF(Country_1!$C11="","",Country_1!N11)</f>
        <v/>
      </c>
      <c r="O10" s="16" t="str">
        <f>IF(Country_1!$C11="","",Country_1!O11)</f>
        <v/>
      </c>
      <c r="P10" s="16" t="str">
        <f>IF(Country_1!$C11="","",Country_1!P11)</f>
        <v/>
      </c>
      <c r="Q10" s="16" t="str">
        <f>IF(Country_1!$C11="","",Country_1!Q11)</f>
        <v/>
      </c>
    </row>
    <row r="11" spans="1:17" x14ac:dyDescent="0.25">
      <c r="A11" s="16" t="str">
        <f>IF(Country_1!$C12="","",Country_1!A12)</f>
        <v/>
      </c>
      <c r="B11" s="16" t="str">
        <f>IF(Country_1!$C12="","",Country_1!B12)</f>
        <v/>
      </c>
      <c r="C11" s="16" t="str">
        <f>IF(Country_1!$C12="","",Country_1!C12)</f>
        <v/>
      </c>
      <c r="D11" s="16" t="str">
        <f>IF(Country_1!$C12="","",Country_1!D12)</f>
        <v/>
      </c>
      <c r="E11" s="16" t="str">
        <f>IF(Country_1!$C12="","",Country_1!E12)</f>
        <v/>
      </c>
      <c r="F11" s="16" t="str">
        <f>IF(Country_1!$C12="","",Country_1!F12)</f>
        <v/>
      </c>
      <c r="G11" s="17" t="str">
        <f>IF(Country_1!$C12="","",Country_1!G12)</f>
        <v/>
      </c>
      <c r="H11" s="17" t="str">
        <f>IF(Country_1!$C12="","",Country_1!H12)</f>
        <v/>
      </c>
      <c r="I11" s="16" t="str">
        <f>IF(Country_1!$C12="","",Country_1!I12)</f>
        <v/>
      </c>
      <c r="J11" s="16" t="str">
        <f>IF(Country_1!$C12="","",Country_1!J12)</f>
        <v/>
      </c>
      <c r="K11" s="18" t="str">
        <f>IF(Country_1!$C12="","",Country_1!K12)</f>
        <v/>
      </c>
      <c r="L11" s="18" t="str">
        <f>IF(Country_1!$C12="","",Country_1!L12)</f>
        <v/>
      </c>
      <c r="M11" s="19" t="str">
        <f>IF(Country_1!$C12="","",Country_1!M12)</f>
        <v/>
      </c>
      <c r="N11" s="16" t="str">
        <f>IF(Country_1!$C12="","",Country_1!N12)</f>
        <v/>
      </c>
      <c r="O11" s="16" t="str">
        <f>IF(Country_1!$C12="","",Country_1!O12)</f>
        <v/>
      </c>
      <c r="P11" s="16" t="str">
        <f>IF(Country_1!$C12="","",Country_1!P12)</f>
        <v/>
      </c>
      <c r="Q11" s="16" t="str">
        <f>IF(Country_1!$C12="","",Country_1!Q12)</f>
        <v/>
      </c>
    </row>
    <row r="12" spans="1:17" x14ac:dyDescent="0.25">
      <c r="A12" s="16" t="str">
        <f>IF(Country_1!$C13="","",Country_1!A13)</f>
        <v/>
      </c>
      <c r="B12" s="16" t="str">
        <f>IF(Country_1!$C13="","",Country_1!B13)</f>
        <v/>
      </c>
      <c r="C12" s="16" t="str">
        <f>IF(Country_1!$C13="","",Country_1!C13)</f>
        <v/>
      </c>
      <c r="D12" s="16" t="str">
        <f>IF(Country_1!$C13="","",Country_1!D13)</f>
        <v/>
      </c>
      <c r="E12" s="16" t="str">
        <f>IF(Country_1!$C13="","",Country_1!E13)</f>
        <v/>
      </c>
      <c r="F12" s="16" t="str">
        <f>IF(Country_1!$C13="","",Country_1!F13)</f>
        <v/>
      </c>
      <c r="G12" s="17" t="str">
        <f>IF(Country_1!$C13="","",Country_1!G13)</f>
        <v/>
      </c>
      <c r="H12" s="17" t="str">
        <f>IF(Country_1!$C13="","",Country_1!H13)</f>
        <v/>
      </c>
      <c r="I12" s="16" t="str">
        <f>IF(Country_1!$C13="","",Country_1!I13)</f>
        <v/>
      </c>
      <c r="J12" s="16" t="str">
        <f>IF(Country_1!$C13="","",Country_1!J13)</f>
        <v/>
      </c>
      <c r="K12" s="18" t="str">
        <f>IF(Country_1!$C13="","",Country_1!K13)</f>
        <v/>
      </c>
      <c r="L12" s="18" t="str">
        <f>IF(Country_1!$C13="","",Country_1!L13)</f>
        <v/>
      </c>
      <c r="M12" s="19" t="str">
        <f>IF(Country_1!$C13="","",Country_1!M13)</f>
        <v/>
      </c>
      <c r="N12" s="16" t="str">
        <f>IF(Country_1!$C13="","",Country_1!N13)</f>
        <v/>
      </c>
      <c r="O12" s="16" t="str">
        <f>IF(Country_1!$C13="","",Country_1!O13)</f>
        <v/>
      </c>
      <c r="P12" s="16" t="str">
        <f>IF(Country_1!$C13="","",Country_1!P13)</f>
        <v/>
      </c>
      <c r="Q12" s="16" t="str">
        <f>IF(Country_1!$C13="","",Country_1!Q13)</f>
        <v/>
      </c>
    </row>
    <row r="13" spans="1:17" x14ac:dyDescent="0.25">
      <c r="A13" s="16" t="str">
        <f>IF(Country_1!$C14="","",Country_1!A14)</f>
        <v/>
      </c>
      <c r="B13" s="16" t="str">
        <f>IF(Country_1!$C14="","",Country_1!B14)</f>
        <v/>
      </c>
      <c r="C13" s="16" t="str">
        <f>IF(Country_1!$C14="","",Country_1!C14)</f>
        <v/>
      </c>
      <c r="D13" s="16" t="str">
        <f>IF(Country_1!$C14="","",Country_1!D14)</f>
        <v/>
      </c>
      <c r="E13" s="16" t="str">
        <f>IF(Country_1!$C14="","",Country_1!E14)</f>
        <v/>
      </c>
      <c r="F13" s="16" t="str">
        <f>IF(Country_1!$C14="","",Country_1!F14)</f>
        <v/>
      </c>
      <c r="G13" s="17" t="str">
        <f>IF(Country_1!$C14="","",Country_1!G14)</f>
        <v/>
      </c>
      <c r="H13" s="17" t="str">
        <f>IF(Country_1!$C14="","",Country_1!H14)</f>
        <v/>
      </c>
      <c r="I13" s="16" t="str">
        <f>IF(Country_1!$C14="","",Country_1!I14)</f>
        <v/>
      </c>
      <c r="J13" s="16" t="str">
        <f>IF(Country_1!$C14="","",Country_1!J14)</f>
        <v/>
      </c>
      <c r="K13" s="18" t="str">
        <f>IF(Country_1!$C14="","",Country_1!K14)</f>
        <v/>
      </c>
      <c r="L13" s="18" t="str">
        <f>IF(Country_1!$C14="","",Country_1!L14)</f>
        <v/>
      </c>
      <c r="M13" s="19" t="str">
        <f>IF(Country_1!$C14="","",Country_1!M14)</f>
        <v/>
      </c>
      <c r="N13" s="16" t="str">
        <f>IF(Country_1!$C14="","",Country_1!N14)</f>
        <v/>
      </c>
      <c r="O13" s="16" t="str">
        <f>IF(Country_1!$C14="","",Country_1!O14)</f>
        <v/>
      </c>
      <c r="P13" s="16" t="str">
        <f>IF(Country_1!$C14="","",Country_1!P14)</f>
        <v/>
      </c>
      <c r="Q13" s="16" t="str">
        <f>IF(Country_1!$C14="","",Country_1!Q14)</f>
        <v/>
      </c>
    </row>
    <row r="14" spans="1:17" x14ac:dyDescent="0.25">
      <c r="A14" s="16" t="str">
        <f>IF(Country_1!$C15="","",Country_1!A15)</f>
        <v/>
      </c>
      <c r="B14" s="16" t="str">
        <f>IF(Country_1!$C15="","",Country_1!B15)</f>
        <v/>
      </c>
      <c r="C14" s="16" t="str">
        <f>IF(Country_1!$C15="","",Country_1!C15)</f>
        <v/>
      </c>
      <c r="D14" s="16" t="str">
        <f>IF(Country_1!$C15="","",Country_1!D15)</f>
        <v/>
      </c>
      <c r="E14" s="16" t="str">
        <f>IF(Country_1!$C15="","",Country_1!E15)</f>
        <v/>
      </c>
      <c r="F14" s="16" t="str">
        <f>IF(Country_1!$C15="","",Country_1!F15)</f>
        <v/>
      </c>
      <c r="G14" s="17" t="str">
        <f>IF(Country_1!$C15="","",Country_1!G15)</f>
        <v/>
      </c>
      <c r="H14" s="17" t="str">
        <f>IF(Country_1!$C15="","",Country_1!H15)</f>
        <v/>
      </c>
      <c r="I14" s="16" t="str">
        <f>IF(Country_1!$C15="","",Country_1!I15)</f>
        <v/>
      </c>
      <c r="J14" s="16" t="str">
        <f>IF(Country_1!$C15="","",Country_1!J15)</f>
        <v/>
      </c>
      <c r="K14" s="18" t="str">
        <f>IF(Country_1!$C15="","",Country_1!K15)</f>
        <v/>
      </c>
      <c r="L14" s="18" t="str">
        <f>IF(Country_1!$C15="","",Country_1!L15)</f>
        <v/>
      </c>
      <c r="M14" s="19" t="str">
        <f>IF(Country_1!$C15="","",Country_1!M15)</f>
        <v/>
      </c>
      <c r="N14" s="16" t="str">
        <f>IF(Country_1!$C15="","",Country_1!N15)</f>
        <v/>
      </c>
      <c r="O14" s="16" t="str">
        <f>IF(Country_1!$C15="","",Country_1!O15)</f>
        <v/>
      </c>
      <c r="P14" s="16" t="str">
        <f>IF(Country_1!$C15="","",Country_1!P15)</f>
        <v/>
      </c>
      <c r="Q14" s="16" t="str">
        <f>IF(Country_1!$C15="","",Country_1!Q15)</f>
        <v/>
      </c>
    </row>
    <row r="15" spans="1:17" x14ac:dyDescent="0.25">
      <c r="A15" s="16" t="str">
        <f>IF(Country_1!$C16="","",Country_1!A16)</f>
        <v/>
      </c>
      <c r="B15" s="16" t="str">
        <f>IF(Country_1!$C16="","",Country_1!B16)</f>
        <v/>
      </c>
      <c r="C15" s="16" t="str">
        <f>IF(Country_1!$C16="","",Country_1!C16)</f>
        <v/>
      </c>
      <c r="D15" s="16" t="str">
        <f>IF(Country_1!$C16="","",Country_1!D16)</f>
        <v/>
      </c>
      <c r="E15" s="16" t="str">
        <f>IF(Country_1!$C16="","",Country_1!E16)</f>
        <v/>
      </c>
      <c r="F15" s="16" t="str">
        <f>IF(Country_1!$C16="","",Country_1!F16)</f>
        <v/>
      </c>
      <c r="G15" s="17" t="str">
        <f>IF(Country_1!$C16="","",Country_1!G16)</f>
        <v/>
      </c>
      <c r="H15" s="17" t="str">
        <f>IF(Country_1!$C16="","",Country_1!H16)</f>
        <v/>
      </c>
      <c r="I15" s="16" t="str">
        <f>IF(Country_1!$C16="","",Country_1!I16)</f>
        <v/>
      </c>
      <c r="J15" s="16" t="str">
        <f>IF(Country_1!$C16="","",Country_1!J16)</f>
        <v/>
      </c>
      <c r="K15" s="18" t="str">
        <f>IF(Country_1!$C16="","",Country_1!K16)</f>
        <v/>
      </c>
      <c r="L15" s="18" t="str">
        <f>IF(Country_1!$C16="","",Country_1!L16)</f>
        <v/>
      </c>
      <c r="M15" s="19" t="str">
        <f>IF(Country_1!$C16="","",Country_1!M16)</f>
        <v/>
      </c>
      <c r="N15" s="16" t="str">
        <f>IF(Country_1!$C16="","",Country_1!N16)</f>
        <v/>
      </c>
      <c r="O15" s="16" t="str">
        <f>IF(Country_1!$C16="","",Country_1!O16)</f>
        <v/>
      </c>
      <c r="P15" s="16" t="str">
        <f>IF(Country_1!$C16="","",Country_1!P16)</f>
        <v/>
      </c>
      <c r="Q15" s="16" t="str">
        <f>IF(Country_1!$C16="","",Country_1!Q16)</f>
        <v/>
      </c>
    </row>
    <row r="16" spans="1:17" x14ac:dyDescent="0.25">
      <c r="A16" s="16" t="str">
        <f>IF(Country_1!$C17="","",Country_1!A17)</f>
        <v/>
      </c>
      <c r="B16" s="16" t="str">
        <f>IF(Country_1!$C17="","",Country_1!B17)</f>
        <v/>
      </c>
      <c r="C16" s="16" t="str">
        <f>IF(Country_1!$C17="","",Country_1!C17)</f>
        <v/>
      </c>
      <c r="D16" s="16" t="str">
        <f>IF(Country_1!$C17="","",Country_1!D17)</f>
        <v/>
      </c>
      <c r="E16" s="16" t="str">
        <f>IF(Country_1!$C17="","",Country_1!E17)</f>
        <v/>
      </c>
      <c r="F16" s="16" t="str">
        <f>IF(Country_1!$C17="","",Country_1!F17)</f>
        <v/>
      </c>
      <c r="G16" s="17" t="str">
        <f>IF(Country_1!$C17="","",Country_1!G17)</f>
        <v/>
      </c>
      <c r="H16" s="17" t="str">
        <f>IF(Country_1!$C17="","",Country_1!H17)</f>
        <v/>
      </c>
      <c r="I16" s="16" t="str">
        <f>IF(Country_1!$C17="","",Country_1!I17)</f>
        <v/>
      </c>
      <c r="J16" s="16" t="str">
        <f>IF(Country_1!$C17="","",Country_1!J17)</f>
        <v/>
      </c>
      <c r="K16" s="18" t="str">
        <f>IF(Country_1!$C17="","",Country_1!K17)</f>
        <v/>
      </c>
      <c r="L16" s="18" t="str">
        <f>IF(Country_1!$C17="","",Country_1!L17)</f>
        <v/>
      </c>
      <c r="M16" s="19" t="str">
        <f>IF(Country_1!$C17="","",Country_1!M17)</f>
        <v/>
      </c>
      <c r="N16" s="16" t="str">
        <f>IF(Country_1!$C17="","",Country_1!N17)</f>
        <v/>
      </c>
      <c r="O16" s="16" t="str">
        <f>IF(Country_1!$C17="","",Country_1!O17)</f>
        <v/>
      </c>
      <c r="P16" s="16" t="str">
        <f>IF(Country_1!$C17="","",Country_1!P17)</f>
        <v/>
      </c>
      <c r="Q16" s="16" t="str">
        <f>IF(Country_1!$C17="","",Country_1!Q17)</f>
        <v/>
      </c>
    </row>
    <row r="17" spans="1:17" x14ac:dyDescent="0.25">
      <c r="A17" s="16" t="str">
        <f>IF(Country_1!$C18="","",Country_1!A18)</f>
        <v/>
      </c>
      <c r="B17" s="16" t="str">
        <f>IF(Country_1!$C18="","",Country_1!B18)</f>
        <v/>
      </c>
      <c r="C17" s="16" t="str">
        <f>IF(Country_1!$C18="","",Country_1!C18)</f>
        <v/>
      </c>
      <c r="D17" s="16" t="str">
        <f>IF(Country_1!$C18="","",Country_1!D18)</f>
        <v/>
      </c>
      <c r="E17" s="16" t="str">
        <f>IF(Country_1!$C18="","",Country_1!E18)</f>
        <v/>
      </c>
      <c r="F17" s="16" t="str">
        <f>IF(Country_1!$C18="","",Country_1!F18)</f>
        <v/>
      </c>
      <c r="G17" s="17" t="str">
        <f>IF(Country_1!$C18="","",Country_1!G18)</f>
        <v/>
      </c>
      <c r="H17" s="17" t="str">
        <f>IF(Country_1!$C18="","",Country_1!H18)</f>
        <v/>
      </c>
      <c r="I17" s="16" t="str">
        <f>IF(Country_1!$C18="","",Country_1!I18)</f>
        <v/>
      </c>
      <c r="J17" s="16" t="str">
        <f>IF(Country_1!$C18="","",Country_1!J18)</f>
        <v/>
      </c>
      <c r="K17" s="18" t="str">
        <f>IF(Country_1!$C18="","",Country_1!K18)</f>
        <v/>
      </c>
      <c r="L17" s="18" t="str">
        <f>IF(Country_1!$C18="","",Country_1!L18)</f>
        <v/>
      </c>
      <c r="M17" s="19" t="str">
        <f>IF(Country_1!$C18="","",Country_1!M18)</f>
        <v/>
      </c>
      <c r="N17" s="16" t="str">
        <f>IF(Country_1!$C18="","",Country_1!N18)</f>
        <v/>
      </c>
      <c r="O17" s="16" t="str">
        <f>IF(Country_1!$C18="","",Country_1!O18)</f>
        <v/>
      </c>
      <c r="P17" s="16" t="str">
        <f>IF(Country_1!$C18="","",Country_1!P18)</f>
        <v/>
      </c>
      <c r="Q17" s="16" t="str">
        <f>IF(Country_1!$C18="","",Country_1!Q18)</f>
        <v/>
      </c>
    </row>
    <row r="18" spans="1:17" x14ac:dyDescent="0.25">
      <c r="A18" s="16" t="str">
        <f>IF(Country_1!$C19="","",Country_1!A19)</f>
        <v/>
      </c>
      <c r="B18" s="16" t="str">
        <f>IF(Country_1!$C19="","",Country_1!B19)</f>
        <v/>
      </c>
      <c r="C18" s="16" t="str">
        <f>IF(Country_1!$C19="","",Country_1!C19)</f>
        <v/>
      </c>
      <c r="D18" s="16" t="str">
        <f>IF(Country_1!$C19="","",Country_1!D19)</f>
        <v/>
      </c>
      <c r="E18" s="16" t="str">
        <f>IF(Country_1!$C19="","",Country_1!E19)</f>
        <v/>
      </c>
      <c r="F18" s="16" t="str">
        <f>IF(Country_1!$C19="","",Country_1!F19)</f>
        <v/>
      </c>
      <c r="G18" s="17" t="str">
        <f>IF(Country_1!$C19="","",Country_1!G19)</f>
        <v/>
      </c>
      <c r="H18" s="17" t="str">
        <f>IF(Country_1!$C19="","",Country_1!H19)</f>
        <v/>
      </c>
      <c r="I18" s="16" t="str">
        <f>IF(Country_1!$C19="","",Country_1!I19)</f>
        <v/>
      </c>
      <c r="J18" s="16" t="str">
        <f>IF(Country_1!$C19="","",Country_1!J19)</f>
        <v/>
      </c>
      <c r="K18" s="18" t="str">
        <f>IF(Country_1!$C19="","",Country_1!K19)</f>
        <v/>
      </c>
      <c r="L18" s="18" t="str">
        <f>IF(Country_1!$C19="","",Country_1!L19)</f>
        <v/>
      </c>
      <c r="M18" s="19" t="str">
        <f>IF(Country_1!$C19="","",Country_1!M19)</f>
        <v/>
      </c>
      <c r="N18" s="16" t="str">
        <f>IF(Country_1!$C19="","",Country_1!N19)</f>
        <v/>
      </c>
      <c r="O18" s="16" t="str">
        <f>IF(Country_1!$C19="","",Country_1!O19)</f>
        <v/>
      </c>
      <c r="P18" s="16" t="str">
        <f>IF(Country_1!$C19="","",Country_1!P19)</f>
        <v/>
      </c>
      <c r="Q18" s="16" t="str">
        <f>IF(Country_1!$C19="","",Country_1!Q19)</f>
        <v/>
      </c>
    </row>
    <row r="19" spans="1:17" x14ac:dyDescent="0.25">
      <c r="A19" s="16" t="str">
        <f>IF(Country_1!$C20="","",Country_1!A20)</f>
        <v/>
      </c>
      <c r="B19" s="16" t="str">
        <f>IF(Country_1!$C20="","",Country_1!B20)</f>
        <v/>
      </c>
      <c r="C19" s="16" t="str">
        <f>IF(Country_1!$C20="","",Country_1!C20)</f>
        <v/>
      </c>
      <c r="D19" s="16" t="str">
        <f>IF(Country_1!$C20="","",Country_1!D20)</f>
        <v/>
      </c>
      <c r="E19" s="16" t="str">
        <f>IF(Country_1!$C20="","",Country_1!E20)</f>
        <v/>
      </c>
      <c r="F19" s="16" t="str">
        <f>IF(Country_1!$C20="","",Country_1!F20)</f>
        <v/>
      </c>
      <c r="G19" s="17" t="str">
        <f>IF(Country_1!$C20="","",Country_1!G20)</f>
        <v/>
      </c>
      <c r="H19" s="17" t="str">
        <f>IF(Country_1!$C20="","",Country_1!H20)</f>
        <v/>
      </c>
      <c r="I19" s="16" t="str">
        <f>IF(Country_1!$C20="","",Country_1!I20)</f>
        <v/>
      </c>
      <c r="J19" s="16" t="str">
        <f>IF(Country_1!$C20="","",Country_1!J20)</f>
        <v/>
      </c>
      <c r="K19" s="18" t="str">
        <f>IF(Country_1!$C20="","",Country_1!K20)</f>
        <v/>
      </c>
      <c r="L19" s="18" t="str">
        <f>IF(Country_1!$C20="","",Country_1!L20)</f>
        <v/>
      </c>
      <c r="M19" s="19" t="str">
        <f>IF(Country_1!$C20="","",Country_1!M20)</f>
        <v/>
      </c>
      <c r="N19" s="16" t="str">
        <f>IF(Country_1!$C20="","",Country_1!N20)</f>
        <v/>
      </c>
      <c r="O19" s="16" t="str">
        <f>IF(Country_1!$C20="","",Country_1!O20)</f>
        <v/>
      </c>
      <c r="P19" s="16" t="str">
        <f>IF(Country_1!$C20="","",Country_1!P20)</f>
        <v/>
      </c>
      <c r="Q19" s="16" t="str">
        <f>IF(Country_1!$C20="","",Country_1!Q20)</f>
        <v/>
      </c>
    </row>
    <row r="20" spans="1:17" x14ac:dyDescent="0.25">
      <c r="A20" s="16" t="str">
        <f>IF(Country_1!$C21="","",Country_1!A21)</f>
        <v/>
      </c>
      <c r="B20" s="16" t="str">
        <f>IF(Country_1!$C21="","",Country_1!B21)</f>
        <v/>
      </c>
      <c r="C20" s="16" t="str">
        <f>IF(Country_1!$C21="","",Country_1!C21)</f>
        <v/>
      </c>
      <c r="D20" s="16" t="str">
        <f>IF(Country_1!$C21="","",Country_1!D21)</f>
        <v/>
      </c>
      <c r="E20" s="16" t="str">
        <f>IF(Country_1!$C21="","",Country_1!E21)</f>
        <v/>
      </c>
      <c r="F20" s="16" t="str">
        <f>IF(Country_1!$C21="","",Country_1!F21)</f>
        <v/>
      </c>
      <c r="G20" s="17" t="str">
        <f>IF(Country_1!$C21="","",Country_1!G21)</f>
        <v/>
      </c>
      <c r="H20" s="17" t="str">
        <f>IF(Country_1!$C21="","",Country_1!H21)</f>
        <v/>
      </c>
      <c r="I20" s="16" t="str">
        <f>IF(Country_1!$C21="","",Country_1!I21)</f>
        <v/>
      </c>
      <c r="J20" s="16" t="str">
        <f>IF(Country_1!$C21="","",Country_1!J21)</f>
        <v/>
      </c>
      <c r="K20" s="18" t="str">
        <f>IF(Country_1!$C21="","",Country_1!K21)</f>
        <v/>
      </c>
      <c r="L20" s="18" t="str">
        <f>IF(Country_1!$C21="","",Country_1!L21)</f>
        <v/>
      </c>
      <c r="M20" s="19" t="str">
        <f>IF(Country_1!$C21="","",Country_1!M21)</f>
        <v/>
      </c>
      <c r="N20" s="16" t="str">
        <f>IF(Country_1!$C21="","",Country_1!N21)</f>
        <v/>
      </c>
      <c r="O20" s="16" t="str">
        <f>IF(Country_1!$C21="","",Country_1!O21)</f>
        <v/>
      </c>
      <c r="P20" s="16" t="str">
        <f>IF(Country_1!$C21="","",Country_1!P21)</f>
        <v/>
      </c>
      <c r="Q20" s="16" t="str">
        <f>IF(Country_1!$C21="","",Country_1!Q21)</f>
        <v/>
      </c>
    </row>
    <row r="21" spans="1:17" x14ac:dyDescent="0.25">
      <c r="A21" s="16" t="str">
        <f>IF(Country_1!$C22="","",Country_1!A22)</f>
        <v/>
      </c>
      <c r="B21" s="16" t="str">
        <f>IF(Country_1!$C22="","",Country_1!B22)</f>
        <v/>
      </c>
      <c r="C21" s="16" t="str">
        <f>IF(Country_1!$C22="","",Country_1!C22)</f>
        <v/>
      </c>
      <c r="D21" s="16" t="str">
        <f>IF(Country_1!$C22="","",Country_1!D22)</f>
        <v/>
      </c>
      <c r="E21" s="16" t="str">
        <f>IF(Country_1!$C22="","",Country_1!E22)</f>
        <v/>
      </c>
      <c r="F21" s="16" t="str">
        <f>IF(Country_1!$C22="","",Country_1!F22)</f>
        <v/>
      </c>
      <c r="G21" s="17" t="str">
        <f>IF(Country_1!$C22="","",Country_1!G22)</f>
        <v/>
      </c>
      <c r="H21" s="17" t="str">
        <f>IF(Country_1!$C22="","",Country_1!H22)</f>
        <v/>
      </c>
      <c r="I21" s="16" t="str">
        <f>IF(Country_1!$C22="","",Country_1!I22)</f>
        <v/>
      </c>
      <c r="J21" s="16" t="str">
        <f>IF(Country_1!$C22="","",Country_1!J22)</f>
        <v/>
      </c>
      <c r="K21" s="18" t="str">
        <f>IF(Country_1!$C22="","",Country_1!K22)</f>
        <v/>
      </c>
      <c r="L21" s="18" t="str">
        <f>IF(Country_1!$C22="","",Country_1!L22)</f>
        <v/>
      </c>
      <c r="M21" s="19" t="str">
        <f>IF(Country_1!$C22="","",Country_1!M22)</f>
        <v/>
      </c>
      <c r="N21" s="16" t="str">
        <f>IF(Country_1!$C22="","",Country_1!N22)</f>
        <v/>
      </c>
      <c r="O21" s="16" t="str">
        <f>IF(Country_1!$C22="","",Country_1!O22)</f>
        <v/>
      </c>
      <c r="P21" s="16" t="str">
        <f>IF(Country_1!$C22="","",Country_1!P22)</f>
        <v/>
      </c>
      <c r="Q21" s="16" t="str">
        <f>IF(Country_1!$C22="","",Country_1!Q22)</f>
        <v/>
      </c>
    </row>
    <row r="22" spans="1:17" x14ac:dyDescent="0.25">
      <c r="A22" s="16" t="str">
        <f>IF(Country_1!$C23="","",Country_1!A23)</f>
        <v/>
      </c>
      <c r="B22" s="16" t="str">
        <f>IF(Country_1!$C23="","",Country_1!B23)</f>
        <v/>
      </c>
      <c r="C22" s="16" t="str">
        <f>IF(Country_1!$C23="","",Country_1!C23)</f>
        <v/>
      </c>
      <c r="D22" s="16" t="str">
        <f>IF(Country_1!$C23="","",Country_1!D23)</f>
        <v/>
      </c>
      <c r="E22" s="16" t="str">
        <f>IF(Country_1!$C23="","",Country_1!E23)</f>
        <v/>
      </c>
      <c r="F22" s="16" t="str">
        <f>IF(Country_1!$C23="","",Country_1!F23)</f>
        <v/>
      </c>
      <c r="G22" s="17" t="str">
        <f>IF(Country_1!$C23="","",Country_1!G23)</f>
        <v/>
      </c>
      <c r="H22" s="17" t="str">
        <f>IF(Country_1!$C23="","",Country_1!H23)</f>
        <v/>
      </c>
      <c r="I22" s="16" t="str">
        <f>IF(Country_1!$C23="","",Country_1!I23)</f>
        <v/>
      </c>
      <c r="J22" s="16" t="str">
        <f>IF(Country_1!$C23="","",Country_1!J23)</f>
        <v/>
      </c>
      <c r="K22" s="18" t="str">
        <f>IF(Country_1!$C23="","",Country_1!K23)</f>
        <v/>
      </c>
      <c r="L22" s="18" t="str">
        <f>IF(Country_1!$C23="","",Country_1!L23)</f>
        <v/>
      </c>
      <c r="M22" s="19" t="str">
        <f>IF(Country_1!$C23="","",Country_1!M23)</f>
        <v/>
      </c>
      <c r="N22" s="16" t="str">
        <f>IF(Country_1!$C23="","",Country_1!N23)</f>
        <v/>
      </c>
      <c r="O22" s="16" t="str">
        <f>IF(Country_1!$C23="","",Country_1!O23)</f>
        <v/>
      </c>
      <c r="P22" s="16" t="str">
        <f>IF(Country_1!$C23="","",Country_1!P23)</f>
        <v/>
      </c>
      <c r="Q22" s="16" t="str">
        <f>IF(Country_1!$C23="","",Country_1!Q23)</f>
        <v/>
      </c>
    </row>
    <row r="23" spans="1:17" x14ac:dyDescent="0.25">
      <c r="A23" s="16" t="str">
        <f>IF(Country_1!$C24="","",Country_1!A24)</f>
        <v/>
      </c>
      <c r="B23" s="16" t="str">
        <f>IF(Country_1!$C24="","",Country_1!B24)</f>
        <v/>
      </c>
      <c r="C23" s="16" t="str">
        <f>IF(Country_1!$C24="","",Country_1!C24)</f>
        <v/>
      </c>
      <c r="D23" s="16" t="str">
        <f>IF(Country_1!$C24="","",Country_1!D24)</f>
        <v/>
      </c>
      <c r="E23" s="16" t="str">
        <f>IF(Country_1!$C24="","",Country_1!E24)</f>
        <v/>
      </c>
      <c r="F23" s="16" t="str">
        <f>IF(Country_1!$C24="","",Country_1!F24)</f>
        <v/>
      </c>
      <c r="G23" s="17" t="str">
        <f>IF(Country_1!$C24="","",Country_1!G24)</f>
        <v/>
      </c>
      <c r="H23" s="17" t="str">
        <f>IF(Country_1!$C24="","",Country_1!H24)</f>
        <v/>
      </c>
      <c r="I23" s="16" t="str">
        <f>IF(Country_1!$C24="","",Country_1!I24)</f>
        <v/>
      </c>
      <c r="J23" s="16" t="str">
        <f>IF(Country_1!$C24="","",Country_1!J24)</f>
        <v/>
      </c>
      <c r="K23" s="18" t="str">
        <f>IF(Country_1!$C24="","",Country_1!K24)</f>
        <v/>
      </c>
      <c r="L23" s="18" t="str">
        <f>IF(Country_1!$C24="","",Country_1!L24)</f>
        <v/>
      </c>
      <c r="M23" s="19" t="str">
        <f>IF(Country_1!$C24="","",Country_1!M24)</f>
        <v/>
      </c>
      <c r="N23" s="16" t="str">
        <f>IF(Country_1!$C24="","",Country_1!N24)</f>
        <v/>
      </c>
      <c r="O23" s="16" t="str">
        <f>IF(Country_1!$C24="","",Country_1!O24)</f>
        <v/>
      </c>
      <c r="P23" s="16" t="str">
        <f>IF(Country_1!$C24="","",Country_1!P24)</f>
        <v/>
      </c>
      <c r="Q23" s="16" t="str">
        <f>IF(Country_1!$C24="","",Country_1!Q24)</f>
        <v/>
      </c>
    </row>
    <row r="24" spans="1:17" x14ac:dyDescent="0.25">
      <c r="A24" s="16" t="str">
        <f>IF(Country_1!$C25="","",Country_1!A25)</f>
        <v/>
      </c>
      <c r="B24" s="16" t="str">
        <f>IF(Country_1!$C25="","",Country_1!B25)</f>
        <v/>
      </c>
      <c r="C24" s="16" t="str">
        <f>IF(Country_1!$C25="","",Country_1!C25)</f>
        <v/>
      </c>
      <c r="D24" s="16" t="str">
        <f>IF(Country_1!$C25="","",Country_1!D25)</f>
        <v/>
      </c>
      <c r="E24" s="16" t="str">
        <f>IF(Country_1!$C25="","",Country_1!E25)</f>
        <v/>
      </c>
      <c r="F24" s="16" t="str">
        <f>IF(Country_1!$C25="","",Country_1!F25)</f>
        <v/>
      </c>
      <c r="G24" s="17" t="str">
        <f>IF(Country_1!$C25="","",Country_1!G25)</f>
        <v/>
      </c>
      <c r="H24" s="17" t="str">
        <f>IF(Country_1!$C25="","",Country_1!H25)</f>
        <v/>
      </c>
      <c r="I24" s="16" t="str">
        <f>IF(Country_1!$C25="","",Country_1!I25)</f>
        <v/>
      </c>
      <c r="J24" s="16" t="str">
        <f>IF(Country_1!$C25="","",Country_1!J25)</f>
        <v/>
      </c>
      <c r="K24" s="18" t="str">
        <f>IF(Country_1!$C25="","",Country_1!K25)</f>
        <v/>
      </c>
      <c r="L24" s="18" t="str">
        <f>IF(Country_1!$C25="","",Country_1!L25)</f>
        <v/>
      </c>
      <c r="M24" s="19" t="str">
        <f>IF(Country_1!$C25="","",Country_1!M25)</f>
        <v/>
      </c>
      <c r="N24" s="16" t="str">
        <f>IF(Country_1!$C25="","",Country_1!N25)</f>
        <v/>
      </c>
      <c r="O24" s="16" t="str">
        <f>IF(Country_1!$C25="","",Country_1!O25)</f>
        <v/>
      </c>
      <c r="P24" s="16" t="str">
        <f>IF(Country_1!$C25="","",Country_1!P25)</f>
        <v/>
      </c>
      <c r="Q24" s="16" t="str">
        <f>IF(Country_1!$C25="","",Country_1!Q25)</f>
        <v/>
      </c>
    </row>
    <row r="25" spans="1:17" x14ac:dyDescent="0.25">
      <c r="A25" s="16" t="str">
        <f>IF(Country_1!$C26="","",Country_1!A26)</f>
        <v/>
      </c>
      <c r="B25" s="16" t="str">
        <f>IF(Country_1!$C26="","",Country_1!B26)</f>
        <v/>
      </c>
      <c r="C25" s="16" t="str">
        <f>IF(Country_1!$C26="","",Country_1!C26)</f>
        <v/>
      </c>
      <c r="D25" s="16" t="str">
        <f>IF(Country_1!$C26="","",Country_1!D26)</f>
        <v/>
      </c>
      <c r="E25" s="16" t="str">
        <f>IF(Country_1!$C26="","",Country_1!E26)</f>
        <v/>
      </c>
      <c r="F25" s="16" t="str">
        <f>IF(Country_1!$C26="","",Country_1!F26)</f>
        <v/>
      </c>
      <c r="G25" s="17" t="str">
        <f>IF(Country_1!$C26="","",Country_1!G26)</f>
        <v/>
      </c>
      <c r="H25" s="17" t="str">
        <f>IF(Country_1!$C26="","",Country_1!H26)</f>
        <v/>
      </c>
      <c r="I25" s="16" t="str">
        <f>IF(Country_1!$C26="","",Country_1!I26)</f>
        <v/>
      </c>
      <c r="J25" s="16" t="str">
        <f>IF(Country_1!$C26="","",Country_1!J26)</f>
        <v/>
      </c>
      <c r="K25" s="18" t="str">
        <f>IF(Country_1!$C26="","",Country_1!K26)</f>
        <v/>
      </c>
      <c r="L25" s="18" t="str">
        <f>IF(Country_1!$C26="","",Country_1!L26)</f>
        <v/>
      </c>
      <c r="M25" s="19" t="str">
        <f>IF(Country_1!$C26="","",Country_1!M26)</f>
        <v/>
      </c>
      <c r="N25" s="16" t="str">
        <f>IF(Country_1!$C26="","",Country_1!N26)</f>
        <v/>
      </c>
      <c r="O25" s="16" t="str">
        <f>IF(Country_1!$C26="","",Country_1!O26)</f>
        <v/>
      </c>
      <c r="P25" s="16" t="str">
        <f>IF(Country_1!$C26="","",Country_1!P26)</f>
        <v/>
      </c>
      <c r="Q25" s="16" t="str">
        <f>IF(Country_1!$C26="","",Country_1!Q26)</f>
        <v/>
      </c>
    </row>
    <row r="26" spans="1:17" x14ac:dyDescent="0.25">
      <c r="A26" s="16" t="str">
        <f>IF(Country_1!$C27="","",Country_1!A27)</f>
        <v/>
      </c>
      <c r="B26" s="16" t="str">
        <f>IF(Country_1!$C27="","",Country_1!B27)</f>
        <v/>
      </c>
      <c r="C26" s="16" t="str">
        <f>IF(Country_1!$C27="","",Country_1!C27)</f>
        <v/>
      </c>
      <c r="D26" s="16" t="str">
        <f>IF(Country_1!$C27="","",Country_1!D27)</f>
        <v/>
      </c>
      <c r="E26" s="16" t="str">
        <f>IF(Country_1!$C27="","",Country_1!E27)</f>
        <v/>
      </c>
      <c r="F26" s="16" t="str">
        <f>IF(Country_1!$C27="","",Country_1!F27)</f>
        <v/>
      </c>
      <c r="G26" s="17" t="str">
        <f>IF(Country_1!$C27="","",Country_1!G27)</f>
        <v/>
      </c>
      <c r="H26" s="17" t="str">
        <f>IF(Country_1!$C27="","",Country_1!H27)</f>
        <v/>
      </c>
      <c r="I26" s="16" t="str">
        <f>IF(Country_1!$C27="","",Country_1!I27)</f>
        <v/>
      </c>
      <c r="J26" s="16" t="str">
        <f>IF(Country_1!$C27="","",Country_1!J27)</f>
        <v/>
      </c>
      <c r="K26" s="18" t="str">
        <f>IF(Country_1!$C27="","",Country_1!K27)</f>
        <v/>
      </c>
      <c r="L26" s="18" t="str">
        <f>IF(Country_1!$C27="","",Country_1!L27)</f>
        <v/>
      </c>
      <c r="M26" s="19" t="str">
        <f>IF(Country_1!$C27="","",Country_1!M27)</f>
        <v/>
      </c>
      <c r="N26" s="16" t="str">
        <f>IF(Country_1!$C27="","",Country_1!N27)</f>
        <v/>
      </c>
      <c r="O26" s="16" t="str">
        <f>IF(Country_1!$C27="","",Country_1!O27)</f>
        <v/>
      </c>
      <c r="P26" s="16" t="str">
        <f>IF(Country_1!$C27="","",Country_1!P27)</f>
        <v/>
      </c>
      <c r="Q26" s="16" t="str">
        <f>IF(Country_1!$C27="","",Country_1!Q27)</f>
        <v/>
      </c>
    </row>
    <row r="27" spans="1:17" x14ac:dyDescent="0.25">
      <c r="A27" s="16" t="str">
        <f>IF(Country_1!$C28="","",Country_1!A28)</f>
        <v/>
      </c>
      <c r="B27" s="16" t="str">
        <f>IF(Country_1!$C28="","",Country_1!B28)</f>
        <v/>
      </c>
      <c r="C27" s="16" t="str">
        <f>IF(Country_1!$C28="","",Country_1!C28)</f>
        <v/>
      </c>
      <c r="D27" s="16" t="str">
        <f>IF(Country_1!$C28="","",Country_1!D28)</f>
        <v/>
      </c>
      <c r="E27" s="16" t="str">
        <f>IF(Country_1!$C28="","",Country_1!E28)</f>
        <v/>
      </c>
      <c r="F27" s="16" t="str">
        <f>IF(Country_1!$C28="","",Country_1!F28)</f>
        <v/>
      </c>
      <c r="G27" s="17" t="str">
        <f>IF(Country_1!$C28="","",Country_1!G28)</f>
        <v/>
      </c>
      <c r="H27" s="17" t="str">
        <f>IF(Country_1!$C28="","",Country_1!H28)</f>
        <v/>
      </c>
      <c r="I27" s="16" t="str">
        <f>IF(Country_1!$C28="","",Country_1!I28)</f>
        <v/>
      </c>
      <c r="J27" s="16" t="str">
        <f>IF(Country_1!$C28="","",Country_1!J28)</f>
        <v/>
      </c>
      <c r="K27" s="18" t="str">
        <f>IF(Country_1!$C28="","",Country_1!K28)</f>
        <v/>
      </c>
      <c r="L27" s="18" t="str">
        <f>IF(Country_1!$C28="","",Country_1!L28)</f>
        <v/>
      </c>
      <c r="M27" s="19" t="str">
        <f>IF(Country_1!$C28="","",Country_1!M28)</f>
        <v/>
      </c>
      <c r="N27" s="16" t="str">
        <f>IF(Country_1!$C28="","",Country_1!N28)</f>
        <v/>
      </c>
      <c r="O27" s="16" t="str">
        <f>IF(Country_1!$C28="","",Country_1!O28)</f>
        <v/>
      </c>
      <c r="P27" s="16" t="str">
        <f>IF(Country_1!$C28="","",Country_1!P28)</f>
        <v/>
      </c>
      <c r="Q27" s="16" t="str">
        <f>IF(Country_1!$C28="","",Country_1!Q28)</f>
        <v/>
      </c>
    </row>
    <row r="28" spans="1:17" x14ac:dyDescent="0.25">
      <c r="A28" s="16" t="str">
        <f>IF(Country_1!$C29="","",Country_1!A29)</f>
        <v/>
      </c>
      <c r="B28" s="16" t="str">
        <f>IF(Country_1!$C29="","",Country_1!B29)</f>
        <v/>
      </c>
      <c r="C28" s="16" t="str">
        <f>IF(Country_1!$C29="","",Country_1!C29)</f>
        <v/>
      </c>
      <c r="D28" s="16" t="str">
        <f>IF(Country_1!$C29="","",Country_1!D29)</f>
        <v/>
      </c>
      <c r="E28" s="16" t="str">
        <f>IF(Country_1!$C29="","",Country_1!E29)</f>
        <v/>
      </c>
      <c r="F28" s="16" t="str">
        <f>IF(Country_1!$C29="","",Country_1!F29)</f>
        <v/>
      </c>
      <c r="G28" s="17" t="str">
        <f>IF(Country_1!$C29="","",Country_1!G29)</f>
        <v/>
      </c>
      <c r="H28" s="17" t="str">
        <f>IF(Country_1!$C29="","",Country_1!H29)</f>
        <v/>
      </c>
      <c r="I28" s="16" t="str">
        <f>IF(Country_1!$C29="","",Country_1!I29)</f>
        <v/>
      </c>
      <c r="J28" s="16" t="str">
        <f>IF(Country_1!$C29="","",Country_1!J29)</f>
        <v/>
      </c>
      <c r="K28" s="18" t="str">
        <f>IF(Country_1!$C29="","",Country_1!K29)</f>
        <v/>
      </c>
      <c r="L28" s="18" t="str">
        <f>IF(Country_1!$C29="","",Country_1!L29)</f>
        <v/>
      </c>
      <c r="M28" s="19" t="str">
        <f>IF(Country_1!$C29="","",Country_1!M29)</f>
        <v/>
      </c>
      <c r="N28" s="16" t="str">
        <f>IF(Country_1!$C29="","",Country_1!N29)</f>
        <v/>
      </c>
      <c r="O28" s="16" t="str">
        <f>IF(Country_1!$C29="","",Country_1!O29)</f>
        <v/>
      </c>
      <c r="P28" s="16" t="str">
        <f>IF(Country_1!$C29="","",Country_1!P29)</f>
        <v/>
      </c>
      <c r="Q28" s="16" t="str">
        <f>IF(Country_1!$C29="","",Country_1!Q29)</f>
        <v/>
      </c>
    </row>
    <row r="29" spans="1:17" x14ac:dyDescent="0.25">
      <c r="A29" s="16" t="str">
        <f>IF(Country_1!$C30="","",Country_1!A30)</f>
        <v/>
      </c>
      <c r="B29" s="16" t="str">
        <f>IF(Country_1!$C30="","",Country_1!B30)</f>
        <v/>
      </c>
      <c r="C29" s="16" t="str">
        <f>IF(Country_1!$C30="","",Country_1!C30)</f>
        <v/>
      </c>
      <c r="D29" s="16" t="str">
        <f>IF(Country_1!$C30="","",Country_1!D30)</f>
        <v/>
      </c>
      <c r="E29" s="16" t="str">
        <f>IF(Country_1!$C30="","",Country_1!E30)</f>
        <v/>
      </c>
      <c r="F29" s="16" t="str">
        <f>IF(Country_1!$C30="","",Country_1!F30)</f>
        <v/>
      </c>
      <c r="G29" s="17" t="str">
        <f>IF(Country_1!$C30="","",Country_1!G30)</f>
        <v/>
      </c>
      <c r="H29" s="17" t="str">
        <f>IF(Country_1!$C30="","",Country_1!H30)</f>
        <v/>
      </c>
      <c r="I29" s="16" t="str">
        <f>IF(Country_1!$C30="","",Country_1!I30)</f>
        <v/>
      </c>
      <c r="J29" s="16" t="str">
        <f>IF(Country_1!$C30="","",Country_1!J30)</f>
        <v/>
      </c>
      <c r="K29" s="18" t="str">
        <f>IF(Country_1!$C30="","",Country_1!K30)</f>
        <v/>
      </c>
      <c r="L29" s="18" t="str">
        <f>IF(Country_1!$C30="","",Country_1!L30)</f>
        <v/>
      </c>
      <c r="M29" s="19" t="str">
        <f>IF(Country_1!$C30="","",Country_1!M30)</f>
        <v/>
      </c>
      <c r="N29" s="16" t="str">
        <f>IF(Country_1!$C30="","",Country_1!N30)</f>
        <v/>
      </c>
      <c r="O29" s="16" t="str">
        <f>IF(Country_1!$C30="","",Country_1!O30)</f>
        <v/>
      </c>
      <c r="P29" s="16" t="str">
        <f>IF(Country_1!$C30="","",Country_1!P30)</f>
        <v/>
      </c>
      <c r="Q29" s="16" t="str">
        <f>IF(Country_1!$C30="","",Country_1!Q30)</f>
        <v/>
      </c>
    </row>
    <row r="30" spans="1:17" x14ac:dyDescent="0.25">
      <c r="A30" s="16" t="str">
        <f>IF(Country_1!$C31="","",Country_1!A31)</f>
        <v/>
      </c>
      <c r="B30" s="16" t="str">
        <f>IF(Country_1!$C31="","",Country_1!B31)</f>
        <v/>
      </c>
      <c r="C30" s="16" t="str">
        <f>IF(Country_1!$C31="","",Country_1!C31)</f>
        <v/>
      </c>
      <c r="D30" s="16" t="str">
        <f>IF(Country_1!$C31="","",Country_1!D31)</f>
        <v/>
      </c>
      <c r="E30" s="16" t="str">
        <f>IF(Country_1!$C31="","",Country_1!E31)</f>
        <v/>
      </c>
      <c r="F30" s="16" t="str">
        <f>IF(Country_1!$C31="","",Country_1!F31)</f>
        <v/>
      </c>
      <c r="G30" s="17" t="str">
        <f>IF(Country_1!$C31="","",Country_1!G31)</f>
        <v/>
      </c>
      <c r="H30" s="17" t="str">
        <f>IF(Country_1!$C31="","",Country_1!H31)</f>
        <v/>
      </c>
      <c r="I30" s="16" t="str">
        <f>IF(Country_1!$C31="","",Country_1!I31)</f>
        <v/>
      </c>
      <c r="J30" s="16" t="str">
        <f>IF(Country_1!$C31="","",Country_1!J31)</f>
        <v/>
      </c>
      <c r="K30" s="18" t="str">
        <f>IF(Country_1!$C31="","",Country_1!K31)</f>
        <v/>
      </c>
      <c r="L30" s="18" t="str">
        <f>IF(Country_1!$C31="","",Country_1!L31)</f>
        <v/>
      </c>
      <c r="M30" s="19" t="str">
        <f>IF(Country_1!$C31="","",Country_1!M31)</f>
        <v/>
      </c>
      <c r="N30" s="16" t="str">
        <f>IF(Country_1!$C31="","",Country_1!N31)</f>
        <v/>
      </c>
      <c r="O30" s="16" t="str">
        <f>IF(Country_1!$C31="","",Country_1!O31)</f>
        <v/>
      </c>
      <c r="P30" s="16" t="str">
        <f>IF(Country_1!$C31="","",Country_1!P31)</f>
        <v/>
      </c>
      <c r="Q30" s="16" t="str">
        <f>IF(Country_1!$C31="","",Country_1!Q31)</f>
        <v/>
      </c>
    </row>
    <row r="31" spans="1:17" x14ac:dyDescent="0.25">
      <c r="A31" s="16" t="str">
        <f>IF(Country_1!$C32="","",Country_1!A32)</f>
        <v/>
      </c>
      <c r="B31" s="16" t="str">
        <f>IF(Country_1!$C32="","",Country_1!B32)</f>
        <v/>
      </c>
      <c r="C31" s="16" t="str">
        <f>IF(Country_1!$C32="","",Country_1!C32)</f>
        <v/>
      </c>
      <c r="D31" s="16" t="str">
        <f>IF(Country_1!$C32="","",Country_1!D32)</f>
        <v/>
      </c>
      <c r="E31" s="16" t="str">
        <f>IF(Country_1!$C32="","",Country_1!E32)</f>
        <v/>
      </c>
      <c r="F31" s="16" t="str">
        <f>IF(Country_1!$C32="","",Country_1!F32)</f>
        <v/>
      </c>
      <c r="G31" s="17" t="str">
        <f>IF(Country_1!$C32="","",Country_1!G32)</f>
        <v/>
      </c>
      <c r="H31" s="17" t="str">
        <f>IF(Country_1!$C32="","",Country_1!H32)</f>
        <v/>
      </c>
      <c r="I31" s="16" t="str">
        <f>IF(Country_1!$C32="","",Country_1!I32)</f>
        <v/>
      </c>
      <c r="J31" s="16" t="str">
        <f>IF(Country_1!$C32="","",Country_1!J32)</f>
        <v/>
      </c>
      <c r="K31" s="18" t="str">
        <f>IF(Country_1!$C32="","",Country_1!K32)</f>
        <v/>
      </c>
      <c r="L31" s="18" t="str">
        <f>IF(Country_1!$C32="","",Country_1!L32)</f>
        <v/>
      </c>
      <c r="M31" s="19" t="str">
        <f>IF(Country_1!$C32="","",Country_1!M32)</f>
        <v/>
      </c>
      <c r="N31" s="16" t="str">
        <f>IF(Country_1!$C32="","",Country_1!N32)</f>
        <v/>
      </c>
      <c r="O31" s="16" t="str">
        <f>IF(Country_1!$C32="","",Country_1!O32)</f>
        <v/>
      </c>
      <c r="P31" s="16" t="str">
        <f>IF(Country_1!$C32="","",Country_1!P32)</f>
        <v/>
      </c>
      <c r="Q31" s="16" t="str">
        <f>IF(Country_1!$C32="","",Country_1!Q32)</f>
        <v/>
      </c>
    </row>
    <row r="32" spans="1:17" x14ac:dyDescent="0.25">
      <c r="A32" s="16" t="str">
        <f>IF(Country_1!$C33="","",Country_1!A33)</f>
        <v/>
      </c>
      <c r="B32" s="16" t="str">
        <f>IF(Country_1!$C33="","",Country_1!B33)</f>
        <v/>
      </c>
      <c r="C32" s="16" t="str">
        <f>IF(Country_1!$C33="","",Country_1!C33)</f>
        <v/>
      </c>
      <c r="D32" s="16" t="str">
        <f>IF(Country_1!$C33="","",Country_1!D33)</f>
        <v/>
      </c>
      <c r="E32" s="16" t="str">
        <f>IF(Country_1!$C33="","",Country_1!E33)</f>
        <v/>
      </c>
      <c r="F32" s="16" t="str">
        <f>IF(Country_1!$C33="","",Country_1!F33)</f>
        <v/>
      </c>
      <c r="G32" s="17" t="str">
        <f>IF(Country_1!$C33="","",Country_1!G33)</f>
        <v/>
      </c>
      <c r="H32" s="17" t="str">
        <f>IF(Country_1!$C33="","",Country_1!H33)</f>
        <v/>
      </c>
      <c r="I32" s="16" t="str">
        <f>IF(Country_1!$C33="","",Country_1!I33)</f>
        <v/>
      </c>
      <c r="J32" s="16" t="str">
        <f>IF(Country_1!$C33="","",Country_1!J33)</f>
        <v/>
      </c>
      <c r="K32" s="18" t="str">
        <f>IF(Country_1!$C33="","",Country_1!K33)</f>
        <v/>
      </c>
      <c r="L32" s="18" t="str">
        <f>IF(Country_1!$C33="","",Country_1!L33)</f>
        <v/>
      </c>
      <c r="M32" s="19" t="str">
        <f>IF(Country_1!$C33="","",Country_1!M33)</f>
        <v/>
      </c>
      <c r="N32" s="16" t="str">
        <f>IF(Country_1!$C33="","",Country_1!N33)</f>
        <v/>
      </c>
      <c r="O32" s="16" t="str">
        <f>IF(Country_1!$C33="","",Country_1!O33)</f>
        <v/>
      </c>
      <c r="P32" s="16" t="str">
        <f>IF(Country_1!$C33="","",Country_1!P33)</f>
        <v/>
      </c>
      <c r="Q32" s="16" t="str">
        <f>IF(Country_1!$C33="","",Country_1!Q33)</f>
        <v/>
      </c>
    </row>
    <row r="33" spans="1:17" x14ac:dyDescent="0.25">
      <c r="A33" s="16" t="str">
        <f>IF(Country_1!$C34="","",Country_1!A34)</f>
        <v/>
      </c>
      <c r="B33" s="16" t="str">
        <f>IF(Country_1!$C34="","",Country_1!B34)</f>
        <v/>
      </c>
      <c r="C33" s="16" t="str">
        <f>IF(Country_1!$C34="","",Country_1!C34)</f>
        <v/>
      </c>
      <c r="D33" s="16" t="str">
        <f>IF(Country_1!$C34="","",Country_1!D34)</f>
        <v/>
      </c>
      <c r="E33" s="16" t="str">
        <f>IF(Country_1!$C34="","",Country_1!E34)</f>
        <v/>
      </c>
      <c r="F33" s="16" t="str">
        <f>IF(Country_1!$C34="","",Country_1!F34)</f>
        <v/>
      </c>
      <c r="G33" s="17" t="str">
        <f>IF(Country_1!$C34="","",Country_1!G34)</f>
        <v/>
      </c>
      <c r="H33" s="17" t="str">
        <f>IF(Country_1!$C34="","",Country_1!H34)</f>
        <v/>
      </c>
      <c r="I33" s="16" t="str">
        <f>IF(Country_1!$C34="","",Country_1!I34)</f>
        <v/>
      </c>
      <c r="J33" s="16" t="str">
        <f>IF(Country_1!$C34="","",Country_1!J34)</f>
        <v/>
      </c>
      <c r="K33" s="18" t="str">
        <f>IF(Country_1!$C34="","",Country_1!K34)</f>
        <v/>
      </c>
      <c r="L33" s="18" t="str">
        <f>IF(Country_1!$C34="","",Country_1!L34)</f>
        <v/>
      </c>
      <c r="M33" s="19" t="str">
        <f>IF(Country_1!$C34="","",Country_1!M34)</f>
        <v/>
      </c>
      <c r="N33" s="16" t="str">
        <f>IF(Country_1!$C34="","",Country_1!N34)</f>
        <v/>
      </c>
      <c r="O33" s="16" t="str">
        <f>IF(Country_1!$C34="","",Country_1!O34)</f>
        <v/>
      </c>
      <c r="P33" s="16" t="str">
        <f>IF(Country_1!$C34="","",Country_1!P34)</f>
        <v/>
      </c>
      <c r="Q33" s="16" t="str">
        <f>IF(Country_1!$C34="","",Country_1!Q34)</f>
        <v/>
      </c>
    </row>
    <row r="34" spans="1:17" x14ac:dyDescent="0.25">
      <c r="A34" s="16" t="str">
        <f>IF(Country_1!$C35="","",Country_1!A35)</f>
        <v/>
      </c>
      <c r="B34" s="16" t="str">
        <f>IF(Country_1!$C35="","",Country_1!B35)</f>
        <v/>
      </c>
      <c r="C34" s="16" t="str">
        <f>IF(Country_1!$C35="","",Country_1!C35)</f>
        <v/>
      </c>
      <c r="D34" s="16" t="str">
        <f>IF(Country_1!$C35="","",Country_1!D35)</f>
        <v/>
      </c>
      <c r="E34" s="16" t="str">
        <f>IF(Country_1!$C35="","",Country_1!E35)</f>
        <v/>
      </c>
      <c r="F34" s="16" t="str">
        <f>IF(Country_1!$C35="","",Country_1!F35)</f>
        <v/>
      </c>
      <c r="G34" s="17" t="str">
        <f>IF(Country_1!$C35="","",Country_1!G35)</f>
        <v/>
      </c>
      <c r="H34" s="17" t="str">
        <f>IF(Country_1!$C35="","",Country_1!H35)</f>
        <v/>
      </c>
      <c r="I34" s="16" t="str">
        <f>IF(Country_1!$C35="","",Country_1!I35)</f>
        <v/>
      </c>
      <c r="J34" s="16" t="str">
        <f>IF(Country_1!$C35="","",Country_1!J35)</f>
        <v/>
      </c>
      <c r="K34" s="18" t="str">
        <f>IF(Country_1!$C35="","",Country_1!K35)</f>
        <v/>
      </c>
      <c r="L34" s="18" t="str">
        <f>IF(Country_1!$C35="","",Country_1!L35)</f>
        <v/>
      </c>
      <c r="M34" s="19" t="str">
        <f>IF(Country_1!$C35="","",Country_1!M35)</f>
        <v/>
      </c>
      <c r="N34" s="16" t="str">
        <f>IF(Country_1!$C35="","",Country_1!N35)</f>
        <v/>
      </c>
      <c r="O34" s="16" t="str">
        <f>IF(Country_1!$C35="","",Country_1!O35)</f>
        <v/>
      </c>
      <c r="P34" s="16" t="str">
        <f>IF(Country_1!$C35="","",Country_1!P35)</f>
        <v/>
      </c>
      <c r="Q34" s="16" t="str">
        <f>IF(Country_1!$C35="","",Country_1!Q35)</f>
        <v/>
      </c>
    </row>
    <row r="35" spans="1:17" x14ac:dyDescent="0.25">
      <c r="A35" s="16" t="str">
        <f>IF(Country_1!$C36="","",Country_1!A36)</f>
        <v/>
      </c>
      <c r="B35" s="16" t="str">
        <f>IF(Country_1!$C36="","",Country_1!B36)</f>
        <v/>
      </c>
      <c r="C35" s="16" t="str">
        <f>IF(Country_1!$C36="","",Country_1!C36)</f>
        <v/>
      </c>
      <c r="D35" s="16" t="str">
        <f>IF(Country_1!$C36="","",Country_1!D36)</f>
        <v/>
      </c>
      <c r="E35" s="16" t="str">
        <f>IF(Country_1!$C36="","",Country_1!E36)</f>
        <v/>
      </c>
      <c r="F35" s="16" t="str">
        <f>IF(Country_1!$C36="","",Country_1!F36)</f>
        <v/>
      </c>
      <c r="G35" s="17" t="str">
        <f>IF(Country_1!$C36="","",Country_1!G36)</f>
        <v/>
      </c>
      <c r="H35" s="17" t="str">
        <f>IF(Country_1!$C36="","",Country_1!H36)</f>
        <v/>
      </c>
      <c r="I35" s="16" t="str">
        <f>IF(Country_1!$C36="","",Country_1!I36)</f>
        <v/>
      </c>
      <c r="J35" s="16" t="str">
        <f>IF(Country_1!$C36="","",Country_1!J36)</f>
        <v/>
      </c>
      <c r="K35" s="18" t="str">
        <f>IF(Country_1!$C36="","",Country_1!K36)</f>
        <v/>
      </c>
      <c r="L35" s="18" t="str">
        <f>IF(Country_1!$C36="","",Country_1!L36)</f>
        <v/>
      </c>
      <c r="M35" s="19" t="str">
        <f>IF(Country_1!$C36="","",Country_1!M36)</f>
        <v/>
      </c>
      <c r="N35" s="16" t="str">
        <f>IF(Country_1!$C36="","",Country_1!N36)</f>
        <v/>
      </c>
      <c r="O35" s="16" t="str">
        <f>IF(Country_1!$C36="","",Country_1!O36)</f>
        <v/>
      </c>
      <c r="P35" s="16" t="str">
        <f>IF(Country_1!$C36="","",Country_1!P36)</f>
        <v/>
      </c>
      <c r="Q35" s="16" t="str">
        <f>IF(Country_1!$C36="","",Country_1!Q36)</f>
        <v/>
      </c>
    </row>
    <row r="36" spans="1:17" x14ac:dyDescent="0.25">
      <c r="A36" s="16" t="str">
        <f>IF(Country_1!$C37="","",Country_1!A37)</f>
        <v/>
      </c>
      <c r="B36" s="16" t="str">
        <f>IF(Country_1!$C37="","",Country_1!B37)</f>
        <v/>
      </c>
      <c r="C36" s="16" t="str">
        <f>IF(Country_1!$C37="","",Country_1!C37)</f>
        <v/>
      </c>
      <c r="D36" s="16" t="str">
        <f>IF(Country_1!$C37="","",Country_1!D37)</f>
        <v/>
      </c>
      <c r="E36" s="16" t="str">
        <f>IF(Country_1!$C37="","",Country_1!E37)</f>
        <v/>
      </c>
      <c r="F36" s="16" t="str">
        <f>IF(Country_1!$C37="","",Country_1!F37)</f>
        <v/>
      </c>
      <c r="G36" s="17" t="str">
        <f>IF(Country_1!$C37="","",Country_1!G37)</f>
        <v/>
      </c>
      <c r="H36" s="17" t="str">
        <f>IF(Country_1!$C37="","",Country_1!H37)</f>
        <v/>
      </c>
      <c r="I36" s="16" t="str">
        <f>IF(Country_1!$C37="","",Country_1!I37)</f>
        <v/>
      </c>
      <c r="J36" s="16" t="str">
        <f>IF(Country_1!$C37="","",Country_1!J37)</f>
        <v/>
      </c>
      <c r="K36" s="18" t="str">
        <f>IF(Country_1!$C37="","",Country_1!K37)</f>
        <v/>
      </c>
      <c r="L36" s="18" t="str">
        <f>IF(Country_1!$C37="","",Country_1!L37)</f>
        <v/>
      </c>
      <c r="M36" s="19" t="str">
        <f>IF(Country_1!$C37="","",Country_1!M37)</f>
        <v/>
      </c>
      <c r="N36" s="16" t="str">
        <f>IF(Country_1!$C37="","",Country_1!N37)</f>
        <v/>
      </c>
      <c r="O36" s="16" t="str">
        <f>IF(Country_1!$C37="","",Country_1!O37)</f>
        <v/>
      </c>
      <c r="P36" s="16" t="str">
        <f>IF(Country_1!$C37="","",Country_1!P37)</f>
        <v/>
      </c>
      <c r="Q36" s="16" t="str">
        <f>IF(Country_1!$C37="","",Country_1!Q37)</f>
        <v/>
      </c>
    </row>
    <row r="37" spans="1:17" x14ac:dyDescent="0.25">
      <c r="A37" s="16" t="str">
        <f>IF(Country_1!$C38="","",Country_1!A38)</f>
        <v/>
      </c>
      <c r="B37" s="16" t="str">
        <f>IF(Country_1!$C38="","",Country_1!B38)</f>
        <v/>
      </c>
      <c r="C37" s="16" t="str">
        <f>IF(Country_1!$C38="","",Country_1!C38)</f>
        <v/>
      </c>
      <c r="D37" s="16" t="str">
        <f>IF(Country_1!$C38="","",Country_1!D38)</f>
        <v/>
      </c>
      <c r="E37" s="16" t="str">
        <f>IF(Country_1!$C38="","",Country_1!E38)</f>
        <v/>
      </c>
      <c r="F37" s="16" t="str">
        <f>IF(Country_1!$C38="","",Country_1!F38)</f>
        <v/>
      </c>
      <c r="G37" s="17" t="str">
        <f>IF(Country_1!$C38="","",Country_1!G38)</f>
        <v/>
      </c>
      <c r="H37" s="17" t="str">
        <f>IF(Country_1!$C38="","",Country_1!H38)</f>
        <v/>
      </c>
      <c r="I37" s="16" t="str">
        <f>IF(Country_1!$C38="","",Country_1!I38)</f>
        <v/>
      </c>
      <c r="J37" s="16" t="str">
        <f>IF(Country_1!$C38="","",Country_1!J38)</f>
        <v/>
      </c>
      <c r="K37" s="18" t="str">
        <f>IF(Country_1!$C38="","",Country_1!K38)</f>
        <v/>
      </c>
      <c r="L37" s="18" t="str">
        <f>IF(Country_1!$C38="","",Country_1!L38)</f>
        <v/>
      </c>
      <c r="M37" s="19" t="str">
        <f>IF(Country_1!$C38="","",Country_1!M38)</f>
        <v/>
      </c>
      <c r="N37" s="16" t="str">
        <f>IF(Country_1!$C38="","",Country_1!N38)</f>
        <v/>
      </c>
      <c r="O37" s="16" t="str">
        <f>IF(Country_1!$C38="","",Country_1!O38)</f>
        <v/>
      </c>
      <c r="P37" s="16" t="str">
        <f>IF(Country_1!$C38="","",Country_1!P38)</f>
        <v/>
      </c>
      <c r="Q37" s="16" t="str">
        <f>IF(Country_1!$C38="","",Country_1!Q38)</f>
        <v/>
      </c>
    </row>
    <row r="38" spans="1:17" x14ac:dyDescent="0.25">
      <c r="A38" s="16" t="str">
        <f>IF(Country_1!$C39="","",Country_1!A39)</f>
        <v/>
      </c>
      <c r="B38" s="16" t="str">
        <f>IF(Country_1!$C39="","",Country_1!B39)</f>
        <v/>
      </c>
      <c r="C38" s="16" t="str">
        <f>IF(Country_1!$C39="","",Country_1!C39)</f>
        <v/>
      </c>
      <c r="D38" s="16" t="str">
        <f>IF(Country_1!$C39="","",Country_1!D39)</f>
        <v/>
      </c>
      <c r="E38" s="16" t="str">
        <f>IF(Country_1!$C39="","",Country_1!E39)</f>
        <v/>
      </c>
      <c r="F38" s="16" t="str">
        <f>IF(Country_1!$C39="","",Country_1!F39)</f>
        <v/>
      </c>
      <c r="G38" s="17" t="str">
        <f>IF(Country_1!$C39="","",Country_1!G39)</f>
        <v/>
      </c>
      <c r="H38" s="17" t="str">
        <f>IF(Country_1!$C39="","",Country_1!H39)</f>
        <v/>
      </c>
      <c r="I38" s="16" t="str">
        <f>IF(Country_1!$C39="","",Country_1!I39)</f>
        <v/>
      </c>
      <c r="J38" s="16" t="str">
        <f>IF(Country_1!$C39="","",Country_1!J39)</f>
        <v/>
      </c>
      <c r="K38" s="18" t="str">
        <f>IF(Country_1!$C39="","",Country_1!K39)</f>
        <v/>
      </c>
      <c r="L38" s="18" t="str">
        <f>IF(Country_1!$C39="","",Country_1!L39)</f>
        <v/>
      </c>
      <c r="M38" s="19" t="str">
        <f>IF(Country_1!$C39="","",Country_1!M39)</f>
        <v/>
      </c>
      <c r="N38" s="16" t="str">
        <f>IF(Country_1!$C39="","",Country_1!N39)</f>
        <v/>
      </c>
      <c r="O38" s="16" t="str">
        <f>IF(Country_1!$C39="","",Country_1!O39)</f>
        <v/>
      </c>
      <c r="P38" s="16" t="str">
        <f>IF(Country_1!$C39="","",Country_1!P39)</f>
        <v/>
      </c>
      <c r="Q38" s="16" t="str">
        <f>IF(Country_1!$C39="","",Country_1!Q39)</f>
        <v/>
      </c>
    </row>
    <row r="39" spans="1:17" x14ac:dyDescent="0.25">
      <c r="A39" s="16" t="str">
        <f>IF(Country_1!$C40="","",Country_1!A40)</f>
        <v/>
      </c>
      <c r="B39" s="16" t="str">
        <f>IF(Country_1!$C40="","",Country_1!B40)</f>
        <v/>
      </c>
      <c r="C39" s="16" t="str">
        <f>IF(Country_1!$C40="","",Country_1!C40)</f>
        <v/>
      </c>
      <c r="D39" s="16" t="str">
        <f>IF(Country_1!$C40="","",Country_1!D40)</f>
        <v/>
      </c>
      <c r="E39" s="16" t="str">
        <f>IF(Country_1!$C40="","",Country_1!E40)</f>
        <v/>
      </c>
      <c r="F39" s="16" t="str">
        <f>IF(Country_1!$C40="","",Country_1!F40)</f>
        <v/>
      </c>
      <c r="G39" s="17" t="str">
        <f>IF(Country_1!$C40="","",Country_1!G40)</f>
        <v/>
      </c>
      <c r="H39" s="17" t="str">
        <f>IF(Country_1!$C40="","",Country_1!H40)</f>
        <v/>
      </c>
      <c r="I39" s="16" t="str">
        <f>IF(Country_1!$C40="","",Country_1!I40)</f>
        <v/>
      </c>
      <c r="J39" s="16" t="str">
        <f>IF(Country_1!$C40="","",Country_1!J40)</f>
        <v/>
      </c>
      <c r="K39" s="18" t="str">
        <f>IF(Country_1!$C40="","",Country_1!K40)</f>
        <v/>
      </c>
      <c r="L39" s="18" t="str">
        <f>IF(Country_1!$C40="","",Country_1!L40)</f>
        <v/>
      </c>
      <c r="M39" s="19" t="str">
        <f>IF(Country_1!$C40="","",Country_1!M40)</f>
        <v/>
      </c>
      <c r="N39" s="16" t="str">
        <f>IF(Country_1!$C40="","",Country_1!N40)</f>
        <v/>
      </c>
      <c r="O39" s="16" t="str">
        <f>IF(Country_1!$C40="","",Country_1!O40)</f>
        <v/>
      </c>
      <c r="P39" s="16" t="str">
        <f>IF(Country_1!$C40="","",Country_1!P40)</f>
        <v/>
      </c>
      <c r="Q39" s="16" t="str">
        <f>IF(Country_1!$C40="","",Country_1!Q40)</f>
        <v/>
      </c>
    </row>
    <row r="40" spans="1:17" x14ac:dyDescent="0.25">
      <c r="A40" s="16" t="str">
        <f>IF(Country_1!$C41="","",Country_1!A41)</f>
        <v/>
      </c>
      <c r="B40" s="16" t="str">
        <f>IF(Country_1!$C41="","",Country_1!B41)</f>
        <v/>
      </c>
      <c r="C40" s="16" t="str">
        <f>IF(Country_1!$C41="","",Country_1!C41)</f>
        <v/>
      </c>
      <c r="D40" s="16" t="str">
        <f>IF(Country_1!$C41="","",Country_1!D41)</f>
        <v/>
      </c>
      <c r="E40" s="16" t="str">
        <f>IF(Country_1!$C41="","",Country_1!E41)</f>
        <v/>
      </c>
      <c r="F40" s="16" t="str">
        <f>IF(Country_1!$C41="","",Country_1!F41)</f>
        <v/>
      </c>
      <c r="G40" s="17" t="str">
        <f>IF(Country_1!$C41="","",Country_1!G41)</f>
        <v/>
      </c>
      <c r="H40" s="17" t="str">
        <f>IF(Country_1!$C41="","",Country_1!H41)</f>
        <v/>
      </c>
      <c r="I40" s="16" t="str">
        <f>IF(Country_1!$C41="","",Country_1!I41)</f>
        <v/>
      </c>
      <c r="J40" s="16" t="str">
        <f>IF(Country_1!$C41="","",Country_1!J41)</f>
        <v/>
      </c>
      <c r="K40" s="18" t="str">
        <f>IF(Country_1!$C41="","",Country_1!K41)</f>
        <v/>
      </c>
      <c r="L40" s="18" t="str">
        <f>IF(Country_1!$C41="","",Country_1!L41)</f>
        <v/>
      </c>
      <c r="M40" s="19" t="str">
        <f>IF(Country_1!$C41="","",Country_1!M41)</f>
        <v/>
      </c>
      <c r="N40" s="16" t="str">
        <f>IF(Country_1!$C41="","",Country_1!N41)</f>
        <v/>
      </c>
      <c r="O40" s="16" t="str">
        <f>IF(Country_1!$C41="","",Country_1!O41)</f>
        <v/>
      </c>
      <c r="P40" s="16" t="str">
        <f>IF(Country_1!$C41="","",Country_1!P41)</f>
        <v/>
      </c>
      <c r="Q40" s="16" t="str">
        <f>IF(Country_1!$C41="","",Country_1!Q41)</f>
        <v/>
      </c>
    </row>
    <row r="41" spans="1:17" x14ac:dyDescent="0.25">
      <c r="A41" s="16" t="str">
        <f>IF(Country_1!$C42="","",Country_1!A42)</f>
        <v/>
      </c>
      <c r="B41" s="16" t="str">
        <f>IF(Country_1!$C42="","",Country_1!B42)</f>
        <v/>
      </c>
      <c r="C41" s="16" t="str">
        <f>IF(Country_1!$C42="","",Country_1!C42)</f>
        <v/>
      </c>
      <c r="D41" s="16" t="str">
        <f>IF(Country_1!$C42="","",Country_1!D42)</f>
        <v/>
      </c>
      <c r="E41" s="16" t="str">
        <f>IF(Country_1!$C42="","",Country_1!E42)</f>
        <v/>
      </c>
      <c r="F41" s="16" t="str">
        <f>IF(Country_1!$C42="","",Country_1!F42)</f>
        <v/>
      </c>
      <c r="G41" s="17" t="str">
        <f>IF(Country_1!$C42="","",Country_1!G42)</f>
        <v/>
      </c>
      <c r="H41" s="17" t="str">
        <f>IF(Country_1!$C42="","",Country_1!H42)</f>
        <v/>
      </c>
      <c r="I41" s="16" t="str">
        <f>IF(Country_1!$C42="","",Country_1!I42)</f>
        <v/>
      </c>
      <c r="J41" s="16" t="str">
        <f>IF(Country_1!$C42="","",Country_1!J42)</f>
        <v/>
      </c>
      <c r="K41" s="18" t="str">
        <f>IF(Country_1!$C42="","",Country_1!K42)</f>
        <v/>
      </c>
      <c r="L41" s="18" t="str">
        <f>IF(Country_1!$C42="","",Country_1!L42)</f>
        <v/>
      </c>
      <c r="M41" s="19" t="str">
        <f>IF(Country_1!$C42="","",Country_1!M42)</f>
        <v/>
      </c>
      <c r="N41" s="16" t="str">
        <f>IF(Country_1!$C42="","",Country_1!N42)</f>
        <v/>
      </c>
      <c r="O41" s="16" t="str">
        <f>IF(Country_1!$C42="","",Country_1!O42)</f>
        <v/>
      </c>
      <c r="P41" s="16" t="str">
        <f>IF(Country_1!$C42="","",Country_1!P42)</f>
        <v/>
      </c>
      <c r="Q41" s="16" t="str">
        <f>IF(Country_1!$C42="","",Country_1!Q42)</f>
        <v/>
      </c>
    </row>
    <row r="42" spans="1:17" x14ac:dyDescent="0.25">
      <c r="A42" s="16" t="str">
        <f>IF(Country_1!$C43="","",Country_1!A43)</f>
        <v/>
      </c>
      <c r="B42" s="16" t="str">
        <f>IF(Country_1!$C43="","",Country_1!B43)</f>
        <v/>
      </c>
      <c r="C42" s="16" t="str">
        <f>IF(Country_1!$C43="","",Country_1!C43)</f>
        <v/>
      </c>
      <c r="D42" s="16" t="str">
        <f>IF(Country_1!$C43="","",Country_1!D43)</f>
        <v/>
      </c>
      <c r="E42" s="16" t="str">
        <f>IF(Country_1!$C43="","",Country_1!E43)</f>
        <v/>
      </c>
      <c r="F42" s="16" t="str">
        <f>IF(Country_1!$C43="","",Country_1!F43)</f>
        <v/>
      </c>
      <c r="G42" s="17" t="str">
        <f>IF(Country_1!$C43="","",Country_1!G43)</f>
        <v/>
      </c>
      <c r="H42" s="17" t="str">
        <f>IF(Country_1!$C43="","",Country_1!H43)</f>
        <v/>
      </c>
      <c r="I42" s="16" t="str">
        <f>IF(Country_1!$C43="","",Country_1!I43)</f>
        <v/>
      </c>
      <c r="J42" s="16" t="str">
        <f>IF(Country_1!$C43="","",Country_1!J43)</f>
        <v/>
      </c>
      <c r="K42" s="18" t="str">
        <f>IF(Country_1!$C43="","",Country_1!K43)</f>
        <v/>
      </c>
      <c r="L42" s="18" t="str">
        <f>IF(Country_1!$C43="","",Country_1!L43)</f>
        <v/>
      </c>
      <c r="M42" s="19" t="str">
        <f>IF(Country_1!$C43="","",Country_1!M43)</f>
        <v/>
      </c>
      <c r="N42" s="16" t="str">
        <f>IF(Country_1!$C43="","",Country_1!N43)</f>
        <v/>
      </c>
      <c r="O42" s="16" t="str">
        <f>IF(Country_1!$C43="","",Country_1!O43)</f>
        <v/>
      </c>
      <c r="P42" s="16" t="str">
        <f>IF(Country_1!$C43="","",Country_1!P43)</f>
        <v/>
      </c>
      <c r="Q42" s="16" t="str">
        <f>IF(Country_1!$C43="","",Country_1!Q43)</f>
        <v/>
      </c>
    </row>
    <row r="43" spans="1:17" x14ac:dyDescent="0.25">
      <c r="A43" s="16" t="str">
        <f>IF(Country_1!$C44="","",Country_1!A44)</f>
        <v/>
      </c>
      <c r="B43" s="16" t="str">
        <f>IF(Country_1!$C44="","",Country_1!B44)</f>
        <v/>
      </c>
      <c r="C43" s="16" t="str">
        <f>IF(Country_1!$C44="","",Country_1!C44)</f>
        <v/>
      </c>
      <c r="D43" s="16" t="str">
        <f>IF(Country_1!$C44="","",Country_1!D44)</f>
        <v/>
      </c>
      <c r="E43" s="16" t="str">
        <f>IF(Country_1!$C44="","",Country_1!E44)</f>
        <v/>
      </c>
      <c r="F43" s="16" t="str">
        <f>IF(Country_1!$C44="","",Country_1!F44)</f>
        <v/>
      </c>
      <c r="G43" s="17" t="str">
        <f>IF(Country_1!$C44="","",Country_1!G44)</f>
        <v/>
      </c>
      <c r="H43" s="17" t="str">
        <f>IF(Country_1!$C44="","",Country_1!H44)</f>
        <v/>
      </c>
      <c r="I43" s="16" t="str">
        <f>IF(Country_1!$C44="","",Country_1!I44)</f>
        <v/>
      </c>
      <c r="J43" s="16" t="str">
        <f>IF(Country_1!$C44="","",Country_1!J44)</f>
        <v/>
      </c>
      <c r="K43" s="18" t="str">
        <f>IF(Country_1!$C44="","",Country_1!K44)</f>
        <v/>
      </c>
      <c r="L43" s="18" t="str">
        <f>IF(Country_1!$C44="","",Country_1!L44)</f>
        <v/>
      </c>
      <c r="M43" s="19" t="str">
        <f>IF(Country_1!$C44="","",Country_1!M44)</f>
        <v/>
      </c>
      <c r="N43" s="16" t="str">
        <f>IF(Country_1!$C44="","",Country_1!N44)</f>
        <v/>
      </c>
      <c r="O43" s="16" t="str">
        <f>IF(Country_1!$C44="","",Country_1!O44)</f>
        <v/>
      </c>
      <c r="P43" s="16" t="str">
        <f>IF(Country_1!$C44="","",Country_1!P44)</f>
        <v/>
      </c>
      <c r="Q43" s="16" t="str">
        <f>IF(Country_1!$C44="","",Country_1!Q44)</f>
        <v/>
      </c>
    </row>
    <row r="44" spans="1:17" x14ac:dyDescent="0.25">
      <c r="A44" s="16" t="str">
        <f>IF(Country_1!$C45="","",Country_1!A45)</f>
        <v/>
      </c>
      <c r="B44" s="16" t="str">
        <f>IF(Country_1!$C45="","",Country_1!B45)</f>
        <v/>
      </c>
      <c r="C44" s="16" t="str">
        <f>IF(Country_1!$C45="","",Country_1!C45)</f>
        <v/>
      </c>
      <c r="D44" s="16" t="str">
        <f>IF(Country_1!$C45="","",Country_1!D45)</f>
        <v/>
      </c>
      <c r="E44" s="16" t="str">
        <f>IF(Country_1!$C45="","",Country_1!E45)</f>
        <v/>
      </c>
      <c r="F44" s="16" t="str">
        <f>IF(Country_1!$C45="","",Country_1!F45)</f>
        <v/>
      </c>
      <c r="G44" s="17" t="str">
        <f>IF(Country_1!$C45="","",Country_1!G45)</f>
        <v/>
      </c>
      <c r="H44" s="17" t="str">
        <f>IF(Country_1!$C45="","",Country_1!H45)</f>
        <v/>
      </c>
      <c r="I44" s="16" t="str">
        <f>IF(Country_1!$C45="","",Country_1!I45)</f>
        <v/>
      </c>
      <c r="J44" s="16" t="str">
        <f>IF(Country_1!$C45="","",Country_1!J45)</f>
        <v/>
      </c>
      <c r="K44" s="18" t="str">
        <f>IF(Country_1!$C45="","",Country_1!K45)</f>
        <v/>
      </c>
      <c r="L44" s="18" t="str">
        <f>IF(Country_1!$C45="","",Country_1!L45)</f>
        <v/>
      </c>
      <c r="M44" s="19" t="str">
        <f>IF(Country_1!$C45="","",Country_1!M45)</f>
        <v/>
      </c>
      <c r="N44" s="16" t="str">
        <f>IF(Country_1!$C45="","",Country_1!N45)</f>
        <v/>
      </c>
      <c r="O44" s="16" t="str">
        <f>IF(Country_1!$C45="","",Country_1!O45)</f>
        <v/>
      </c>
      <c r="P44" s="16" t="str">
        <f>IF(Country_1!$C45="","",Country_1!P45)</f>
        <v/>
      </c>
      <c r="Q44" s="16" t="str">
        <f>IF(Country_1!$C45="","",Country_1!Q45)</f>
        <v/>
      </c>
    </row>
    <row r="45" spans="1:17" x14ac:dyDescent="0.25">
      <c r="A45" s="16" t="str">
        <f>IF(Country_1!$C46="","",Country_1!A46)</f>
        <v/>
      </c>
      <c r="B45" s="16" t="str">
        <f>IF(Country_1!$C46="","",Country_1!B46)</f>
        <v/>
      </c>
      <c r="C45" s="16" t="str">
        <f>IF(Country_1!$C46="","",Country_1!C46)</f>
        <v/>
      </c>
      <c r="D45" s="16" t="str">
        <f>IF(Country_1!$C46="","",Country_1!D46)</f>
        <v/>
      </c>
      <c r="E45" s="16" t="str">
        <f>IF(Country_1!$C46="","",Country_1!E46)</f>
        <v/>
      </c>
      <c r="F45" s="16" t="str">
        <f>IF(Country_1!$C46="","",Country_1!F46)</f>
        <v/>
      </c>
      <c r="G45" s="17" t="str">
        <f>IF(Country_1!$C46="","",Country_1!G46)</f>
        <v/>
      </c>
      <c r="H45" s="17" t="str">
        <f>IF(Country_1!$C46="","",Country_1!H46)</f>
        <v/>
      </c>
      <c r="I45" s="16" t="str">
        <f>IF(Country_1!$C46="","",Country_1!I46)</f>
        <v/>
      </c>
      <c r="J45" s="16" t="str">
        <f>IF(Country_1!$C46="","",Country_1!J46)</f>
        <v/>
      </c>
      <c r="K45" s="18" t="str">
        <f>IF(Country_1!$C46="","",Country_1!K46)</f>
        <v/>
      </c>
      <c r="L45" s="18" t="str">
        <f>IF(Country_1!$C46="","",Country_1!L46)</f>
        <v/>
      </c>
      <c r="M45" s="19" t="str">
        <f>IF(Country_1!$C46="","",Country_1!M46)</f>
        <v/>
      </c>
      <c r="N45" s="16" t="str">
        <f>IF(Country_1!$C46="","",Country_1!N46)</f>
        <v/>
      </c>
      <c r="O45" s="16" t="str">
        <f>IF(Country_1!$C46="","",Country_1!O46)</f>
        <v/>
      </c>
      <c r="P45" s="16" t="str">
        <f>IF(Country_1!$C46="","",Country_1!P46)</f>
        <v/>
      </c>
      <c r="Q45" s="16" t="str">
        <f>IF(Country_1!$C46="","",Country_1!Q46)</f>
        <v/>
      </c>
    </row>
    <row r="46" spans="1:17" x14ac:dyDescent="0.25">
      <c r="A46" s="16" t="str">
        <f>IF(Country_1!$C47="","",Country_1!A47)</f>
        <v/>
      </c>
      <c r="B46" s="16" t="str">
        <f>IF(Country_1!$C47="","",Country_1!B47)</f>
        <v/>
      </c>
      <c r="C46" s="16" t="str">
        <f>IF(Country_1!$C47="","",Country_1!C47)</f>
        <v/>
      </c>
      <c r="D46" s="16" t="str">
        <f>IF(Country_1!$C47="","",Country_1!D47)</f>
        <v/>
      </c>
      <c r="E46" s="16" t="str">
        <f>IF(Country_1!$C47="","",Country_1!E47)</f>
        <v/>
      </c>
      <c r="F46" s="16" t="str">
        <f>IF(Country_1!$C47="","",Country_1!F47)</f>
        <v/>
      </c>
      <c r="G46" s="17" t="str">
        <f>IF(Country_1!$C47="","",Country_1!G47)</f>
        <v/>
      </c>
      <c r="H46" s="17" t="str">
        <f>IF(Country_1!$C47="","",Country_1!H47)</f>
        <v/>
      </c>
      <c r="I46" s="16" t="str">
        <f>IF(Country_1!$C47="","",Country_1!I47)</f>
        <v/>
      </c>
      <c r="J46" s="16" t="str">
        <f>IF(Country_1!$C47="","",Country_1!J47)</f>
        <v/>
      </c>
      <c r="K46" s="18" t="str">
        <f>IF(Country_1!$C47="","",Country_1!K47)</f>
        <v/>
      </c>
      <c r="L46" s="18" t="str">
        <f>IF(Country_1!$C47="","",Country_1!L47)</f>
        <v/>
      </c>
      <c r="M46" s="19" t="str">
        <f>IF(Country_1!$C47="","",Country_1!M47)</f>
        <v/>
      </c>
      <c r="N46" s="16" t="str">
        <f>IF(Country_1!$C47="","",Country_1!N47)</f>
        <v/>
      </c>
      <c r="O46" s="16" t="str">
        <f>IF(Country_1!$C47="","",Country_1!O47)</f>
        <v/>
      </c>
      <c r="P46" s="16" t="str">
        <f>IF(Country_1!$C47="","",Country_1!P47)</f>
        <v/>
      </c>
      <c r="Q46" s="16" t="str">
        <f>IF(Country_1!$C47="","",Country_1!Q47)</f>
        <v/>
      </c>
    </row>
    <row r="47" spans="1:17" x14ac:dyDescent="0.25">
      <c r="A47" s="16" t="str">
        <f>IF(Country_1!$C48="","",Country_1!A48)</f>
        <v/>
      </c>
      <c r="B47" s="16" t="str">
        <f>IF(Country_1!$C48="","",Country_1!B48)</f>
        <v/>
      </c>
      <c r="C47" s="16" t="str">
        <f>IF(Country_1!$C48="","",Country_1!C48)</f>
        <v/>
      </c>
      <c r="D47" s="16" t="str">
        <f>IF(Country_1!$C48="","",Country_1!D48)</f>
        <v/>
      </c>
      <c r="E47" s="16" t="str">
        <f>IF(Country_1!$C48="","",Country_1!E48)</f>
        <v/>
      </c>
      <c r="F47" s="16" t="str">
        <f>IF(Country_1!$C48="","",Country_1!F48)</f>
        <v/>
      </c>
      <c r="G47" s="17" t="str">
        <f>IF(Country_1!$C48="","",Country_1!G48)</f>
        <v/>
      </c>
      <c r="H47" s="17" t="str">
        <f>IF(Country_1!$C48="","",Country_1!H48)</f>
        <v/>
      </c>
      <c r="I47" s="16" t="str">
        <f>IF(Country_1!$C48="","",Country_1!I48)</f>
        <v/>
      </c>
      <c r="J47" s="16" t="str">
        <f>IF(Country_1!$C48="","",Country_1!J48)</f>
        <v/>
      </c>
      <c r="K47" s="18" t="str">
        <f>IF(Country_1!$C48="","",Country_1!K48)</f>
        <v/>
      </c>
      <c r="L47" s="18" t="str">
        <f>IF(Country_1!$C48="","",Country_1!L48)</f>
        <v/>
      </c>
      <c r="M47" s="19" t="str">
        <f>IF(Country_1!$C48="","",Country_1!M48)</f>
        <v/>
      </c>
      <c r="N47" s="16" t="str">
        <f>IF(Country_1!$C48="","",Country_1!N48)</f>
        <v/>
      </c>
      <c r="O47" s="16" t="str">
        <f>IF(Country_1!$C48="","",Country_1!O48)</f>
        <v/>
      </c>
      <c r="P47" s="16" t="str">
        <f>IF(Country_1!$C48="","",Country_1!P48)</f>
        <v/>
      </c>
      <c r="Q47" s="16" t="str">
        <f>IF(Country_1!$C48="","",Country_1!Q48)</f>
        <v/>
      </c>
    </row>
    <row r="48" spans="1:17" x14ac:dyDescent="0.25">
      <c r="A48" s="16" t="str">
        <f>IF(Country_1!$C49="","",Country_1!A49)</f>
        <v/>
      </c>
      <c r="B48" s="16" t="str">
        <f>IF(Country_1!$C49="","",Country_1!B49)</f>
        <v/>
      </c>
      <c r="C48" s="16" t="str">
        <f>IF(Country_1!$C49="","",Country_1!C49)</f>
        <v/>
      </c>
      <c r="D48" s="16" t="str">
        <f>IF(Country_1!$C49="","",Country_1!D49)</f>
        <v/>
      </c>
      <c r="E48" s="16" t="str">
        <f>IF(Country_1!$C49="","",Country_1!E49)</f>
        <v/>
      </c>
      <c r="F48" s="16" t="str">
        <f>IF(Country_1!$C49="","",Country_1!F49)</f>
        <v/>
      </c>
      <c r="G48" s="17" t="str">
        <f>IF(Country_1!$C49="","",Country_1!G49)</f>
        <v/>
      </c>
      <c r="H48" s="17" t="str">
        <f>IF(Country_1!$C49="","",Country_1!H49)</f>
        <v/>
      </c>
      <c r="I48" s="16" t="str">
        <f>IF(Country_1!$C49="","",Country_1!I49)</f>
        <v/>
      </c>
      <c r="J48" s="16" t="str">
        <f>IF(Country_1!$C49="","",Country_1!J49)</f>
        <v/>
      </c>
      <c r="K48" s="18" t="str">
        <f>IF(Country_1!$C49="","",Country_1!K49)</f>
        <v/>
      </c>
      <c r="L48" s="18" t="str">
        <f>IF(Country_1!$C49="","",Country_1!L49)</f>
        <v/>
      </c>
      <c r="M48" s="19" t="str">
        <f>IF(Country_1!$C49="","",Country_1!M49)</f>
        <v/>
      </c>
      <c r="N48" s="16" t="str">
        <f>IF(Country_1!$C49="","",Country_1!N49)</f>
        <v/>
      </c>
      <c r="O48" s="16" t="str">
        <f>IF(Country_1!$C49="","",Country_1!O49)</f>
        <v/>
      </c>
      <c r="P48" s="16" t="str">
        <f>IF(Country_1!$C49="","",Country_1!P49)</f>
        <v/>
      </c>
      <c r="Q48" s="16" t="str">
        <f>IF(Country_1!$C49="","",Country_1!Q49)</f>
        <v/>
      </c>
    </row>
    <row r="49" spans="1:17" x14ac:dyDescent="0.25">
      <c r="A49" s="16" t="str">
        <f>IF(Country_1!$C50="","",Country_1!A50)</f>
        <v/>
      </c>
      <c r="B49" s="16" t="str">
        <f>IF(Country_1!$C50="","",Country_1!B50)</f>
        <v/>
      </c>
      <c r="C49" s="16" t="str">
        <f>IF(Country_1!$C50="","",Country_1!C50)</f>
        <v/>
      </c>
      <c r="D49" s="16" t="str">
        <f>IF(Country_1!$C50="","",Country_1!D50)</f>
        <v/>
      </c>
      <c r="E49" s="16" t="str">
        <f>IF(Country_1!$C50="","",Country_1!E50)</f>
        <v/>
      </c>
      <c r="F49" s="16" t="str">
        <f>IF(Country_1!$C50="","",Country_1!F50)</f>
        <v/>
      </c>
      <c r="G49" s="17" t="str">
        <f>IF(Country_1!$C50="","",Country_1!G50)</f>
        <v/>
      </c>
      <c r="H49" s="17" t="str">
        <f>IF(Country_1!$C50="","",Country_1!H50)</f>
        <v/>
      </c>
      <c r="I49" s="16" t="str">
        <f>IF(Country_1!$C50="","",Country_1!I50)</f>
        <v/>
      </c>
      <c r="J49" s="16" t="str">
        <f>IF(Country_1!$C50="","",Country_1!J50)</f>
        <v/>
      </c>
      <c r="K49" s="18" t="str">
        <f>IF(Country_1!$C50="","",Country_1!K50)</f>
        <v/>
      </c>
      <c r="L49" s="18" t="str">
        <f>IF(Country_1!$C50="","",Country_1!L50)</f>
        <v/>
      </c>
      <c r="M49" s="19" t="str">
        <f>IF(Country_1!$C50="","",Country_1!M50)</f>
        <v/>
      </c>
      <c r="N49" s="16" t="str">
        <f>IF(Country_1!$C50="","",Country_1!N50)</f>
        <v/>
      </c>
      <c r="O49" s="16" t="str">
        <f>IF(Country_1!$C50="","",Country_1!O50)</f>
        <v/>
      </c>
      <c r="P49" s="16" t="str">
        <f>IF(Country_1!$C50="","",Country_1!P50)</f>
        <v/>
      </c>
      <c r="Q49" s="16" t="str">
        <f>IF(Country_1!$C50="","",Country_1!Q50)</f>
        <v/>
      </c>
    </row>
    <row r="50" spans="1:17" x14ac:dyDescent="0.25">
      <c r="A50" s="16" t="str">
        <f>IF(Country_1!$C51="","",Country_1!A51)</f>
        <v/>
      </c>
      <c r="B50" s="16" t="str">
        <f>IF(Country_1!$C51="","",Country_1!B51)</f>
        <v/>
      </c>
      <c r="C50" s="16" t="str">
        <f>IF(Country_1!$C51="","",Country_1!C51)</f>
        <v/>
      </c>
      <c r="D50" s="16" t="str">
        <f>IF(Country_1!$C51="","",Country_1!D51)</f>
        <v/>
      </c>
      <c r="E50" s="16" t="str">
        <f>IF(Country_1!$C51="","",Country_1!E51)</f>
        <v/>
      </c>
      <c r="F50" s="16" t="str">
        <f>IF(Country_1!$C51="","",Country_1!F51)</f>
        <v/>
      </c>
      <c r="G50" s="17" t="str">
        <f>IF(Country_1!$C51="","",Country_1!G51)</f>
        <v/>
      </c>
      <c r="H50" s="17" t="str">
        <f>IF(Country_1!$C51="","",Country_1!H51)</f>
        <v/>
      </c>
      <c r="I50" s="16" t="str">
        <f>IF(Country_1!$C51="","",Country_1!I51)</f>
        <v/>
      </c>
      <c r="J50" s="16" t="str">
        <f>IF(Country_1!$C51="","",Country_1!J51)</f>
        <v/>
      </c>
      <c r="K50" s="18" t="str">
        <f>IF(Country_1!$C51="","",Country_1!K51)</f>
        <v/>
      </c>
      <c r="L50" s="18" t="str">
        <f>IF(Country_1!$C51="","",Country_1!L51)</f>
        <v/>
      </c>
      <c r="M50" s="19" t="str">
        <f>IF(Country_1!$C51="","",Country_1!M51)</f>
        <v/>
      </c>
      <c r="N50" s="16" t="str">
        <f>IF(Country_1!$C51="","",Country_1!N51)</f>
        <v/>
      </c>
      <c r="O50" s="16" t="str">
        <f>IF(Country_1!$C51="","",Country_1!O51)</f>
        <v/>
      </c>
      <c r="P50" s="16" t="str">
        <f>IF(Country_1!$C51="","",Country_1!P51)</f>
        <v/>
      </c>
      <c r="Q50" s="16" t="str">
        <f>IF(Country_1!$C51="","",Country_1!Q51)</f>
        <v/>
      </c>
    </row>
    <row r="51" spans="1:17" x14ac:dyDescent="0.25">
      <c r="A51" s="16" t="str">
        <f>IF(Country_1!$C52="","",Country_1!A52)</f>
        <v/>
      </c>
      <c r="B51" s="16" t="str">
        <f>IF(Country_1!$C52="","",Country_1!B52)</f>
        <v/>
      </c>
      <c r="C51" s="16" t="str">
        <f>IF(Country_1!$C52="","",Country_1!C52)</f>
        <v/>
      </c>
      <c r="D51" s="16" t="str">
        <f>IF(Country_1!$C52="","",Country_1!D52)</f>
        <v/>
      </c>
      <c r="E51" s="16" t="str">
        <f>IF(Country_1!$C52="","",Country_1!E52)</f>
        <v/>
      </c>
      <c r="F51" s="16" t="str">
        <f>IF(Country_1!$C52="","",Country_1!F52)</f>
        <v/>
      </c>
      <c r="G51" s="17" t="str">
        <f>IF(Country_1!$C52="","",Country_1!G52)</f>
        <v/>
      </c>
      <c r="H51" s="17" t="str">
        <f>IF(Country_1!$C52="","",Country_1!H52)</f>
        <v/>
      </c>
      <c r="I51" s="16" t="str">
        <f>IF(Country_1!$C52="","",Country_1!I52)</f>
        <v/>
      </c>
      <c r="J51" s="16" t="str">
        <f>IF(Country_1!$C52="","",Country_1!J52)</f>
        <v/>
      </c>
      <c r="K51" s="18" t="str">
        <f>IF(Country_1!$C52="","",Country_1!K52)</f>
        <v/>
      </c>
      <c r="L51" s="18" t="str">
        <f>IF(Country_1!$C52="","",Country_1!L52)</f>
        <v/>
      </c>
      <c r="M51" s="19" t="str">
        <f>IF(Country_1!$C52="","",Country_1!M52)</f>
        <v/>
      </c>
      <c r="N51" s="16" t="str">
        <f>IF(Country_1!$C52="","",Country_1!N52)</f>
        <v/>
      </c>
      <c r="O51" s="16" t="str">
        <f>IF(Country_1!$C52="","",Country_1!O52)</f>
        <v/>
      </c>
      <c r="P51" s="16" t="str">
        <f>IF(Country_1!$C52="","",Country_1!P52)</f>
        <v/>
      </c>
      <c r="Q51" s="16" t="str">
        <f>IF(Country_1!$C52="","",Country_1!Q52)</f>
        <v/>
      </c>
    </row>
    <row r="52" spans="1:17" x14ac:dyDescent="0.25">
      <c r="A52" s="16" t="str">
        <f>IF(Country_1!$C53="","",Country_1!A53)</f>
        <v/>
      </c>
      <c r="B52" s="16" t="str">
        <f>IF(Country_1!$C53="","",Country_1!B53)</f>
        <v/>
      </c>
      <c r="C52" s="16" t="str">
        <f>IF(Country_1!$C53="","",Country_1!C53)</f>
        <v/>
      </c>
      <c r="D52" s="16" t="str">
        <f>IF(Country_1!$C53="","",Country_1!D53)</f>
        <v/>
      </c>
      <c r="E52" s="16" t="str">
        <f>IF(Country_1!$C53="","",Country_1!E53)</f>
        <v/>
      </c>
      <c r="F52" s="16" t="str">
        <f>IF(Country_1!$C53="","",Country_1!F53)</f>
        <v/>
      </c>
      <c r="G52" s="17" t="str">
        <f>IF(Country_1!$C53="","",Country_1!G53)</f>
        <v/>
      </c>
      <c r="H52" s="17" t="str">
        <f>IF(Country_1!$C53="","",Country_1!H53)</f>
        <v/>
      </c>
      <c r="I52" s="16" t="str">
        <f>IF(Country_1!$C53="","",Country_1!I53)</f>
        <v/>
      </c>
      <c r="J52" s="16" t="str">
        <f>IF(Country_1!$C53="","",Country_1!J53)</f>
        <v/>
      </c>
      <c r="K52" s="18" t="str">
        <f>IF(Country_1!$C53="","",Country_1!K53)</f>
        <v/>
      </c>
      <c r="L52" s="18" t="str">
        <f>IF(Country_1!$C53="","",Country_1!L53)</f>
        <v/>
      </c>
      <c r="M52" s="19" t="str">
        <f>IF(Country_1!$C53="","",Country_1!M53)</f>
        <v/>
      </c>
      <c r="N52" s="16" t="str">
        <f>IF(Country_1!$C53="","",Country_1!N53)</f>
        <v/>
      </c>
      <c r="O52" s="16" t="str">
        <f>IF(Country_1!$C53="","",Country_1!O53)</f>
        <v/>
      </c>
      <c r="P52" s="16" t="str">
        <f>IF(Country_1!$C53="","",Country_1!P53)</f>
        <v/>
      </c>
      <c r="Q52" s="16" t="str">
        <f>IF(Country_1!$C53="","",Country_1!Q53)</f>
        <v/>
      </c>
    </row>
    <row r="53" spans="1:17" x14ac:dyDescent="0.25">
      <c r="A53" s="16" t="str">
        <f>IF(Country_1!$C54="","",Country_1!A54)</f>
        <v/>
      </c>
      <c r="B53" s="16" t="str">
        <f>IF(Country_1!$C54="","",Country_1!B54)</f>
        <v/>
      </c>
      <c r="C53" s="16" t="str">
        <f>IF(Country_1!$C54="","",Country_1!C54)</f>
        <v/>
      </c>
      <c r="D53" s="16" t="str">
        <f>IF(Country_1!$C54="","",Country_1!D54)</f>
        <v/>
      </c>
      <c r="E53" s="16" t="str">
        <f>IF(Country_1!$C54="","",Country_1!E54)</f>
        <v/>
      </c>
      <c r="F53" s="16" t="str">
        <f>IF(Country_1!$C54="","",Country_1!F54)</f>
        <v/>
      </c>
      <c r="G53" s="17" t="str">
        <f>IF(Country_1!$C54="","",Country_1!G54)</f>
        <v/>
      </c>
      <c r="H53" s="17" t="str">
        <f>IF(Country_1!$C54="","",Country_1!H54)</f>
        <v/>
      </c>
      <c r="I53" s="16" t="str">
        <f>IF(Country_1!$C54="","",Country_1!I54)</f>
        <v/>
      </c>
      <c r="J53" s="16" t="str">
        <f>IF(Country_1!$C54="","",Country_1!J54)</f>
        <v/>
      </c>
      <c r="K53" s="18" t="str">
        <f>IF(Country_1!$C54="","",Country_1!K54)</f>
        <v/>
      </c>
      <c r="L53" s="18" t="str">
        <f>IF(Country_1!$C54="","",Country_1!L54)</f>
        <v/>
      </c>
      <c r="M53" s="19" t="str">
        <f>IF(Country_1!$C54="","",Country_1!M54)</f>
        <v/>
      </c>
      <c r="N53" s="16" t="str">
        <f>IF(Country_1!$C54="","",Country_1!N54)</f>
        <v/>
      </c>
      <c r="O53" s="16" t="str">
        <f>IF(Country_1!$C54="","",Country_1!O54)</f>
        <v/>
      </c>
      <c r="P53" s="16" t="str">
        <f>IF(Country_1!$C54="","",Country_1!P54)</f>
        <v/>
      </c>
      <c r="Q53" s="16" t="str">
        <f>IF(Country_1!$C54="","",Country_1!Q54)</f>
        <v/>
      </c>
    </row>
    <row r="54" spans="1:17" x14ac:dyDescent="0.25">
      <c r="A54" s="16" t="str">
        <f>IF(Country_1!$C55="","",Country_1!A55)</f>
        <v/>
      </c>
      <c r="B54" s="16" t="str">
        <f>IF(Country_1!$C55="","",Country_1!B55)</f>
        <v/>
      </c>
      <c r="C54" s="16" t="str">
        <f>IF(Country_1!$C55="","",Country_1!C55)</f>
        <v/>
      </c>
      <c r="D54" s="16" t="str">
        <f>IF(Country_1!$C55="","",Country_1!D55)</f>
        <v/>
      </c>
      <c r="E54" s="16" t="str">
        <f>IF(Country_1!$C55="","",Country_1!E55)</f>
        <v/>
      </c>
      <c r="F54" s="16" t="str">
        <f>IF(Country_1!$C55="","",Country_1!F55)</f>
        <v/>
      </c>
      <c r="G54" s="17" t="str">
        <f>IF(Country_1!$C55="","",Country_1!G55)</f>
        <v/>
      </c>
      <c r="H54" s="17" t="str">
        <f>IF(Country_1!$C55="","",Country_1!H55)</f>
        <v/>
      </c>
      <c r="I54" s="16" t="str">
        <f>IF(Country_1!$C55="","",Country_1!I55)</f>
        <v/>
      </c>
      <c r="J54" s="16" t="str">
        <f>IF(Country_1!$C55="","",Country_1!J55)</f>
        <v/>
      </c>
      <c r="K54" s="18" t="str">
        <f>IF(Country_1!$C55="","",Country_1!K55)</f>
        <v/>
      </c>
      <c r="L54" s="18" t="str">
        <f>IF(Country_1!$C55="","",Country_1!L55)</f>
        <v/>
      </c>
      <c r="M54" s="19" t="str">
        <f>IF(Country_1!$C55="","",Country_1!M55)</f>
        <v/>
      </c>
      <c r="N54" s="16" t="str">
        <f>IF(Country_1!$C55="","",Country_1!N55)</f>
        <v/>
      </c>
      <c r="O54" s="16" t="str">
        <f>IF(Country_1!$C55="","",Country_1!O55)</f>
        <v/>
      </c>
      <c r="P54" s="16" t="str">
        <f>IF(Country_1!$C55="","",Country_1!P55)</f>
        <v/>
      </c>
      <c r="Q54" s="16" t="str">
        <f>IF(Country_1!$C55="","",Country_1!Q55)</f>
        <v/>
      </c>
    </row>
    <row r="55" spans="1:17" x14ac:dyDescent="0.25">
      <c r="A55" s="16" t="str">
        <f>IF(Country_1!$C56="","",Country_1!A56)</f>
        <v/>
      </c>
      <c r="B55" s="16" t="str">
        <f>IF(Country_1!$C56="","",Country_1!B56)</f>
        <v/>
      </c>
      <c r="C55" s="16" t="str">
        <f>IF(Country_1!$C56="","",Country_1!C56)</f>
        <v/>
      </c>
      <c r="D55" s="16" t="str">
        <f>IF(Country_1!$C56="","",Country_1!D56)</f>
        <v/>
      </c>
      <c r="E55" s="16" t="str">
        <f>IF(Country_1!$C56="","",Country_1!E56)</f>
        <v/>
      </c>
      <c r="F55" s="16" t="str">
        <f>IF(Country_1!$C56="","",Country_1!F56)</f>
        <v/>
      </c>
      <c r="G55" s="17" t="str">
        <f>IF(Country_1!$C56="","",Country_1!G56)</f>
        <v/>
      </c>
      <c r="H55" s="17" t="str">
        <f>IF(Country_1!$C56="","",Country_1!H56)</f>
        <v/>
      </c>
      <c r="I55" s="16" t="str">
        <f>IF(Country_1!$C56="","",Country_1!I56)</f>
        <v/>
      </c>
      <c r="J55" s="16" t="str">
        <f>IF(Country_1!$C56="","",Country_1!J56)</f>
        <v/>
      </c>
      <c r="K55" s="18" t="str">
        <f>IF(Country_1!$C56="","",Country_1!K56)</f>
        <v/>
      </c>
      <c r="L55" s="18" t="str">
        <f>IF(Country_1!$C56="","",Country_1!L56)</f>
        <v/>
      </c>
      <c r="M55" s="19" t="str">
        <f>IF(Country_1!$C56="","",Country_1!M56)</f>
        <v/>
      </c>
      <c r="N55" s="16" t="str">
        <f>IF(Country_1!$C56="","",Country_1!N56)</f>
        <v/>
      </c>
      <c r="O55" s="16" t="str">
        <f>IF(Country_1!$C56="","",Country_1!O56)</f>
        <v/>
      </c>
      <c r="P55" s="16" t="str">
        <f>IF(Country_1!$C56="","",Country_1!P56)</f>
        <v/>
      </c>
      <c r="Q55" s="16" t="str">
        <f>IF(Country_1!$C56="","",Country_1!Q56)</f>
        <v/>
      </c>
    </row>
    <row r="56" spans="1:17" x14ac:dyDescent="0.25">
      <c r="A56" s="16" t="str">
        <f>IF(Country_1!$C57="","",Country_1!A57)</f>
        <v/>
      </c>
      <c r="B56" s="16" t="str">
        <f>IF(Country_1!$C57="","",Country_1!B57)</f>
        <v/>
      </c>
      <c r="C56" s="16" t="str">
        <f>IF(Country_1!$C57="","",Country_1!C57)</f>
        <v/>
      </c>
      <c r="D56" s="16" t="str">
        <f>IF(Country_1!$C57="","",Country_1!D57)</f>
        <v/>
      </c>
      <c r="E56" s="16" t="str">
        <f>IF(Country_1!$C57="","",Country_1!E57)</f>
        <v/>
      </c>
      <c r="F56" s="16" t="str">
        <f>IF(Country_1!$C57="","",Country_1!F57)</f>
        <v/>
      </c>
      <c r="G56" s="17" t="str">
        <f>IF(Country_1!$C57="","",Country_1!G57)</f>
        <v/>
      </c>
      <c r="H56" s="17" t="str">
        <f>IF(Country_1!$C57="","",Country_1!H57)</f>
        <v/>
      </c>
      <c r="I56" s="16" t="str">
        <f>IF(Country_1!$C57="","",Country_1!I57)</f>
        <v/>
      </c>
      <c r="J56" s="16" t="str">
        <f>IF(Country_1!$C57="","",Country_1!J57)</f>
        <v/>
      </c>
      <c r="K56" s="18" t="str">
        <f>IF(Country_1!$C57="","",Country_1!K57)</f>
        <v/>
      </c>
      <c r="L56" s="18" t="str">
        <f>IF(Country_1!$C57="","",Country_1!L57)</f>
        <v/>
      </c>
      <c r="M56" s="19" t="str">
        <f>IF(Country_1!$C57="","",Country_1!M57)</f>
        <v/>
      </c>
      <c r="N56" s="16" t="str">
        <f>IF(Country_1!$C57="","",Country_1!N57)</f>
        <v/>
      </c>
      <c r="O56" s="16" t="str">
        <f>IF(Country_1!$C57="","",Country_1!O57)</f>
        <v/>
      </c>
      <c r="P56" s="16" t="str">
        <f>IF(Country_1!$C57="","",Country_1!P57)</f>
        <v/>
      </c>
      <c r="Q56" s="16" t="str">
        <f>IF(Country_1!$C57="","",Country_1!Q57)</f>
        <v/>
      </c>
    </row>
    <row r="57" spans="1:17" x14ac:dyDescent="0.25">
      <c r="A57" s="16" t="str">
        <f>IF(Country_1!$C58="","",Country_1!A58)</f>
        <v/>
      </c>
      <c r="B57" s="16" t="str">
        <f>IF(Country_1!$C58="","",Country_1!B58)</f>
        <v/>
      </c>
      <c r="C57" s="16" t="str">
        <f>IF(Country_1!$C58="","",Country_1!C58)</f>
        <v/>
      </c>
      <c r="D57" s="16" t="str">
        <f>IF(Country_1!$C58="","",Country_1!D58)</f>
        <v/>
      </c>
      <c r="E57" s="16" t="str">
        <f>IF(Country_1!$C58="","",Country_1!E58)</f>
        <v/>
      </c>
      <c r="F57" s="16" t="str">
        <f>IF(Country_1!$C58="","",Country_1!F58)</f>
        <v/>
      </c>
      <c r="G57" s="17" t="str">
        <f>IF(Country_1!$C58="","",Country_1!G58)</f>
        <v/>
      </c>
      <c r="H57" s="17" t="str">
        <f>IF(Country_1!$C58="","",Country_1!H58)</f>
        <v/>
      </c>
      <c r="I57" s="16" t="str">
        <f>IF(Country_1!$C58="","",Country_1!I58)</f>
        <v/>
      </c>
      <c r="J57" s="16" t="str">
        <f>IF(Country_1!$C58="","",Country_1!J58)</f>
        <v/>
      </c>
      <c r="K57" s="18" t="str">
        <f>IF(Country_1!$C58="","",Country_1!K58)</f>
        <v/>
      </c>
      <c r="L57" s="18" t="str">
        <f>IF(Country_1!$C58="","",Country_1!L58)</f>
        <v/>
      </c>
      <c r="M57" s="19" t="str">
        <f>IF(Country_1!$C58="","",Country_1!M58)</f>
        <v/>
      </c>
      <c r="N57" s="16" t="str">
        <f>IF(Country_1!$C58="","",Country_1!N58)</f>
        <v/>
      </c>
      <c r="O57" s="16" t="str">
        <f>IF(Country_1!$C58="","",Country_1!O58)</f>
        <v/>
      </c>
      <c r="P57" s="16" t="str">
        <f>IF(Country_1!$C58="","",Country_1!P58)</f>
        <v/>
      </c>
      <c r="Q57" s="16" t="str">
        <f>IF(Country_1!$C58="","",Country_1!Q58)</f>
        <v/>
      </c>
    </row>
    <row r="58" spans="1:17" x14ac:dyDescent="0.25">
      <c r="A58" s="16" t="str">
        <f>IF(Country_1!$C59="","",Country_1!A59)</f>
        <v/>
      </c>
      <c r="B58" s="16" t="str">
        <f>IF(Country_1!$C59="","",Country_1!B59)</f>
        <v/>
      </c>
      <c r="C58" s="16" t="str">
        <f>IF(Country_1!$C59="","",Country_1!C59)</f>
        <v/>
      </c>
      <c r="D58" s="16" t="str">
        <f>IF(Country_1!$C59="","",Country_1!D59)</f>
        <v/>
      </c>
      <c r="E58" s="16" t="str">
        <f>IF(Country_1!$C59="","",Country_1!E59)</f>
        <v/>
      </c>
      <c r="F58" s="16" t="str">
        <f>IF(Country_1!$C59="","",Country_1!F59)</f>
        <v/>
      </c>
      <c r="G58" s="17" t="str">
        <f>IF(Country_1!$C59="","",Country_1!G59)</f>
        <v/>
      </c>
      <c r="H58" s="17" t="str">
        <f>IF(Country_1!$C59="","",Country_1!H59)</f>
        <v/>
      </c>
      <c r="I58" s="16" t="str">
        <f>IF(Country_1!$C59="","",Country_1!I59)</f>
        <v/>
      </c>
      <c r="J58" s="16" t="str">
        <f>IF(Country_1!$C59="","",Country_1!J59)</f>
        <v/>
      </c>
      <c r="K58" s="18" t="str">
        <f>IF(Country_1!$C59="","",Country_1!K59)</f>
        <v/>
      </c>
      <c r="L58" s="18" t="str">
        <f>IF(Country_1!$C59="","",Country_1!L59)</f>
        <v/>
      </c>
      <c r="M58" s="19" t="str">
        <f>IF(Country_1!$C59="","",Country_1!M59)</f>
        <v/>
      </c>
      <c r="N58" s="16" t="str">
        <f>IF(Country_1!$C59="","",Country_1!N59)</f>
        <v/>
      </c>
      <c r="O58" s="16" t="str">
        <f>IF(Country_1!$C59="","",Country_1!O59)</f>
        <v/>
      </c>
      <c r="P58" s="16" t="str">
        <f>IF(Country_1!$C59="","",Country_1!P59)</f>
        <v/>
      </c>
      <c r="Q58" s="16" t="str">
        <f>IF(Country_1!$C59="","",Country_1!Q59)</f>
        <v/>
      </c>
    </row>
    <row r="59" spans="1:17" x14ac:dyDescent="0.25">
      <c r="A59" s="16" t="str">
        <f>IF(Country_1!$C60="","",Country_1!A60)</f>
        <v/>
      </c>
      <c r="B59" s="16" t="str">
        <f>IF(Country_1!$C60="","",Country_1!B60)</f>
        <v/>
      </c>
      <c r="C59" s="16" t="str">
        <f>IF(Country_1!$C60="","",Country_1!C60)</f>
        <v/>
      </c>
      <c r="D59" s="16" t="str">
        <f>IF(Country_1!$C60="","",Country_1!D60)</f>
        <v/>
      </c>
      <c r="E59" s="16" t="str">
        <f>IF(Country_1!$C60="","",Country_1!E60)</f>
        <v/>
      </c>
      <c r="F59" s="16" t="str">
        <f>IF(Country_1!$C60="","",Country_1!F60)</f>
        <v/>
      </c>
      <c r="G59" s="17" t="str">
        <f>IF(Country_1!$C60="","",Country_1!G60)</f>
        <v/>
      </c>
      <c r="H59" s="17" t="str">
        <f>IF(Country_1!$C60="","",Country_1!H60)</f>
        <v/>
      </c>
      <c r="I59" s="16" t="str">
        <f>IF(Country_1!$C60="","",Country_1!I60)</f>
        <v/>
      </c>
      <c r="J59" s="16" t="str">
        <f>IF(Country_1!$C60="","",Country_1!J60)</f>
        <v/>
      </c>
      <c r="K59" s="18" t="str">
        <f>IF(Country_1!$C60="","",Country_1!K60)</f>
        <v/>
      </c>
      <c r="L59" s="18" t="str">
        <f>IF(Country_1!$C60="","",Country_1!L60)</f>
        <v/>
      </c>
      <c r="M59" s="19" t="str">
        <f>IF(Country_1!$C60="","",Country_1!M60)</f>
        <v/>
      </c>
      <c r="N59" s="16" t="str">
        <f>IF(Country_1!$C60="","",Country_1!N60)</f>
        <v/>
      </c>
      <c r="O59" s="16" t="str">
        <f>IF(Country_1!$C60="","",Country_1!O60)</f>
        <v/>
      </c>
      <c r="P59" s="16" t="str">
        <f>IF(Country_1!$C60="","",Country_1!P60)</f>
        <v/>
      </c>
      <c r="Q59" s="16" t="str">
        <f>IF(Country_1!$C60="","",Country_1!Q60)</f>
        <v/>
      </c>
    </row>
    <row r="60" spans="1:17" x14ac:dyDescent="0.25">
      <c r="A60" s="16" t="str">
        <f>IF(Country_1!$C61="","",Country_1!A61)</f>
        <v/>
      </c>
      <c r="B60" s="16" t="str">
        <f>IF(Country_1!$C61="","",Country_1!B61)</f>
        <v/>
      </c>
      <c r="C60" s="16" t="str">
        <f>IF(Country_1!$C61="","",Country_1!C61)</f>
        <v/>
      </c>
      <c r="D60" s="16" t="str">
        <f>IF(Country_1!$C61="","",Country_1!D61)</f>
        <v/>
      </c>
      <c r="E60" s="16" t="str">
        <f>IF(Country_1!$C61="","",Country_1!E61)</f>
        <v/>
      </c>
      <c r="F60" s="16" t="str">
        <f>IF(Country_1!$C61="","",Country_1!F61)</f>
        <v/>
      </c>
      <c r="G60" s="17" t="str">
        <f>IF(Country_1!$C61="","",Country_1!G61)</f>
        <v/>
      </c>
      <c r="H60" s="17" t="str">
        <f>IF(Country_1!$C61="","",Country_1!H61)</f>
        <v/>
      </c>
      <c r="I60" s="16" t="str">
        <f>IF(Country_1!$C61="","",Country_1!I61)</f>
        <v/>
      </c>
      <c r="J60" s="16" t="str">
        <f>IF(Country_1!$C61="","",Country_1!J61)</f>
        <v/>
      </c>
      <c r="K60" s="18" t="str">
        <f>IF(Country_1!$C61="","",Country_1!K61)</f>
        <v/>
      </c>
      <c r="L60" s="18" t="str">
        <f>IF(Country_1!$C61="","",Country_1!L61)</f>
        <v/>
      </c>
      <c r="M60" s="19" t="str">
        <f>IF(Country_1!$C61="","",Country_1!M61)</f>
        <v/>
      </c>
      <c r="N60" s="16" t="str">
        <f>IF(Country_1!$C61="","",Country_1!N61)</f>
        <v/>
      </c>
      <c r="O60" s="16" t="str">
        <f>IF(Country_1!$C61="","",Country_1!O61)</f>
        <v/>
      </c>
      <c r="P60" s="16" t="str">
        <f>IF(Country_1!$C61="","",Country_1!P61)</f>
        <v/>
      </c>
      <c r="Q60" s="16" t="str">
        <f>IF(Country_1!$C61="","",Country_1!Q61)</f>
        <v/>
      </c>
    </row>
    <row r="61" spans="1:17" x14ac:dyDescent="0.25">
      <c r="A61" s="16" t="str">
        <f>IF(Country_1!$C62="","",Country_1!A62)</f>
        <v/>
      </c>
      <c r="B61" s="16" t="str">
        <f>IF(Country_1!$C62="","",Country_1!B62)</f>
        <v/>
      </c>
      <c r="C61" s="16" t="str">
        <f>IF(Country_1!$C62="","",Country_1!C62)</f>
        <v/>
      </c>
      <c r="D61" s="16" t="str">
        <f>IF(Country_1!$C62="","",Country_1!D62)</f>
        <v/>
      </c>
      <c r="E61" s="16" t="str">
        <f>IF(Country_1!$C62="","",Country_1!E62)</f>
        <v/>
      </c>
      <c r="F61" s="16" t="str">
        <f>IF(Country_1!$C62="","",Country_1!F62)</f>
        <v/>
      </c>
      <c r="G61" s="17" t="str">
        <f>IF(Country_1!$C62="","",Country_1!G62)</f>
        <v/>
      </c>
      <c r="H61" s="17" t="str">
        <f>IF(Country_1!$C62="","",Country_1!H62)</f>
        <v/>
      </c>
      <c r="I61" s="16" t="str">
        <f>IF(Country_1!$C62="","",Country_1!I62)</f>
        <v/>
      </c>
      <c r="J61" s="16" t="str">
        <f>IF(Country_1!$C62="","",Country_1!J62)</f>
        <v/>
      </c>
      <c r="K61" s="18" t="str">
        <f>IF(Country_1!$C62="","",Country_1!K62)</f>
        <v/>
      </c>
      <c r="L61" s="18" t="str">
        <f>IF(Country_1!$C62="","",Country_1!L62)</f>
        <v/>
      </c>
      <c r="M61" s="19" t="str">
        <f>IF(Country_1!$C62="","",Country_1!M62)</f>
        <v/>
      </c>
      <c r="N61" s="16" t="str">
        <f>IF(Country_1!$C62="","",Country_1!N62)</f>
        <v/>
      </c>
      <c r="O61" s="16" t="str">
        <f>IF(Country_1!$C62="","",Country_1!O62)</f>
        <v/>
      </c>
      <c r="P61" s="16" t="str">
        <f>IF(Country_1!$C62="","",Country_1!P62)</f>
        <v/>
      </c>
      <c r="Q61" s="16" t="str">
        <f>IF(Country_1!$C62="","",Country_1!Q62)</f>
        <v/>
      </c>
    </row>
    <row r="62" spans="1:17" x14ac:dyDescent="0.25">
      <c r="A62" s="16" t="str">
        <f>IF(Country_1!$C63="","",Country_1!A63)</f>
        <v/>
      </c>
      <c r="B62" s="16" t="str">
        <f>IF(Country_1!$C63="","",Country_1!B63)</f>
        <v/>
      </c>
      <c r="C62" s="16" t="str">
        <f>IF(Country_1!$C63="","",Country_1!C63)</f>
        <v/>
      </c>
      <c r="D62" s="16" t="str">
        <f>IF(Country_1!$C63="","",Country_1!D63)</f>
        <v/>
      </c>
      <c r="E62" s="16" t="str">
        <f>IF(Country_1!$C63="","",Country_1!E63)</f>
        <v/>
      </c>
      <c r="F62" s="16" t="str">
        <f>IF(Country_1!$C63="","",Country_1!F63)</f>
        <v/>
      </c>
      <c r="G62" s="17" t="str">
        <f>IF(Country_1!$C63="","",Country_1!G63)</f>
        <v/>
      </c>
      <c r="H62" s="17" t="str">
        <f>IF(Country_1!$C63="","",Country_1!H63)</f>
        <v/>
      </c>
      <c r="I62" s="16" t="str">
        <f>IF(Country_1!$C63="","",Country_1!I63)</f>
        <v/>
      </c>
      <c r="J62" s="16" t="str">
        <f>IF(Country_1!$C63="","",Country_1!J63)</f>
        <v/>
      </c>
      <c r="K62" s="18" t="str">
        <f>IF(Country_1!$C63="","",Country_1!K63)</f>
        <v/>
      </c>
      <c r="L62" s="18" t="str">
        <f>IF(Country_1!$C63="","",Country_1!L63)</f>
        <v/>
      </c>
      <c r="M62" s="19" t="str">
        <f>IF(Country_1!$C63="","",Country_1!M63)</f>
        <v/>
      </c>
      <c r="N62" s="16" t="str">
        <f>IF(Country_1!$C63="","",Country_1!N63)</f>
        <v/>
      </c>
      <c r="O62" s="16" t="str">
        <f>IF(Country_1!$C63="","",Country_1!O63)</f>
        <v/>
      </c>
      <c r="P62" s="16" t="str">
        <f>IF(Country_1!$C63="","",Country_1!P63)</f>
        <v/>
      </c>
      <c r="Q62" s="16" t="str">
        <f>IF(Country_1!$C63="","",Country_1!Q63)</f>
        <v/>
      </c>
    </row>
    <row r="63" spans="1:17" x14ac:dyDescent="0.25">
      <c r="A63" s="16" t="str">
        <f>IF(Country_1!$C64="","",Country_1!A64)</f>
        <v/>
      </c>
      <c r="B63" s="16" t="str">
        <f>IF(Country_1!$C64="","",Country_1!B64)</f>
        <v/>
      </c>
      <c r="C63" s="16" t="str">
        <f>IF(Country_1!$C64="","",Country_1!C64)</f>
        <v/>
      </c>
      <c r="D63" s="16" t="str">
        <f>IF(Country_1!$C64="","",Country_1!D64)</f>
        <v/>
      </c>
      <c r="E63" s="16" t="str">
        <f>IF(Country_1!$C64="","",Country_1!E64)</f>
        <v/>
      </c>
      <c r="F63" s="16" t="str">
        <f>IF(Country_1!$C64="","",Country_1!F64)</f>
        <v/>
      </c>
      <c r="G63" s="17" t="str">
        <f>IF(Country_1!$C64="","",Country_1!G64)</f>
        <v/>
      </c>
      <c r="H63" s="17" t="str">
        <f>IF(Country_1!$C64="","",Country_1!H64)</f>
        <v/>
      </c>
      <c r="I63" s="16" t="str">
        <f>IF(Country_1!$C64="","",Country_1!I64)</f>
        <v/>
      </c>
      <c r="J63" s="16" t="str">
        <f>IF(Country_1!$C64="","",Country_1!J64)</f>
        <v/>
      </c>
      <c r="K63" s="18" t="str">
        <f>IF(Country_1!$C64="","",Country_1!K64)</f>
        <v/>
      </c>
      <c r="L63" s="18" t="str">
        <f>IF(Country_1!$C64="","",Country_1!L64)</f>
        <v/>
      </c>
      <c r="M63" s="19" t="str">
        <f>IF(Country_1!$C64="","",Country_1!M64)</f>
        <v/>
      </c>
      <c r="N63" s="16" t="str">
        <f>IF(Country_1!$C64="","",Country_1!N64)</f>
        <v/>
      </c>
      <c r="O63" s="16" t="str">
        <f>IF(Country_1!$C64="","",Country_1!O64)</f>
        <v/>
      </c>
      <c r="P63" s="16" t="str">
        <f>IF(Country_1!$C64="","",Country_1!P64)</f>
        <v/>
      </c>
      <c r="Q63" s="16" t="str">
        <f>IF(Country_1!$C64="","",Country_1!Q64)</f>
        <v/>
      </c>
    </row>
    <row r="64" spans="1:17" x14ac:dyDescent="0.25">
      <c r="A64" s="16" t="str">
        <f>IF(Country_1!$C65="","",Country_1!A65)</f>
        <v/>
      </c>
      <c r="B64" s="16" t="str">
        <f>IF(Country_1!$C65="","",Country_1!B65)</f>
        <v/>
      </c>
      <c r="C64" s="16" t="str">
        <f>IF(Country_1!$C65="","",Country_1!C65)</f>
        <v/>
      </c>
      <c r="D64" s="16" t="str">
        <f>IF(Country_1!$C65="","",Country_1!D65)</f>
        <v/>
      </c>
      <c r="E64" s="16" t="str">
        <f>IF(Country_1!$C65="","",Country_1!E65)</f>
        <v/>
      </c>
      <c r="F64" s="16" t="str">
        <f>IF(Country_1!$C65="","",Country_1!F65)</f>
        <v/>
      </c>
      <c r="G64" s="17" t="str">
        <f>IF(Country_1!$C65="","",Country_1!G65)</f>
        <v/>
      </c>
      <c r="H64" s="17" t="str">
        <f>IF(Country_1!$C65="","",Country_1!H65)</f>
        <v/>
      </c>
      <c r="I64" s="16" t="str">
        <f>IF(Country_1!$C65="","",Country_1!I65)</f>
        <v/>
      </c>
      <c r="J64" s="16" t="str">
        <f>IF(Country_1!$C65="","",Country_1!J65)</f>
        <v/>
      </c>
      <c r="K64" s="18" t="str">
        <f>IF(Country_1!$C65="","",Country_1!K65)</f>
        <v/>
      </c>
      <c r="L64" s="18" t="str">
        <f>IF(Country_1!$C65="","",Country_1!L65)</f>
        <v/>
      </c>
      <c r="M64" s="19" t="str">
        <f>IF(Country_1!$C65="","",Country_1!M65)</f>
        <v/>
      </c>
      <c r="N64" s="16" t="str">
        <f>IF(Country_1!$C65="","",Country_1!N65)</f>
        <v/>
      </c>
      <c r="O64" s="16" t="str">
        <f>IF(Country_1!$C65="","",Country_1!O65)</f>
        <v/>
      </c>
      <c r="P64" s="16" t="str">
        <f>IF(Country_1!$C65="","",Country_1!P65)</f>
        <v/>
      </c>
      <c r="Q64" s="16" t="str">
        <f>IF(Country_1!$C65="","",Country_1!Q65)</f>
        <v/>
      </c>
    </row>
    <row r="65" spans="1:17" x14ac:dyDescent="0.25">
      <c r="A65" s="16" t="str">
        <f>IF(Country_1!$C66="","",Country_1!A66)</f>
        <v/>
      </c>
      <c r="B65" s="16" t="str">
        <f>IF(Country_1!$C66="","",Country_1!B66)</f>
        <v/>
      </c>
      <c r="C65" s="16" t="str">
        <f>IF(Country_1!$C66="","",Country_1!C66)</f>
        <v/>
      </c>
      <c r="D65" s="16" t="str">
        <f>IF(Country_1!$C66="","",Country_1!D66)</f>
        <v/>
      </c>
      <c r="E65" s="16" t="str">
        <f>IF(Country_1!$C66="","",Country_1!E66)</f>
        <v/>
      </c>
      <c r="F65" s="16" t="str">
        <f>IF(Country_1!$C66="","",Country_1!F66)</f>
        <v/>
      </c>
      <c r="G65" s="17" t="str">
        <f>IF(Country_1!$C66="","",Country_1!G66)</f>
        <v/>
      </c>
      <c r="H65" s="17" t="str">
        <f>IF(Country_1!$C66="","",Country_1!H66)</f>
        <v/>
      </c>
      <c r="I65" s="16" t="str">
        <f>IF(Country_1!$C66="","",Country_1!I66)</f>
        <v/>
      </c>
      <c r="J65" s="16" t="str">
        <f>IF(Country_1!$C66="","",Country_1!J66)</f>
        <v/>
      </c>
      <c r="K65" s="18" t="str">
        <f>IF(Country_1!$C66="","",Country_1!K66)</f>
        <v/>
      </c>
      <c r="L65" s="18" t="str">
        <f>IF(Country_1!$C66="","",Country_1!L66)</f>
        <v/>
      </c>
      <c r="M65" s="19" t="str">
        <f>IF(Country_1!$C66="","",Country_1!M66)</f>
        <v/>
      </c>
      <c r="N65" s="16" t="str">
        <f>IF(Country_1!$C66="","",Country_1!N66)</f>
        <v/>
      </c>
      <c r="O65" s="16" t="str">
        <f>IF(Country_1!$C66="","",Country_1!O66)</f>
        <v/>
      </c>
      <c r="P65" s="16" t="str">
        <f>IF(Country_1!$C66="","",Country_1!P66)</f>
        <v/>
      </c>
      <c r="Q65" s="16" t="str">
        <f>IF(Country_1!$C66="","",Country_1!Q66)</f>
        <v/>
      </c>
    </row>
    <row r="66" spans="1:17" x14ac:dyDescent="0.25">
      <c r="A66" s="16" t="str">
        <f>IF(Country_1!$C67="","",Country_1!A67)</f>
        <v/>
      </c>
      <c r="B66" s="16" t="str">
        <f>IF(Country_1!$C67="","",Country_1!B67)</f>
        <v/>
      </c>
      <c r="C66" s="16" t="str">
        <f>IF(Country_1!$C67="","",Country_1!C67)</f>
        <v/>
      </c>
      <c r="D66" s="16" t="str">
        <f>IF(Country_1!$C67="","",Country_1!D67)</f>
        <v/>
      </c>
      <c r="E66" s="16" t="str">
        <f>IF(Country_1!$C67="","",Country_1!E67)</f>
        <v/>
      </c>
      <c r="F66" s="16" t="str">
        <f>IF(Country_1!$C67="","",Country_1!F67)</f>
        <v/>
      </c>
      <c r="G66" s="17" t="str">
        <f>IF(Country_1!$C67="","",Country_1!G67)</f>
        <v/>
      </c>
      <c r="H66" s="17" t="str">
        <f>IF(Country_1!$C67="","",Country_1!H67)</f>
        <v/>
      </c>
      <c r="I66" s="16" t="str">
        <f>IF(Country_1!$C67="","",Country_1!I67)</f>
        <v/>
      </c>
      <c r="J66" s="16" t="str">
        <f>IF(Country_1!$C67="","",Country_1!J67)</f>
        <v/>
      </c>
      <c r="K66" s="18" t="str">
        <f>IF(Country_1!$C67="","",Country_1!K67)</f>
        <v/>
      </c>
      <c r="L66" s="18" t="str">
        <f>IF(Country_1!$C67="","",Country_1!L67)</f>
        <v/>
      </c>
      <c r="M66" s="19" t="str">
        <f>IF(Country_1!$C67="","",Country_1!M67)</f>
        <v/>
      </c>
      <c r="N66" s="16" t="str">
        <f>IF(Country_1!$C67="","",Country_1!N67)</f>
        <v/>
      </c>
      <c r="O66" s="16" t="str">
        <f>IF(Country_1!$C67="","",Country_1!O67)</f>
        <v/>
      </c>
      <c r="P66" s="16" t="str">
        <f>IF(Country_1!$C67="","",Country_1!P67)</f>
        <v/>
      </c>
      <c r="Q66" s="16" t="str">
        <f>IF(Country_1!$C67="","",Country_1!Q67)</f>
        <v/>
      </c>
    </row>
    <row r="67" spans="1:17" x14ac:dyDescent="0.25">
      <c r="A67" s="16" t="str">
        <f>IF(Country_1!$C68="","",Country_1!A68)</f>
        <v/>
      </c>
      <c r="B67" s="16" t="str">
        <f>IF(Country_1!$C68="","",Country_1!B68)</f>
        <v/>
      </c>
      <c r="C67" s="16" t="str">
        <f>IF(Country_1!$C68="","",Country_1!C68)</f>
        <v/>
      </c>
      <c r="D67" s="16" t="str">
        <f>IF(Country_1!$C68="","",Country_1!D68)</f>
        <v/>
      </c>
      <c r="E67" s="16" t="str">
        <f>IF(Country_1!$C68="","",Country_1!E68)</f>
        <v/>
      </c>
      <c r="F67" s="16" t="str">
        <f>IF(Country_1!$C68="","",Country_1!F68)</f>
        <v/>
      </c>
      <c r="G67" s="17" t="str">
        <f>IF(Country_1!$C68="","",Country_1!G68)</f>
        <v/>
      </c>
      <c r="H67" s="17" t="str">
        <f>IF(Country_1!$C68="","",Country_1!H68)</f>
        <v/>
      </c>
      <c r="I67" s="16" t="str">
        <f>IF(Country_1!$C68="","",Country_1!I68)</f>
        <v/>
      </c>
      <c r="J67" s="16" t="str">
        <f>IF(Country_1!$C68="","",Country_1!J68)</f>
        <v/>
      </c>
      <c r="K67" s="18" t="str">
        <f>IF(Country_1!$C68="","",Country_1!K68)</f>
        <v/>
      </c>
      <c r="L67" s="18" t="str">
        <f>IF(Country_1!$C68="","",Country_1!L68)</f>
        <v/>
      </c>
      <c r="M67" s="19" t="str">
        <f>IF(Country_1!$C68="","",Country_1!M68)</f>
        <v/>
      </c>
      <c r="N67" s="16" t="str">
        <f>IF(Country_1!$C68="","",Country_1!N68)</f>
        <v/>
      </c>
      <c r="O67" s="16" t="str">
        <f>IF(Country_1!$C68="","",Country_1!O68)</f>
        <v/>
      </c>
      <c r="P67" s="16" t="str">
        <f>IF(Country_1!$C68="","",Country_1!P68)</f>
        <v/>
      </c>
      <c r="Q67" s="16" t="str">
        <f>IF(Country_1!$C68="","",Country_1!Q68)</f>
        <v/>
      </c>
    </row>
    <row r="68" spans="1:17" x14ac:dyDescent="0.25">
      <c r="A68" s="16" t="str">
        <f>IF(Country_1!$C69="","",Country_1!A69)</f>
        <v/>
      </c>
      <c r="B68" s="16" t="str">
        <f>IF(Country_1!$C69="","",Country_1!B69)</f>
        <v/>
      </c>
      <c r="C68" s="16" t="str">
        <f>IF(Country_1!$C69="","",Country_1!C69)</f>
        <v/>
      </c>
      <c r="D68" s="16" t="str">
        <f>IF(Country_1!$C69="","",Country_1!D69)</f>
        <v/>
      </c>
      <c r="E68" s="16" t="str">
        <f>IF(Country_1!$C69="","",Country_1!E69)</f>
        <v/>
      </c>
      <c r="F68" s="16" t="str">
        <f>IF(Country_1!$C69="","",Country_1!F69)</f>
        <v/>
      </c>
      <c r="G68" s="17" t="str">
        <f>IF(Country_1!$C69="","",Country_1!G69)</f>
        <v/>
      </c>
      <c r="H68" s="17" t="str">
        <f>IF(Country_1!$C69="","",Country_1!H69)</f>
        <v/>
      </c>
      <c r="I68" s="16" t="str">
        <f>IF(Country_1!$C69="","",Country_1!I69)</f>
        <v/>
      </c>
      <c r="J68" s="16" t="str">
        <f>IF(Country_1!$C69="","",Country_1!J69)</f>
        <v/>
      </c>
      <c r="K68" s="18" t="str">
        <f>IF(Country_1!$C69="","",Country_1!K69)</f>
        <v/>
      </c>
      <c r="L68" s="18" t="str">
        <f>IF(Country_1!$C69="","",Country_1!L69)</f>
        <v/>
      </c>
      <c r="M68" s="19" t="str">
        <f>IF(Country_1!$C69="","",Country_1!M69)</f>
        <v/>
      </c>
      <c r="N68" s="16" t="str">
        <f>IF(Country_1!$C69="","",Country_1!N69)</f>
        <v/>
      </c>
      <c r="O68" s="16" t="str">
        <f>IF(Country_1!$C69="","",Country_1!O69)</f>
        <v/>
      </c>
      <c r="P68" s="16" t="str">
        <f>IF(Country_1!$C69="","",Country_1!P69)</f>
        <v/>
      </c>
      <c r="Q68" s="16" t="str">
        <f>IF(Country_1!$C69="","",Country_1!Q69)</f>
        <v/>
      </c>
    </row>
    <row r="69" spans="1:17" x14ac:dyDescent="0.25">
      <c r="A69" s="16" t="str">
        <f>IF(Country_1!$C70="","",Country_1!A70)</f>
        <v/>
      </c>
      <c r="B69" s="16" t="str">
        <f>IF(Country_1!$C70="","",Country_1!B70)</f>
        <v/>
      </c>
      <c r="C69" s="16" t="str">
        <f>IF(Country_1!$C70="","",Country_1!C70)</f>
        <v/>
      </c>
      <c r="D69" s="16" t="str">
        <f>IF(Country_1!$C70="","",Country_1!D70)</f>
        <v/>
      </c>
      <c r="E69" s="16" t="str">
        <f>IF(Country_1!$C70="","",Country_1!E70)</f>
        <v/>
      </c>
      <c r="F69" s="16" t="str">
        <f>IF(Country_1!$C70="","",Country_1!F70)</f>
        <v/>
      </c>
      <c r="G69" s="17" t="str">
        <f>IF(Country_1!$C70="","",Country_1!G70)</f>
        <v/>
      </c>
      <c r="H69" s="17" t="str">
        <f>IF(Country_1!$C70="","",Country_1!H70)</f>
        <v/>
      </c>
      <c r="I69" s="16" t="str">
        <f>IF(Country_1!$C70="","",Country_1!I70)</f>
        <v/>
      </c>
      <c r="J69" s="16" t="str">
        <f>IF(Country_1!$C70="","",Country_1!J70)</f>
        <v/>
      </c>
      <c r="K69" s="18" t="str">
        <f>IF(Country_1!$C70="","",Country_1!K70)</f>
        <v/>
      </c>
      <c r="L69" s="18" t="str">
        <f>IF(Country_1!$C70="","",Country_1!L70)</f>
        <v/>
      </c>
      <c r="M69" s="19" t="str">
        <f>IF(Country_1!$C70="","",Country_1!M70)</f>
        <v/>
      </c>
      <c r="N69" s="16" t="str">
        <f>IF(Country_1!$C70="","",Country_1!N70)</f>
        <v/>
      </c>
      <c r="O69" s="16" t="str">
        <f>IF(Country_1!$C70="","",Country_1!O70)</f>
        <v/>
      </c>
      <c r="P69" s="16" t="str">
        <f>IF(Country_1!$C70="","",Country_1!P70)</f>
        <v/>
      </c>
      <c r="Q69" s="16" t="str">
        <f>IF(Country_1!$C70="","",Country_1!Q70)</f>
        <v/>
      </c>
    </row>
    <row r="70" spans="1:17" x14ac:dyDescent="0.25">
      <c r="A70" s="16" t="str">
        <f>IF(Country_1!$C71="","",Country_1!A71)</f>
        <v/>
      </c>
      <c r="B70" s="16" t="str">
        <f>IF(Country_1!$C71="","",Country_1!B71)</f>
        <v/>
      </c>
      <c r="C70" s="16" t="str">
        <f>IF(Country_1!$C71="","",Country_1!C71)</f>
        <v/>
      </c>
      <c r="D70" s="16" t="str">
        <f>IF(Country_1!$C71="","",Country_1!D71)</f>
        <v/>
      </c>
      <c r="E70" s="16" t="str">
        <f>IF(Country_1!$C71="","",Country_1!E71)</f>
        <v/>
      </c>
      <c r="F70" s="16" t="str">
        <f>IF(Country_1!$C71="","",Country_1!F71)</f>
        <v/>
      </c>
      <c r="G70" s="17" t="str">
        <f>IF(Country_1!$C71="","",Country_1!G71)</f>
        <v/>
      </c>
      <c r="H70" s="17" t="str">
        <f>IF(Country_1!$C71="","",Country_1!H71)</f>
        <v/>
      </c>
      <c r="I70" s="16" t="str">
        <f>IF(Country_1!$C71="","",Country_1!I71)</f>
        <v/>
      </c>
      <c r="J70" s="16" t="str">
        <f>IF(Country_1!$C71="","",Country_1!J71)</f>
        <v/>
      </c>
      <c r="K70" s="18" t="str">
        <f>IF(Country_1!$C71="","",Country_1!K71)</f>
        <v/>
      </c>
      <c r="L70" s="18" t="str">
        <f>IF(Country_1!$C71="","",Country_1!L71)</f>
        <v/>
      </c>
      <c r="M70" s="19" t="str">
        <f>IF(Country_1!$C71="","",Country_1!M71)</f>
        <v/>
      </c>
      <c r="N70" s="16" t="str">
        <f>IF(Country_1!$C71="","",Country_1!N71)</f>
        <v/>
      </c>
      <c r="O70" s="16" t="str">
        <f>IF(Country_1!$C71="","",Country_1!O71)</f>
        <v/>
      </c>
      <c r="P70" s="16" t="str">
        <f>IF(Country_1!$C71="","",Country_1!P71)</f>
        <v/>
      </c>
      <c r="Q70" s="16" t="str">
        <f>IF(Country_1!$C71="","",Country_1!Q71)</f>
        <v/>
      </c>
    </row>
    <row r="71" spans="1:17" x14ac:dyDescent="0.25">
      <c r="A71" s="16" t="str">
        <f>IF(Country_1!$C72="","",Country_1!A72)</f>
        <v/>
      </c>
      <c r="B71" s="16" t="str">
        <f>IF(Country_1!$C72="","",Country_1!B72)</f>
        <v/>
      </c>
      <c r="C71" s="16" t="str">
        <f>IF(Country_1!$C72="","",Country_1!C72)</f>
        <v/>
      </c>
      <c r="D71" s="16" t="str">
        <f>IF(Country_1!$C72="","",Country_1!D72)</f>
        <v/>
      </c>
      <c r="E71" s="16" t="str">
        <f>IF(Country_1!$C72="","",Country_1!E72)</f>
        <v/>
      </c>
      <c r="F71" s="16" t="str">
        <f>IF(Country_1!$C72="","",Country_1!F72)</f>
        <v/>
      </c>
      <c r="G71" s="17" t="str">
        <f>IF(Country_1!$C72="","",Country_1!G72)</f>
        <v/>
      </c>
      <c r="H71" s="17" t="str">
        <f>IF(Country_1!$C72="","",Country_1!H72)</f>
        <v/>
      </c>
      <c r="I71" s="16" t="str">
        <f>IF(Country_1!$C72="","",Country_1!I72)</f>
        <v/>
      </c>
      <c r="J71" s="16" t="str">
        <f>IF(Country_1!$C72="","",Country_1!J72)</f>
        <v/>
      </c>
      <c r="K71" s="18" t="str">
        <f>IF(Country_1!$C72="","",Country_1!K72)</f>
        <v/>
      </c>
      <c r="L71" s="18" t="str">
        <f>IF(Country_1!$C72="","",Country_1!L72)</f>
        <v/>
      </c>
      <c r="M71" s="19" t="str">
        <f>IF(Country_1!$C72="","",Country_1!M72)</f>
        <v/>
      </c>
      <c r="N71" s="16" t="str">
        <f>IF(Country_1!$C72="","",Country_1!N72)</f>
        <v/>
      </c>
      <c r="O71" s="16" t="str">
        <f>IF(Country_1!$C72="","",Country_1!O72)</f>
        <v/>
      </c>
      <c r="P71" s="16" t="str">
        <f>IF(Country_1!$C72="","",Country_1!P72)</f>
        <v/>
      </c>
      <c r="Q71" s="16" t="str">
        <f>IF(Country_1!$C72="","",Country_1!Q72)</f>
        <v/>
      </c>
    </row>
    <row r="72" spans="1:17" x14ac:dyDescent="0.25">
      <c r="A72" s="16" t="str">
        <f>IF(Country_1!$C73="","",Country_1!A73)</f>
        <v/>
      </c>
      <c r="B72" s="16" t="str">
        <f>IF(Country_1!$C73="","",Country_1!B73)</f>
        <v/>
      </c>
      <c r="C72" s="16" t="str">
        <f>IF(Country_1!$C73="","",Country_1!C73)</f>
        <v/>
      </c>
      <c r="D72" s="16" t="str">
        <f>IF(Country_1!$C73="","",Country_1!D73)</f>
        <v/>
      </c>
      <c r="E72" s="16" t="str">
        <f>IF(Country_1!$C73="","",Country_1!E73)</f>
        <v/>
      </c>
      <c r="F72" s="16" t="str">
        <f>IF(Country_1!$C73="","",Country_1!F73)</f>
        <v/>
      </c>
      <c r="G72" s="17" t="str">
        <f>IF(Country_1!$C73="","",Country_1!G73)</f>
        <v/>
      </c>
      <c r="H72" s="17" t="str">
        <f>IF(Country_1!$C73="","",Country_1!H73)</f>
        <v/>
      </c>
      <c r="I72" s="16" t="str">
        <f>IF(Country_1!$C73="","",Country_1!I73)</f>
        <v/>
      </c>
      <c r="J72" s="16" t="str">
        <f>IF(Country_1!$C73="","",Country_1!J73)</f>
        <v/>
      </c>
      <c r="K72" s="18" t="str">
        <f>IF(Country_1!$C73="","",Country_1!K73)</f>
        <v/>
      </c>
      <c r="L72" s="18" t="str">
        <f>IF(Country_1!$C73="","",Country_1!L73)</f>
        <v/>
      </c>
      <c r="M72" s="19" t="str">
        <f>IF(Country_1!$C73="","",Country_1!M73)</f>
        <v/>
      </c>
      <c r="N72" s="16" t="str">
        <f>IF(Country_1!$C73="","",Country_1!N73)</f>
        <v/>
      </c>
      <c r="O72" s="16" t="str">
        <f>IF(Country_1!$C73="","",Country_1!O73)</f>
        <v/>
      </c>
      <c r="P72" s="16" t="str">
        <f>IF(Country_1!$C73="","",Country_1!P73)</f>
        <v/>
      </c>
      <c r="Q72" s="16" t="str">
        <f>IF(Country_1!$C73="","",Country_1!Q73)</f>
        <v/>
      </c>
    </row>
    <row r="73" spans="1:17" x14ac:dyDescent="0.25">
      <c r="A73" s="16" t="str">
        <f>IF(Country_1!$C74="","",Country_1!A74)</f>
        <v/>
      </c>
      <c r="B73" s="16" t="str">
        <f>IF(Country_1!$C74="","",Country_1!B74)</f>
        <v/>
      </c>
      <c r="C73" s="16" t="str">
        <f>IF(Country_1!$C74="","",Country_1!C74)</f>
        <v/>
      </c>
      <c r="D73" s="16" t="str">
        <f>IF(Country_1!$C74="","",Country_1!D74)</f>
        <v/>
      </c>
      <c r="E73" s="16" t="str">
        <f>IF(Country_1!$C74="","",Country_1!E74)</f>
        <v/>
      </c>
      <c r="F73" s="16" t="str">
        <f>IF(Country_1!$C74="","",Country_1!F74)</f>
        <v/>
      </c>
      <c r="G73" s="17" t="str">
        <f>IF(Country_1!$C74="","",Country_1!G74)</f>
        <v/>
      </c>
      <c r="H73" s="17" t="str">
        <f>IF(Country_1!$C74="","",Country_1!H74)</f>
        <v/>
      </c>
      <c r="I73" s="16" t="str">
        <f>IF(Country_1!$C74="","",Country_1!I74)</f>
        <v/>
      </c>
      <c r="J73" s="16" t="str">
        <f>IF(Country_1!$C74="","",Country_1!J74)</f>
        <v/>
      </c>
      <c r="K73" s="18" t="str">
        <f>IF(Country_1!$C74="","",Country_1!K74)</f>
        <v/>
      </c>
      <c r="L73" s="18" t="str">
        <f>IF(Country_1!$C74="","",Country_1!L74)</f>
        <v/>
      </c>
      <c r="M73" s="19" t="str">
        <f>IF(Country_1!$C74="","",Country_1!M74)</f>
        <v/>
      </c>
      <c r="N73" s="16" t="str">
        <f>IF(Country_1!$C74="","",Country_1!N74)</f>
        <v/>
      </c>
      <c r="O73" s="16" t="str">
        <f>IF(Country_1!$C74="","",Country_1!O74)</f>
        <v/>
      </c>
      <c r="P73" s="16" t="str">
        <f>IF(Country_1!$C74="","",Country_1!P74)</f>
        <v/>
      </c>
      <c r="Q73" s="16" t="str">
        <f>IF(Country_1!$C74="","",Country_1!Q74)</f>
        <v/>
      </c>
    </row>
    <row r="74" spans="1:17" x14ac:dyDescent="0.25">
      <c r="A74" s="16" t="str">
        <f>IF(Country_1!$C75="","",Country_1!A75)</f>
        <v/>
      </c>
      <c r="B74" s="16" t="str">
        <f>IF(Country_1!$C75="","",Country_1!B75)</f>
        <v/>
      </c>
      <c r="C74" s="16" t="str">
        <f>IF(Country_1!$C75="","",Country_1!C75)</f>
        <v/>
      </c>
      <c r="D74" s="16" t="str">
        <f>IF(Country_1!$C75="","",Country_1!D75)</f>
        <v/>
      </c>
      <c r="E74" s="16" t="str">
        <f>IF(Country_1!$C75="","",Country_1!E75)</f>
        <v/>
      </c>
      <c r="F74" s="16" t="str">
        <f>IF(Country_1!$C75="","",Country_1!F75)</f>
        <v/>
      </c>
      <c r="G74" s="17" t="str">
        <f>IF(Country_1!$C75="","",Country_1!G75)</f>
        <v/>
      </c>
      <c r="H74" s="17" t="str">
        <f>IF(Country_1!$C75="","",Country_1!H75)</f>
        <v/>
      </c>
      <c r="I74" s="16" t="str">
        <f>IF(Country_1!$C75="","",Country_1!I75)</f>
        <v/>
      </c>
      <c r="J74" s="16" t="str">
        <f>IF(Country_1!$C75="","",Country_1!J75)</f>
        <v/>
      </c>
      <c r="K74" s="18" t="str">
        <f>IF(Country_1!$C75="","",Country_1!K75)</f>
        <v/>
      </c>
      <c r="L74" s="18" t="str">
        <f>IF(Country_1!$C75="","",Country_1!L75)</f>
        <v/>
      </c>
      <c r="M74" s="19" t="str">
        <f>IF(Country_1!$C75="","",Country_1!M75)</f>
        <v/>
      </c>
      <c r="N74" s="16" t="str">
        <f>IF(Country_1!$C75="","",Country_1!N75)</f>
        <v/>
      </c>
      <c r="O74" s="16" t="str">
        <f>IF(Country_1!$C75="","",Country_1!O75)</f>
        <v/>
      </c>
      <c r="P74" s="16" t="str">
        <f>IF(Country_1!$C75="","",Country_1!P75)</f>
        <v/>
      </c>
      <c r="Q74" s="16" t="str">
        <f>IF(Country_1!$C75="","",Country_1!Q75)</f>
        <v/>
      </c>
    </row>
    <row r="75" spans="1:17" x14ac:dyDescent="0.25">
      <c r="A75" s="16" t="str">
        <f>IF(Country_1!$C76="","",Country_1!A76)</f>
        <v/>
      </c>
      <c r="B75" s="16" t="str">
        <f>IF(Country_1!$C76="","",Country_1!B76)</f>
        <v/>
      </c>
      <c r="C75" s="16" t="str">
        <f>IF(Country_1!$C76="","",Country_1!C76)</f>
        <v/>
      </c>
      <c r="D75" s="16" t="str">
        <f>IF(Country_1!$C76="","",Country_1!D76)</f>
        <v/>
      </c>
      <c r="E75" s="16" t="str">
        <f>IF(Country_1!$C76="","",Country_1!E76)</f>
        <v/>
      </c>
      <c r="F75" s="16" t="str">
        <f>IF(Country_1!$C76="","",Country_1!F76)</f>
        <v/>
      </c>
      <c r="G75" s="17" t="str">
        <f>IF(Country_1!$C76="","",Country_1!G76)</f>
        <v/>
      </c>
      <c r="H75" s="17" t="str">
        <f>IF(Country_1!$C76="","",Country_1!H76)</f>
        <v/>
      </c>
      <c r="I75" s="16" t="str">
        <f>IF(Country_1!$C76="","",Country_1!I76)</f>
        <v/>
      </c>
      <c r="J75" s="16" t="str">
        <f>IF(Country_1!$C76="","",Country_1!J76)</f>
        <v/>
      </c>
      <c r="K75" s="18" t="str">
        <f>IF(Country_1!$C76="","",Country_1!K76)</f>
        <v/>
      </c>
      <c r="L75" s="18" t="str">
        <f>IF(Country_1!$C76="","",Country_1!L76)</f>
        <v/>
      </c>
      <c r="M75" s="19" t="str">
        <f>IF(Country_1!$C76="","",Country_1!M76)</f>
        <v/>
      </c>
      <c r="N75" s="16" t="str">
        <f>IF(Country_1!$C76="","",Country_1!N76)</f>
        <v/>
      </c>
      <c r="O75" s="16" t="str">
        <f>IF(Country_1!$C76="","",Country_1!O76)</f>
        <v/>
      </c>
      <c r="P75" s="16" t="str">
        <f>IF(Country_1!$C76="","",Country_1!P76)</f>
        <v/>
      </c>
      <c r="Q75" s="16" t="str">
        <f>IF(Country_1!$C76="","",Country_1!Q76)</f>
        <v/>
      </c>
    </row>
    <row r="76" spans="1:17" x14ac:dyDescent="0.25">
      <c r="A76" s="16" t="str">
        <f>IF(Country_1!$C77="","",Country_1!A77)</f>
        <v/>
      </c>
      <c r="B76" s="16" t="str">
        <f>IF(Country_1!$C77="","",Country_1!B77)</f>
        <v/>
      </c>
      <c r="C76" s="16" t="str">
        <f>IF(Country_1!$C77="","",Country_1!C77)</f>
        <v/>
      </c>
      <c r="D76" s="16" t="str">
        <f>IF(Country_1!$C77="","",Country_1!D77)</f>
        <v/>
      </c>
      <c r="E76" s="16" t="str">
        <f>IF(Country_1!$C77="","",Country_1!E77)</f>
        <v/>
      </c>
      <c r="F76" s="16" t="str">
        <f>IF(Country_1!$C77="","",Country_1!F77)</f>
        <v/>
      </c>
      <c r="G76" s="17" t="str">
        <f>IF(Country_1!$C77="","",Country_1!G77)</f>
        <v/>
      </c>
      <c r="H76" s="17" t="str">
        <f>IF(Country_1!$C77="","",Country_1!H77)</f>
        <v/>
      </c>
      <c r="I76" s="16" t="str">
        <f>IF(Country_1!$C77="","",Country_1!I77)</f>
        <v/>
      </c>
      <c r="J76" s="16" t="str">
        <f>IF(Country_1!$C77="","",Country_1!J77)</f>
        <v/>
      </c>
      <c r="K76" s="18" t="str">
        <f>IF(Country_1!$C77="","",Country_1!K77)</f>
        <v/>
      </c>
      <c r="L76" s="18" t="str">
        <f>IF(Country_1!$C77="","",Country_1!L77)</f>
        <v/>
      </c>
      <c r="M76" s="19" t="str">
        <f>IF(Country_1!$C77="","",Country_1!M77)</f>
        <v/>
      </c>
      <c r="N76" s="16" t="str">
        <f>IF(Country_1!$C77="","",Country_1!N77)</f>
        <v/>
      </c>
      <c r="O76" s="16" t="str">
        <f>IF(Country_1!$C77="","",Country_1!O77)</f>
        <v/>
      </c>
      <c r="P76" s="16" t="str">
        <f>IF(Country_1!$C77="","",Country_1!P77)</f>
        <v/>
      </c>
      <c r="Q76" s="16" t="str">
        <f>IF(Country_1!$C77="","",Country_1!Q77)</f>
        <v/>
      </c>
    </row>
    <row r="77" spans="1:17" x14ac:dyDescent="0.25">
      <c r="A77" s="16" t="str">
        <f>IF(Country_1!$C78="","",Country_1!A78)</f>
        <v/>
      </c>
      <c r="B77" s="16" t="str">
        <f>IF(Country_1!$C78="","",Country_1!B78)</f>
        <v/>
      </c>
      <c r="C77" s="16" t="str">
        <f>IF(Country_1!$C78="","",Country_1!C78)</f>
        <v/>
      </c>
      <c r="D77" s="16" t="str">
        <f>IF(Country_1!$C78="","",Country_1!D78)</f>
        <v/>
      </c>
      <c r="E77" s="16" t="str">
        <f>IF(Country_1!$C78="","",Country_1!E78)</f>
        <v/>
      </c>
      <c r="F77" s="16" t="str">
        <f>IF(Country_1!$C78="","",Country_1!F78)</f>
        <v/>
      </c>
      <c r="G77" s="17" t="str">
        <f>IF(Country_1!$C78="","",Country_1!G78)</f>
        <v/>
      </c>
      <c r="H77" s="17" t="str">
        <f>IF(Country_1!$C78="","",Country_1!H78)</f>
        <v/>
      </c>
      <c r="I77" s="16" t="str">
        <f>IF(Country_1!$C78="","",Country_1!I78)</f>
        <v/>
      </c>
      <c r="J77" s="16" t="str">
        <f>IF(Country_1!$C78="","",Country_1!J78)</f>
        <v/>
      </c>
      <c r="K77" s="18" t="str">
        <f>IF(Country_1!$C78="","",Country_1!K78)</f>
        <v/>
      </c>
      <c r="L77" s="18" t="str">
        <f>IF(Country_1!$C78="","",Country_1!L78)</f>
        <v/>
      </c>
      <c r="M77" s="19" t="str">
        <f>IF(Country_1!$C78="","",Country_1!M78)</f>
        <v/>
      </c>
      <c r="N77" s="16" t="str">
        <f>IF(Country_1!$C78="","",Country_1!N78)</f>
        <v/>
      </c>
      <c r="O77" s="16" t="str">
        <f>IF(Country_1!$C78="","",Country_1!O78)</f>
        <v/>
      </c>
      <c r="P77" s="16" t="str">
        <f>IF(Country_1!$C78="","",Country_1!P78)</f>
        <v/>
      </c>
      <c r="Q77" s="16" t="str">
        <f>IF(Country_1!$C78="","",Country_1!Q78)</f>
        <v/>
      </c>
    </row>
    <row r="78" spans="1:17" x14ac:dyDescent="0.25">
      <c r="A78" s="16" t="str">
        <f>IF(Country_1!$C79="","",Country_1!A79)</f>
        <v/>
      </c>
      <c r="B78" s="16" t="str">
        <f>IF(Country_1!$C79="","",Country_1!B79)</f>
        <v/>
      </c>
      <c r="C78" s="16" t="str">
        <f>IF(Country_1!$C79="","",Country_1!C79)</f>
        <v/>
      </c>
      <c r="D78" s="16" t="str">
        <f>IF(Country_1!$C79="","",Country_1!D79)</f>
        <v/>
      </c>
      <c r="E78" s="16" t="str">
        <f>IF(Country_1!$C79="","",Country_1!E79)</f>
        <v/>
      </c>
      <c r="F78" s="16" t="str">
        <f>IF(Country_1!$C79="","",Country_1!F79)</f>
        <v/>
      </c>
      <c r="G78" s="17" t="str">
        <f>IF(Country_1!$C79="","",Country_1!G79)</f>
        <v/>
      </c>
      <c r="H78" s="17" t="str">
        <f>IF(Country_1!$C79="","",Country_1!H79)</f>
        <v/>
      </c>
      <c r="I78" s="16" t="str">
        <f>IF(Country_1!$C79="","",Country_1!I79)</f>
        <v/>
      </c>
      <c r="J78" s="16" t="str">
        <f>IF(Country_1!$C79="","",Country_1!J79)</f>
        <v/>
      </c>
      <c r="K78" s="18" t="str">
        <f>IF(Country_1!$C79="","",Country_1!K79)</f>
        <v/>
      </c>
      <c r="L78" s="18" t="str">
        <f>IF(Country_1!$C79="","",Country_1!L79)</f>
        <v/>
      </c>
      <c r="M78" s="19" t="str">
        <f>IF(Country_1!$C79="","",Country_1!M79)</f>
        <v/>
      </c>
      <c r="N78" s="16" t="str">
        <f>IF(Country_1!$C79="","",Country_1!N79)</f>
        <v/>
      </c>
      <c r="O78" s="16" t="str">
        <f>IF(Country_1!$C79="","",Country_1!O79)</f>
        <v/>
      </c>
      <c r="P78" s="16" t="str">
        <f>IF(Country_1!$C79="","",Country_1!P79)</f>
        <v/>
      </c>
      <c r="Q78" s="16" t="str">
        <f>IF(Country_1!$C79="","",Country_1!Q79)</f>
        <v/>
      </c>
    </row>
    <row r="79" spans="1:17" x14ac:dyDescent="0.25">
      <c r="A79" s="16" t="str">
        <f>IF(Country_1!$C80="","",Country_1!A80)</f>
        <v/>
      </c>
      <c r="B79" s="16" t="str">
        <f>IF(Country_1!$C80="","",Country_1!B80)</f>
        <v/>
      </c>
      <c r="C79" s="16" t="str">
        <f>IF(Country_1!$C80="","",Country_1!C80)</f>
        <v/>
      </c>
      <c r="D79" s="16" t="str">
        <f>IF(Country_1!$C80="","",Country_1!D80)</f>
        <v/>
      </c>
      <c r="E79" s="16" t="str">
        <f>IF(Country_1!$C80="","",Country_1!E80)</f>
        <v/>
      </c>
      <c r="F79" s="16" t="str">
        <f>IF(Country_1!$C80="","",Country_1!F80)</f>
        <v/>
      </c>
      <c r="G79" s="17" t="str">
        <f>IF(Country_1!$C80="","",Country_1!G80)</f>
        <v/>
      </c>
      <c r="H79" s="17" t="str">
        <f>IF(Country_1!$C80="","",Country_1!H80)</f>
        <v/>
      </c>
      <c r="I79" s="16" t="str">
        <f>IF(Country_1!$C80="","",Country_1!I80)</f>
        <v/>
      </c>
      <c r="J79" s="16" t="str">
        <f>IF(Country_1!$C80="","",Country_1!J80)</f>
        <v/>
      </c>
      <c r="K79" s="18" t="str">
        <f>IF(Country_1!$C80="","",Country_1!K80)</f>
        <v/>
      </c>
      <c r="L79" s="18" t="str">
        <f>IF(Country_1!$C80="","",Country_1!L80)</f>
        <v/>
      </c>
      <c r="M79" s="19" t="str">
        <f>IF(Country_1!$C80="","",Country_1!M80)</f>
        <v/>
      </c>
      <c r="N79" s="16" t="str">
        <f>IF(Country_1!$C80="","",Country_1!N80)</f>
        <v/>
      </c>
      <c r="O79" s="16" t="str">
        <f>IF(Country_1!$C80="","",Country_1!O80)</f>
        <v/>
      </c>
      <c r="P79" s="16" t="str">
        <f>IF(Country_1!$C80="","",Country_1!P80)</f>
        <v/>
      </c>
      <c r="Q79" s="16" t="str">
        <f>IF(Country_1!$C80="","",Country_1!Q80)</f>
        <v/>
      </c>
    </row>
    <row r="80" spans="1:17" x14ac:dyDescent="0.25">
      <c r="A80" s="16" t="str">
        <f>IF(Country_1!$C81="","",Country_1!A81)</f>
        <v/>
      </c>
      <c r="B80" s="16" t="str">
        <f>IF(Country_1!$C81="","",Country_1!B81)</f>
        <v/>
      </c>
      <c r="C80" s="16" t="str">
        <f>IF(Country_1!$C81="","",Country_1!C81)</f>
        <v/>
      </c>
      <c r="D80" s="16" t="str">
        <f>IF(Country_1!$C81="","",Country_1!D81)</f>
        <v/>
      </c>
      <c r="E80" s="16" t="str">
        <f>IF(Country_1!$C81="","",Country_1!E81)</f>
        <v/>
      </c>
      <c r="F80" s="16" t="str">
        <f>IF(Country_1!$C81="","",Country_1!F81)</f>
        <v/>
      </c>
      <c r="G80" s="17" t="str">
        <f>IF(Country_1!$C81="","",Country_1!G81)</f>
        <v/>
      </c>
      <c r="H80" s="17" t="str">
        <f>IF(Country_1!$C81="","",Country_1!H81)</f>
        <v/>
      </c>
      <c r="I80" s="16" t="str">
        <f>IF(Country_1!$C81="","",Country_1!I81)</f>
        <v/>
      </c>
      <c r="J80" s="16" t="str">
        <f>IF(Country_1!$C81="","",Country_1!J81)</f>
        <v/>
      </c>
      <c r="K80" s="18" t="str">
        <f>IF(Country_1!$C81="","",Country_1!K81)</f>
        <v/>
      </c>
      <c r="L80" s="18" t="str">
        <f>IF(Country_1!$C81="","",Country_1!L81)</f>
        <v/>
      </c>
      <c r="M80" s="19" t="str">
        <f>IF(Country_1!$C81="","",Country_1!M81)</f>
        <v/>
      </c>
      <c r="N80" s="16" t="str">
        <f>IF(Country_1!$C81="","",Country_1!N81)</f>
        <v/>
      </c>
      <c r="O80" s="16" t="str">
        <f>IF(Country_1!$C81="","",Country_1!O81)</f>
        <v/>
      </c>
      <c r="P80" s="16" t="str">
        <f>IF(Country_1!$C81="","",Country_1!P81)</f>
        <v/>
      </c>
      <c r="Q80" s="16" t="str">
        <f>IF(Country_1!$C81="","",Country_1!Q81)</f>
        <v/>
      </c>
    </row>
    <row r="81" spans="1:17" x14ac:dyDescent="0.25">
      <c r="A81" s="16" t="str">
        <f>IF(Country_1!$C82="","",Country_1!A82)</f>
        <v/>
      </c>
      <c r="B81" s="16" t="str">
        <f>IF(Country_1!$C82="","",Country_1!B82)</f>
        <v/>
      </c>
      <c r="C81" s="16" t="str">
        <f>IF(Country_1!$C82="","",Country_1!C82)</f>
        <v/>
      </c>
      <c r="D81" s="16" t="str">
        <f>IF(Country_1!$C82="","",Country_1!D82)</f>
        <v/>
      </c>
      <c r="E81" s="16" t="str">
        <f>IF(Country_1!$C82="","",Country_1!E82)</f>
        <v/>
      </c>
      <c r="F81" s="16" t="str">
        <f>IF(Country_1!$C82="","",Country_1!F82)</f>
        <v/>
      </c>
      <c r="G81" s="17" t="str">
        <f>IF(Country_1!$C82="","",Country_1!G82)</f>
        <v/>
      </c>
      <c r="H81" s="17" t="str">
        <f>IF(Country_1!$C82="","",Country_1!H82)</f>
        <v/>
      </c>
      <c r="I81" s="16" t="str">
        <f>IF(Country_1!$C82="","",Country_1!I82)</f>
        <v/>
      </c>
      <c r="J81" s="16" t="str">
        <f>IF(Country_1!$C82="","",Country_1!J82)</f>
        <v/>
      </c>
      <c r="K81" s="18" t="str">
        <f>IF(Country_1!$C82="","",Country_1!K82)</f>
        <v/>
      </c>
      <c r="L81" s="18" t="str">
        <f>IF(Country_1!$C82="","",Country_1!L82)</f>
        <v/>
      </c>
      <c r="M81" s="19" t="str">
        <f>IF(Country_1!$C82="","",Country_1!M82)</f>
        <v/>
      </c>
      <c r="N81" s="16" t="str">
        <f>IF(Country_1!$C82="","",Country_1!N82)</f>
        <v/>
      </c>
      <c r="O81" s="16" t="str">
        <f>IF(Country_1!$C82="","",Country_1!O82)</f>
        <v/>
      </c>
      <c r="P81" s="16" t="str">
        <f>IF(Country_1!$C82="","",Country_1!P82)</f>
        <v/>
      </c>
      <c r="Q81" s="16" t="str">
        <f>IF(Country_1!$C82="","",Country_1!Q82)</f>
        <v/>
      </c>
    </row>
    <row r="82" spans="1:17" x14ac:dyDescent="0.25">
      <c r="A82" s="16" t="str">
        <f>IF(Country_1!$C83="","",Country_1!A83)</f>
        <v/>
      </c>
      <c r="B82" s="16" t="str">
        <f>IF(Country_1!$C83="","",Country_1!B83)</f>
        <v/>
      </c>
      <c r="C82" s="16" t="str">
        <f>IF(Country_1!$C83="","",Country_1!C83)</f>
        <v/>
      </c>
      <c r="D82" s="16" t="str">
        <f>IF(Country_1!$C83="","",Country_1!D83)</f>
        <v/>
      </c>
      <c r="E82" s="16" t="str">
        <f>IF(Country_1!$C83="","",Country_1!E83)</f>
        <v/>
      </c>
      <c r="F82" s="16" t="str">
        <f>IF(Country_1!$C83="","",Country_1!F83)</f>
        <v/>
      </c>
      <c r="G82" s="17" t="str">
        <f>IF(Country_1!$C83="","",Country_1!G83)</f>
        <v/>
      </c>
      <c r="H82" s="17" t="str">
        <f>IF(Country_1!$C83="","",Country_1!H83)</f>
        <v/>
      </c>
      <c r="I82" s="16" t="str">
        <f>IF(Country_1!$C83="","",Country_1!I83)</f>
        <v/>
      </c>
      <c r="J82" s="16" t="str">
        <f>IF(Country_1!$C83="","",Country_1!J83)</f>
        <v/>
      </c>
      <c r="K82" s="18" t="str">
        <f>IF(Country_1!$C83="","",Country_1!K83)</f>
        <v/>
      </c>
      <c r="L82" s="18" t="str">
        <f>IF(Country_1!$C83="","",Country_1!L83)</f>
        <v/>
      </c>
      <c r="M82" s="19" t="str">
        <f>IF(Country_1!$C83="","",Country_1!M83)</f>
        <v/>
      </c>
      <c r="N82" s="16" t="str">
        <f>IF(Country_1!$C83="","",Country_1!N83)</f>
        <v/>
      </c>
      <c r="O82" s="16" t="str">
        <f>IF(Country_1!$C83="","",Country_1!O83)</f>
        <v/>
      </c>
      <c r="P82" s="16" t="str">
        <f>IF(Country_1!$C83="","",Country_1!P83)</f>
        <v/>
      </c>
      <c r="Q82" s="16" t="str">
        <f>IF(Country_1!$C83="","",Country_1!Q83)</f>
        <v/>
      </c>
    </row>
    <row r="83" spans="1:17" x14ac:dyDescent="0.25">
      <c r="A83" s="16" t="str">
        <f>IF(Country_1!$C84="","",Country_1!A84)</f>
        <v/>
      </c>
      <c r="B83" s="16" t="str">
        <f>IF(Country_1!$C84="","",Country_1!B84)</f>
        <v/>
      </c>
      <c r="C83" s="16" t="str">
        <f>IF(Country_1!$C84="","",Country_1!C84)</f>
        <v/>
      </c>
      <c r="D83" s="16" t="str">
        <f>IF(Country_1!$C84="","",Country_1!D84)</f>
        <v/>
      </c>
      <c r="E83" s="16" t="str">
        <f>IF(Country_1!$C84="","",Country_1!E84)</f>
        <v/>
      </c>
      <c r="F83" s="16" t="str">
        <f>IF(Country_1!$C84="","",Country_1!F84)</f>
        <v/>
      </c>
      <c r="G83" s="17" t="str">
        <f>IF(Country_1!$C84="","",Country_1!G84)</f>
        <v/>
      </c>
      <c r="H83" s="17" t="str">
        <f>IF(Country_1!$C84="","",Country_1!H84)</f>
        <v/>
      </c>
      <c r="I83" s="16" t="str">
        <f>IF(Country_1!$C84="","",Country_1!I84)</f>
        <v/>
      </c>
      <c r="J83" s="16" t="str">
        <f>IF(Country_1!$C84="","",Country_1!J84)</f>
        <v/>
      </c>
      <c r="K83" s="18" t="str">
        <f>IF(Country_1!$C84="","",Country_1!K84)</f>
        <v/>
      </c>
      <c r="L83" s="18" t="str">
        <f>IF(Country_1!$C84="","",Country_1!L84)</f>
        <v/>
      </c>
      <c r="M83" s="19" t="str">
        <f>IF(Country_1!$C84="","",Country_1!M84)</f>
        <v/>
      </c>
      <c r="N83" s="16" t="str">
        <f>IF(Country_1!$C84="","",Country_1!N84)</f>
        <v/>
      </c>
      <c r="O83" s="16" t="str">
        <f>IF(Country_1!$C84="","",Country_1!O84)</f>
        <v/>
      </c>
      <c r="P83" s="16" t="str">
        <f>IF(Country_1!$C84="","",Country_1!P84)</f>
        <v/>
      </c>
      <c r="Q83" s="16" t="str">
        <f>IF(Country_1!$C84="","",Country_1!Q84)</f>
        <v/>
      </c>
    </row>
    <row r="84" spans="1:17" x14ac:dyDescent="0.25">
      <c r="A84" s="16" t="str">
        <f>IF(Country_1!$C85="","",Country_1!A85)</f>
        <v/>
      </c>
      <c r="B84" s="16" t="str">
        <f>IF(Country_1!$C85="","",Country_1!B85)</f>
        <v/>
      </c>
      <c r="C84" s="16" t="str">
        <f>IF(Country_1!$C85="","",Country_1!C85)</f>
        <v/>
      </c>
      <c r="D84" s="16" t="str">
        <f>IF(Country_1!$C85="","",Country_1!D85)</f>
        <v/>
      </c>
      <c r="E84" s="16" t="str">
        <f>IF(Country_1!$C85="","",Country_1!E85)</f>
        <v/>
      </c>
      <c r="F84" s="16" t="str">
        <f>IF(Country_1!$C85="","",Country_1!F85)</f>
        <v/>
      </c>
      <c r="G84" s="17" t="str">
        <f>IF(Country_1!$C85="","",Country_1!G85)</f>
        <v/>
      </c>
      <c r="H84" s="17" t="str">
        <f>IF(Country_1!$C85="","",Country_1!H85)</f>
        <v/>
      </c>
      <c r="I84" s="16" t="str">
        <f>IF(Country_1!$C85="","",Country_1!I85)</f>
        <v/>
      </c>
      <c r="J84" s="16" t="str">
        <f>IF(Country_1!$C85="","",Country_1!J85)</f>
        <v/>
      </c>
      <c r="K84" s="18" t="str">
        <f>IF(Country_1!$C85="","",Country_1!K85)</f>
        <v/>
      </c>
      <c r="L84" s="18" t="str">
        <f>IF(Country_1!$C85="","",Country_1!L85)</f>
        <v/>
      </c>
      <c r="M84" s="19" t="str">
        <f>IF(Country_1!$C85="","",Country_1!M85)</f>
        <v/>
      </c>
      <c r="N84" s="16" t="str">
        <f>IF(Country_1!$C85="","",Country_1!N85)</f>
        <v/>
      </c>
      <c r="O84" s="16" t="str">
        <f>IF(Country_1!$C85="","",Country_1!O85)</f>
        <v/>
      </c>
      <c r="P84" s="16" t="str">
        <f>IF(Country_1!$C85="","",Country_1!P85)</f>
        <v/>
      </c>
      <c r="Q84" s="16" t="str">
        <f>IF(Country_1!$C85="","",Country_1!Q85)</f>
        <v/>
      </c>
    </row>
    <row r="85" spans="1:17" x14ac:dyDescent="0.25">
      <c r="A85" s="16" t="str">
        <f>IF(Country_1!$C86="","",Country_1!A86)</f>
        <v/>
      </c>
      <c r="B85" s="16" t="str">
        <f>IF(Country_1!$C86="","",Country_1!B86)</f>
        <v/>
      </c>
      <c r="C85" s="16" t="str">
        <f>IF(Country_1!$C86="","",Country_1!C86)</f>
        <v/>
      </c>
      <c r="D85" s="16" t="str">
        <f>IF(Country_1!$C86="","",Country_1!D86)</f>
        <v/>
      </c>
      <c r="E85" s="16" t="str">
        <f>IF(Country_1!$C86="","",Country_1!E86)</f>
        <v/>
      </c>
      <c r="F85" s="16" t="str">
        <f>IF(Country_1!$C86="","",Country_1!F86)</f>
        <v/>
      </c>
      <c r="G85" s="17" t="str">
        <f>IF(Country_1!$C86="","",Country_1!G86)</f>
        <v/>
      </c>
      <c r="H85" s="17" t="str">
        <f>IF(Country_1!$C86="","",Country_1!H86)</f>
        <v/>
      </c>
      <c r="I85" s="16" t="str">
        <f>IF(Country_1!$C86="","",Country_1!I86)</f>
        <v/>
      </c>
      <c r="J85" s="16" t="str">
        <f>IF(Country_1!$C86="","",Country_1!J86)</f>
        <v/>
      </c>
      <c r="K85" s="18" t="str">
        <f>IF(Country_1!$C86="","",Country_1!K86)</f>
        <v/>
      </c>
      <c r="L85" s="18" t="str">
        <f>IF(Country_1!$C86="","",Country_1!L86)</f>
        <v/>
      </c>
      <c r="M85" s="19" t="str">
        <f>IF(Country_1!$C86="","",Country_1!M86)</f>
        <v/>
      </c>
      <c r="N85" s="16" t="str">
        <f>IF(Country_1!$C86="","",Country_1!N86)</f>
        <v/>
      </c>
      <c r="O85" s="16" t="str">
        <f>IF(Country_1!$C86="","",Country_1!O86)</f>
        <v/>
      </c>
      <c r="P85" s="16" t="str">
        <f>IF(Country_1!$C86="","",Country_1!P86)</f>
        <v/>
      </c>
      <c r="Q85" s="16" t="str">
        <f>IF(Country_1!$C86="","",Country_1!Q86)</f>
        <v/>
      </c>
    </row>
    <row r="86" spans="1:17" x14ac:dyDescent="0.25">
      <c r="A86" s="16" t="str">
        <f>IF(Country_1!$C87="","",Country_1!A87)</f>
        <v/>
      </c>
      <c r="B86" s="16" t="str">
        <f>IF(Country_1!$C87="","",Country_1!B87)</f>
        <v/>
      </c>
      <c r="C86" s="16" t="str">
        <f>IF(Country_1!$C87="","",Country_1!C87)</f>
        <v/>
      </c>
      <c r="D86" s="16" t="str">
        <f>IF(Country_1!$C87="","",Country_1!D87)</f>
        <v/>
      </c>
      <c r="E86" s="16" t="str">
        <f>IF(Country_1!$C87="","",Country_1!E87)</f>
        <v/>
      </c>
      <c r="F86" s="16" t="str">
        <f>IF(Country_1!$C87="","",Country_1!F87)</f>
        <v/>
      </c>
      <c r="G86" s="17" t="str">
        <f>IF(Country_1!$C87="","",Country_1!G87)</f>
        <v/>
      </c>
      <c r="H86" s="17" t="str">
        <f>IF(Country_1!$C87="","",Country_1!H87)</f>
        <v/>
      </c>
      <c r="I86" s="16" t="str">
        <f>IF(Country_1!$C87="","",Country_1!I87)</f>
        <v/>
      </c>
      <c r="J86" s="16" t="str">
        <f>IF(Country_1!$C87="","",Country_1!J87)</f>
        <v/>
      </c>
      <c r="K86" s="18" t="str">
        <f>IF(Country_1!$C87="","",Country_1!K87)</f>
        <v/>
      </c>
      <c r="L86" s="18" t="str">
        <f>IF(Country_1!$C87="","",Country_1!L87)</f>
        <v/>
      </c>
      <c r="M86" s="19" t="str">
        <f>IF(Country_1!$C87="","",Country_1!M87)</f>
        <v/>
      </c>
      <c r="N86" s="16" t="str">
        <f>IF(Country_1!$C87="","",Country_1!N87)</f>
        <v/>
      </c>
      <c r="O86" s="16" t="str">
        <f>IF(Country_1!$C87="","",Country_1!O87)</f>
        <v/>
      </c>
      <c r="P86" s="16" t="str">
        <f>IF(Country_1!$C87="","",Country_1!P87)</f>
        <v/>
      </c>
      <c r="Q86" s="16" t="str">
        <f>IF(Country_1!$C87="","",Country_1!Q87)</f>
        <v/>
      </c>
    </row>
    <row r="87" spans="1:17" x14ac:dyDescent="0.25">
      <c r="A87" s="16" t="str">
        <f>IF(Country_1!$C88="","",Country_1!A88)</f>
        <v/>
      </c>
      <c r="B87" s="16" t="str">
        <f>IF(Country_1!$C88="","",Country_1!B88)</f>
        <v/>
      </c>
      <c r="C87" s="16" t="str">
        <f>IF(Country_1!$C88="","",Country_1!C88)</f>
        <v/>
      </c>
      <c r="D87" s="16" t="str">
        <f>IF(Country_1!$C88="","",Country_1!D88)</f>
        <v/>
      </c>
      <c r="E87" s="16" t="str">
        <f>IF(Country_1!$C88="","",Country_1!E88)</f>
        <v/>
      </c>
      <c r="F87" s="16" t="str">
        <f>IF(Country_1!$C88="","",Country_1!F88)</f>
        <v/>
      </c>
      <c r="G87" s="17" t="str">
        <f>IF(Country_1!$C88="","",Country_1!G88)</f>
        <v/>
      </c>
      <c r="H87" s="17" t="str">
        <f>IF(Country_1!$C88="","",Country_1!H88)</f>
        <v/>
      </c>
      <c r="I87" s="16" t="str">
        <f>IF(Country_1!$C88="","",Country_1!I88)</f>
        <v/>
      </c>
      <c r="J87" s="16" t="str">
        <f>IF(Country_1!$C88="","",Country_1!J88)</f>
        <v/>
      </c>
      <c r="K87" s="18" t="str">
        <f>IF(Country_1!$C88="","",Country_1!K88)</f>
        <v/>
      </c>
      <c r="L87" s="18" t="str">
        <f>IF(Country_1!$C88="","",Country_1!L88)</f>
        <v/>
      </c>
      <c r="M87" s="19" t="str">
        <f>IF(Country_1!$C88="","",Country_1!M88)</f>
        <v/>
      </c>
      <c r="N87" s="16" t="str">
        <f>IF(Country_1!$C88="","",Country_1!N88)</f>
        <v/>
      </c>
      <c r="O87" s="16" t="str">
        <f>IF(Country_1!$C88="","",Country_1!O88)</f>
        <v/>
      </c>
      <c r="P87" s="16" t="str">
        <f>IF(Country_1!$C88="","",Country_1!P88)</f>
        <v/>
      </c>
      <c r="Q87" s="16" t="str">
        <f>IF(Country_1!$C88="","",Country_1!Q88)</f>
        <v/>
      </c>
    </row>
    <row r="88" spans="1:17" x14ac:dyDescent="0.25">
      <c r="A88" s="16" t="str">
        <f>IF(Country_1!$C89="","",Country_1!A89)</f>
        <v/>
      </c>
      <c r="B88" s="16" t="str">
        <f>IF(Country_1!$C89="","",Country_1!B89)</f>
        <v/>
      </c>
      <c r="C88" s="16" t="str">
        <f>IF(Country_1!$C89="","",Country_1!C89)</f>
        <v/>
      </c>
      <c r="D88" s="16" t="str">
        <f>IF(Country_1!$C89="","",Country_1!D89)</f>
        <v/>
      </c>
      <c r="E88" s="16" t="str">
        <f>IF(Country_1!$C89="","",Country_1!E89)</f>
        <v/>
      </c>
      <c r="F88" s="16" t="str">
        <f>IF(Country_1!$C89="","",Country_1!F89)</f>
        <v/>
      </c>
      <c r="G88" s="17" t="str">
        <f>IF(Country_1!$C89="","",Country_1!G89)</f>
        <v/>
      </c>
      <c r="H88" s="17" t="str">
        <f>IF(Country_1!$C89="","",Country_1!H89)</f>
        <v/>
      </c>
      <c r="I88" s="16" t="str">
        <f>IF(Country_1!$C89="","",Country_1!I89)</f>
        <v/>
      </c>
      <c r="J88" s="16" t="str">
        <f>IF(Country_1!$C89="","",Country_1!J89)</f>
        <v/>
      </c>
      <c r="K88" s="18" t="str">
        <f>IF(Country_1!$C89="","",Country_1!K89)</f>
        <v/>
      </c>
      <c r="L88" s="18" t="str">
        <f>IF(Country_1!$C89="","",Country_1!L89)</f>
        <v/>
      </c>
      <c r="M88" s="19" t="str">
        <f>IF(Country_1!$C89="","",Country_1!M89)</f>
        <v/>
      </c>
      <c r="N88" s="16" t="str">
        <f>IF(Country_1!$C89="","",Country_1!N89)</f>
        <v/>
      </c>
      <c r="O88" s="16" t="str">
        <f>IF(Country_1!$C89="","",Country_1!O89)</f>
        <v/>
      </c>
      <c r="P88" s="16" t="str">
        <f>IF(Country_1!$C89="","",Country_1!P89)</f>
        <v/>
      </c>
      <c r="Q88" s="16" t="str">
        <f>IF(Country_1!$C89="","",Country_1!Q89)</f>
        <v/>
      </c>
    </row>
    <row r="89" spans="1:17" x14ac:dyDescent="0.25">
      <c r="A89" s="16" t="str">
        <f>IF(Country_1!$C90="","",Country_1!A90)</f>
        <v/>
      </c>
      <c r="B89" s="16" t="str">
        <f>IF(Country_1!$C90="","",Country_1!B90)</f>
        <v/>
      </c>
      <c r="C89" s="16" t="str">
        <f>IF(Country_1!$C90="","",Country_1!C90)</f>
        <v/>
      </c>
      <c r="D89" s="16" t="str">
        <f>IF(Country_1!$C90="","",Country_1!D90)</f>
        <v/>
      </c>
      <c r="E89" s="16" t="str">
        <f>IF(Country_1!$C90="","",Country_1!E90)</f>
        <v/>
      </c>
      <c r="F89" s="16" t="str">
        <f>IF(Country_1!$C90="","",Country_1!F90)</f>
        <v/>
      </c>
      <c r="G89" s="17" t="str">
        <f>IF(Country_1!$C90="","",Country_1!G90)</f>
        <v/>
      </c>
      <c r="H89" s="17" t="str">
        <f>IF(Country_1!$C90="","",Country_1!H90)</f>
        <v/>
      </c>
      <c r="I89" s="16" t="str">
        <f>IF(Country_1!$C90="","",Country_1!I90)</f>
        <v/>
      </c>
      <c r="J89" s="16" t="str">
        <f>IF(Country_1!$C90="","",Country_1!J90)</f>
        <v/>
      </c>
      <c r="K89" s="18" t="str">
        <f>IF(Country_1!$C90="","",Country_1!K90)</f>
        <v/>
      </c>
      <c r="L89" s="18" t="str">
        <f>IF(Country_1!$C90="","",Country_1!L90)</f>
        <v/>
      </c>
      <c r="M89" s="19" t="str">
        <f>IF(Country_1!$C90="","",Country_1!M90)</f>
        <v/>
      </c>
      <c r="N89" s="16" t="str">
        <f>IF(Country_1!$C90="","",Country_1!N90)</f>
        <v/>
      </c>
      <c r="O89" s="16" t="str">
        <f>IF(Country_1!$C90="","",Country_1!O90)</f>
        <v/>
      </c>
      <c r="P89" s="16" t="str">
        <f>IF(Country_1!$C90="","",Country_1!P90)</f>
        <v/>
      </c>
      <c r="Q89" s="16" t="str">
        <f>IF(Country_1!$C90="","",Country_1!Q90)</f>
        <v/>
      </c>
    </row>
    <row r="90" spans="1:17" x14ac:dyDescent="0.25">
      <c r="A90" s="16" t="str">
        <f>IF(Country_1!$C91="","",Country_1!A91)</f>
        <v/>
      </c>
      <c r="B90" s="16" t="str">
        <f>IF(Country_1!$C91="","",Country_1!B91)</f>
        <v/>
      </c>
      <c r="C90" s="16" t="str">
        <f>IF(Country_1!$C91="","",Country_1!C91)</f>
        <v/>
      </c>
      <c r="D90" s="16" t="str">
        <f>IF(Country_1!$C91="","",Country_1!D91)</f>
        <v/>
      </c>
      <c r="E90" s="16" t="str">
        <f>IF(Country_1!$C91="","",Country_1!E91)</f>
        <v/>
      </c>
      <c r="F90" s="16" t="str">
        <f>IF(Country_1!$C91="","",Country_1!F91)</f>
        <v/>
      </c>
      <c r="G90" s="17" t="str">
        <f>IF(Country_1!$C91="","",Country_1!G91)</f>
        <v/>
      </c>
      <c r="H90" s="17" t="str">
        <f>IF(Country_1!$C91="","",Country_1!H91)</f>
        <v/>
      </c>
      <c r="I90" s="16" t="str">
        <f>IF(Country_1!$C91="","",Country_1!I91)</f>
        <v/>
      </c>
      <c r="J90" s="16" t="str">
        <f>IF(Country_1!$C91="","",Country_1!J91)</f>
        <v/>
      </c>
      <c r="K90" s="18" t="str">
        <f>IF(Country_1!$C91="","",Country_1!K91)</f>
        <v/>
      </c>
      <c r="L90" s="18" t="str">
        <f>IF(Country_1!$C91="","",Country_1!L91)</f>
        <v/>
      </c>
      <c r="M90" s="19" t="str">
        <f>IF(Country_1!$C91="","",Country_1!M91)</f>
        <v/>
      </c>
      <c r="N90" s="16" t="str">
        <f>IF(Country_1!$C91="","",Country_1!N91)</f>
        <v/>
      </c>
      <c r="O90" s="16" t="str">
        <f>IF(Country_1!$C91="","",Country_1!O91)</f>
        <v/>
      </c>
      <c r="P90" s="16" t="str">
        <f>IF(Country_1!$C91="","",Country_1!P91)</f>
        <v/>
      </c>
      <c r="Q90" s="16" t="str">
        <f>IF(Country_1!$C91="","",Country_1!Q91)</f>
        <v/>
      </c>
    </row>
    <row r="91" spans="1:17" x14ac:dyDescent="0.25">
      <c r="A91" s="16" t="str">
        <f>IF(Country_1!$C92="","",Country_1!A92)</f>
        <v/>
      </c>
      <c r="B91" s="16" t="str">
        <f>IF(Country_1!$C92="","",Country_1!B92)</f>
        <v/>
      </c>
      <c r="C91" s="16" t="str">
        <f>IF(Country_1!$C92="","",Country_1!C92)</f>
        <v/>
      </c>
      <c r="D91" s="16" t="str">
        <f>IF(Country_1!$C92="","",Country_1!D92)</f>
        <v/>
      </c>
      <c r="E91" s="16" t="str">
        <f>IF(Country_1!$C92="","",Country_1!E92)</f>
        <v/>
      </c>
      <c r="F91" s="16" t="str">
        <f>IF(Country_1!$C92="","",Country_1!F92)</f>
        <v/>
      </c>
      <c r="G91" s="17" t="str">
        <f>IF(Country_1!$C92="","",Country_1!G92)</f>
        <v/>
      </c>
      <c r="H91" s="17" t="str">
        <f>IF(Country_1!$C92="","",Country_1!H92)</f>
        <v/>
      </c>
      <c r="I91" s="16" t="str">
        <f>IF(Country_1!$C92="","",Country_1!I92)</f>
        <v/>
      </c>
      <c r="J91" s="16" t="str">
        <f>IF(Country_1!$C92="","",Country_1!J92)</f>
        <v/>
      </c>
      <c r="K91" s="18" t="str">
        <f>IF(Country_1!$C92="","",Country_1!K92)</f>
        <v/>
      </c>
      <c r="L91" s="18" t="str">
        <f>IF(Country_1!$C92="","",Country_1!L92)</f>
        <v/>
      </c>
      <c r="M91" s="19" t="str">
        <f>IF(Country_1!$C92="","",Country_1!M92)</f>
        <v/>
      </c>
      <c r="N91" s="16" t="str">
        <f>IF(Country_1!$C92="","",Country_1!N92)</f>
        <v/>
      </c>
      <c r="O91" s="16" t="str">
        <f>IF(Country_1!$C92="","",Country_1!O92)</f>
        <v/>
      </c>
      <c r="P91" s="16" t="str">
        <f>IF(Country_1!$C92="","",Country_1!P92)</f>
        <v/>
      </c>
      <c r="Q91" s="16" t="str">
        <f>IF(Country_1!$C92="","",Country_1!Q92)</f>
        <v/>
      </c>
    </row>
    <row r="92" spans="1:17" x14ac:dyDescent="0.25">
      <c r="A92" s="16" t="str">
        <f>IF(Country_1!$C93="","",Country_1!A93)</f>
        <v/>
      </c>
      <c r="B92" s="16" t="str">
        <f>IF(Country_1!$C93="","",Country_1!B93)</f>
        <v/>
      </c>
      <c r="C92" s="16" t="str">
        <f>IF(Country_1!$C93="","",Country_1!C93)</f>
        <v/>
      </c>
      <c r="D92" s="16" t="str">
        <f>IF(Country_1!$C93="","",Country_1!D93)</f>
        <v/>
      </c>
      <c r="E92" s="16" t="str">
        <f>IF(Country_1!$C93="","",Country_1!E93)</f>
        <v/>
      </c>
      <c r="F92" s="16" t="str">
        <f>IF(Country_1!$C93="","",Country_1!F93)</f>
        <v/>
      </c>
      <c r="G92" s="17" t="str">
        <f>IF(Country_1!$C93="","",Country_1!G93)</f>
        <v/>
      </c>
      <c r="H92" s="17" t="str">
        <f>IF(Country_1!$C93="","",Country_1!H93)</f>
        <v/>
      </c>
      <c r="I92" s="16" t="str">
        <f>IF(Country_1!$C93="","",Country_1!I93)</f>
        <v/>
      </c>
      <c r="J92" s="16" t="str">
        <f>IF(Country_1!$C93="","",Country_1!J93)</f>
        <v/>
      </c>
      <c r="K92" s="18" t="str">
        <f>IF(Country_1!$C93="","",Country_1!K93)</f>
        <v/>
      </c>
      <c r="L92" s="18" t="str">
        <f>IF(Country_1!$C93="","",Country_1!L93)</f>
        <v/>
      </c>
      <c r="M92" s="19" t="str">
        <f>IF(Country_1!$C93="","",Country_1!M93)</f>
        <v/>
      </c>
      <c r="N92" s="16" t="str">
        <f>IF(Country_1!$C93="","",Country_1!N93)</f>
        <v/>
      </c>
      <c r="O92" s="16" t="str">
        <f>IF(Country_1!$C93="","",Country_1!O93)</f>
        <v/>
      </c>
      <c r="P92" s="16" t="str">
        <f>IF(Country_1!$C93="","",Country_1!P93)</f>
        <v/>
      </c>
      <c r="Q92" s="16" t="str">
        <f>IF(Country_1!$C93="","",Country_1!Q93)</f>
        <v/>
      </c>
    </row>
    <row r="93" spans="1:17" x14ac:dyDescent="0.25">
      <c r="A93" s="16" t="str">
        <f>IF(Country_1!$C94="","",Country_1!A94)</f>
        <v/>
      </c>
      <c r="B93" s="16" t="str">
        <f>IF(Country_1!$C94="","",Country_1!B94)</f>
        <v/>
      </c>
      <c r="C93" s="16" t="str">
        <f>IF(Country_1!$C94="","",Country_1!C94)</f>
        <v/>
      </c>
      <c r="D93" s="16" t="str">
        <f>IF(Country_1!$C94="","",Country_1!D94)</f>
        <v/>
      </c>
      <c r="E93" s="16" t="str">
        <f>IF(Country_1!$C94="","",Country_1!E94)</f>
        <v/>
      </c>
      <c r="F93" s="16" t="str">
        <f>IF(Country_1!$C94="","",Country_1!F94)</f>
        <v/>
      </c>
      <c r="G93" s="17" t="str">
        <f>IF(Country_1!$C94="","",Country_1!G94)</f>
        <v/>
      </c>
      <c r="H93" s="17" t="str">
        <f>IF(Country_1!$C94="","",Country_1!H94)</f>
        <v/>
      </c>
      <c r="I93" s="16" t="str">
        <f>IF(Country_1!$C94="","",Country_1!I94)</f>
        <v/>
      </c>
      <c r="J93" s="16" t="str">
        <f>IF(Country_1!$C94="","",Country_1!J94)</f>
        <v/>
      </c>
      <c r="K93" s="18" t="str">
        <f>IF(Country_1!$C94="","",Country_1!K94)</f>
        <v/>
      </c>
      <c r="L93" s="18" t="str">
        <f>IF(Country_1!$C94="","",Country_1!L94)</f>
        <v/>
      </c>
      <c r="M93" s="19" t="str">
        <f>IF(Country_1!$C94="","",Country_1!M94)</f>
        <v/>
      </c>
      <c r="N93" s="16" t="str">
        <f>IF(Country_1!$C94="","",Country_1!N94)</f>
        <v/>
      </c>
      <c r="O93" s="16" t="str">
        <f>IF(Country_1!$C94="","",Country_1!O94)</f>
        <v/>
      </c>
      <c r="P93" s="16" t="str">
        <f>IF(Country_1!$C94="","",Country_1!P94)</f>
        <v/>
      </c>
      <c r="Q93" s="16" t="str">
        <f>IF(Country_1!$C94="","",Country_1!Q94)</f>
        <v/>
      </c>
    </row>
    <row r="94" spans="1:17" x14ac:dyDescent="0.25">
      <c r="A94" s="16" t="str">
        <f>IF(Country_1!$C95="","",Country_1!A95)</f>
        <v/>
      </c>
      <c r="B94" s="16" t="str">
        <f>IF(Country_1!$C95="","",Country_1!B95)</f>
        <v/>
      </c>
      <c r="C94" s="16" t="str">
        <f>IF(Country_1!$C95="","",Country_1!C95)</f>
        <v/>
      </c>
      <c r="D94" s="16" t="str">
        <f>IF(Country_1!$C95="","",Country_1!D95)</f>
        <v/>
      </c>
      <c r="E94" s="16" t="str">
        <f>IF(Country_1!$C95="","",Country_1!E95)</f>
        <v/>
      </c>
      <c r="F94" s="16" t="str">
        <f>IF(Country_1!$C95="","",Country_1!F95)</f>
        <v/>
      </c>
      <c r="G94" s="17" t="str">
        <f>IF(Country_1!$C95="","",Country_1!G95)</f>
        <v/>
      </c>
      <c r="H94" s="17" t="str">
        <f>IF(Country_1!$C95="","",Country_1!H95)</f>
        <v/>
      </c>
      <c r="I94" s="16" t="str">
        <f>IF(Country_1!$C95="","",Country_1!I95)</f>
        <v/>
      </c>
      <c r="J94" s="16" t="str">
        <f>IF(Country_1!$C95="","",Country_1!J95)</f>
        <v/>
      </c>
      <c r="K94" s="18" t="str">
        <f>IF(Country_1!$C95="","",Country_1!K95)</f>
        <v/>
      </c>
      <c r="L94" s="18" t="str">
        <f>IF(Country_1!$C95="","",Country_1!L95)</f>
        <v/>
      </c>
      <c r="M94" s="19" t="str">
        <f>IF(Country_1!$C95="","",Country_1!M95)</f>
        <v/>
      </c>
      <c r="N94" s="16" t="str">
        <f>IF(Country_1!$C95="","",Country_1!N95)</f>
        <v/>
      </c>
      <c r="O94" s="16" t="str">
        <f>IF(Country_1!$C95="","",Country_1!O95)</f>
        <v/>
      </c>
      <c r="P94" s="16" t="str">
        <f>IF(Country_1!$C95="","",Country_1!P95)</f>
        <v/>
      </c>
      <c r="Q94" s="16" t="str">
        <f>IF(Country_1!$C95="","",Country_1!Q95)</f>
        <v/>
      </c>
    </row>
    <row r="95" spans="1:17" x14ac:dyDescent="0.25">
      <c r="A95" s="16" t="str">
        <f>IF(Country_1!$C96="","",Country_1!A96)</f>
        <v/>
      </c>
      <c r="B95" s="16" t="str">
        <f>IF(Country_1!$C96="","",Country_1!B96)</f>
        <v/>
      </c>
      <c r="C95" s="16" t="str">
        <f>IF(Country_1!$C96="","",Country_1!C96)</f>
        <v/>
      </c>
      <c r="D95" s="16" t="str">
        <f>IF(Country_1!$C96="","",Country_1!D96)</f>
        <v/>
      </c>
      <c r="E95" s="16" t="str">
        <f>IF(Country_1!$C96="","",Country_1!E96)</f>
        <v/>
      </c>
      <c r="F95" s="16" t="str">
        <f>IF(Country_1!$C96="","",Country_1!F96)</f>
        <v/>
      </c>
      <c r="G95" s="17" t="str">
        <f>IF(Country_1!$C96="","",Country_1!G96)</f>
        <v/>
      </c>
      <c r="H95" s="17" t="str">
        <f>IF(Country_1!$C96="","",Country_1!H96)</f>
        <v/>
      </c>
      <c r="I95" s="16" t="str">
        <f>IF(Country_1!$C96="","",Country_1!I96)</f>
        <v/>
      </c>
      <c r="J95" s="16" t="str">
        <f>IF(Country_1!$C96="","",Country_1!J96)</f>
        <v/>
      </c>
      <c r="K95" s="18" t="str">
        <f>IF(Country_1!$C96="","",Country_1!K96)</f>
        <v/>
      </c>
      <c r="L95" s="18" t="str">
        <f>IF(Country_1!$C96="","",Country_1!L96)</f>
        <v/>
      </c>
      <c r="M95" s="19" t="str">
        <f>IF(Country_1!$C96="","",Country_1!M96)</f>
        <v/>
      </c>
      <c r="N95" s="16" t="str">
        <f>IF(Country_1!$C96="","",Country_1!N96)</f>
        <v/>
      </c>
      <c r="O95" s="16" t="str">
        <f>IF(Country_1!$C96="","",Country_1!O96)</f>
        <v/>
      </c>
      <c r="P95" s="16" t="str">
        <f>IF(Country_1!$C96="","",Country_1!P96)</f>
        <v/>
      </c>
      <c r="Q95" s="16" t="str">
        <f>IF(Country_1!$C96="","",Country_1!Q96)</f>
        <v/>
      </c>
    </row>
    <row r="96" spans="1:17" x14ac:dyDescent="0.25">
      <c r="A96" s="16" t="str">
        <f>IF(Country_1!$C97="","",Country_1!A97)</f>
        <v/>
      </c>
      <c r="B96" s="16" t="str">
        <f>IF(Country_1!$C97="","",Country_1!B97)</f>
        <v/>
      </c>
      <c r="C96" s="16" t="str">
        <f>IF(Country_1!$C97="","",Country_1!C97)</f>
        <v/>
      </c>
      <c r="D96" s="16" t="str">
        <f>IF(Country_1!$C97="","",Country_1!D97)</f>
        <v/>
      </c>
      <c r="E96" s="16" t="str">
        <f>IF(Country_1!$C97="","",Country_1!E97)</f>
        <v/>
      </c>
      <c r="F96" s="16" t="str">
        <f>IF(Country_1!$C97="","",Country_1!F97)</f>
        <v/>
      </c>
      <c r="G96" s="17" t="str">
        <f>IF(Country_1!$C97="","",Country_1!G97)</f>
        <v/>
      </c>
      <c r="H96" s="17" t="str">
        <f>IF(Country_1!$C97="","",Country_1!H97)</f>
        <v/>
      </c>
      <c r="I96" s="16" t="str">
        <f>IF(Country_1!$C97="","",Country_1!I97)</f>
        <v/>
      </c>
      <c r="J96" s="16" t="str">
        <f>IF(Country_1!$C97="","",Country_1!J97)</f>
        <v/>
      </c>
      <c r="K96" s="18" t="str">
        <f>IF(Country_1!$C97="","",Country_1!K97)</f>
        <v/>
      </c>
      <c r="L96" s="18" t="str">
        <f>IF(Country_1!$C97="","",Country_1!L97)</f>
        <v/>
      </c>
      <c r="M96" s="19" t="str">
        <f>IF(Country_1!$C97="","",Country_1!M97)</f>
        <v/>
      </c>
      <c r="N96" s="16" t="str">
        <f>IF(Country_1!$C97="","",Country_1!N97)</f>
        <v/>
      </c>
      <c r="O96" s="16" t="str">
        <f>IF(Country_1!$C97="","",Country_1!O97)</f>
        <v/>
      </c>
      <c r="P96" s="16" t="str">
        <f>IF(Country_1!$C97="","",Country_1!P97)</f>
        <v/>
      </c>
      <c r="Q96" s="16" t="str">
        <f>IF(Country_1!$C97="","",Country_1!Q97)</f>
        <v/>
      </c>
    </row>
    <row r="97" spans="1:17" x14ac:dyDescent="0.25">
      <c r="A97" s="16" t="str">
        <f>IF(Country_1!$C98="","",Country_1!A98)</f>
        <v/>
      </c>
      <c r="B97" s="16" t="str">
        <f>IF(Country_1!$C98="","",Country_1!B98)</f>
        <v/>
      </c>
      <c r="C97" s="16" t="str">
        <f>IF(Country_1!$C98="","",Country_1!C98)</f>
        <v/>
      </c>
      <c r="D97" s="16" t="str">
        <f>IF(Country_1!$C98="","",Country_1!D98)</f>
        <v/>
      </c>
      <c r="E97" s="16" t="str">
        <f>IF(Country_1!$C98="","",Country_1!E98)</f>
        <v/>
      </c>
      <c r="F97" s="16" t="str">
        <f>IF(Country_1!$C98="","",Country_1!F98)</f>
        <v/>
      </c>
      <c r="G97" s="17" t="str">
        <f>IF(Country_1!$C98="","",Country_1!G98)</f>
        <v/>
      </c>
      <c r="H97" s="17" t="str">
        <f>IF(Country_1!$C98="","",Country_1!H98)</f>
        <v/>
      </c>
      <c r="I97" s="16" t="str">
        <f>IF(Country_1!$C98="","",Country_1!I98)</f>
        <v/>
      </c>
      <c r="J97" s="16" t="str">
        <f>IF(Country_1!$C98="","",Country_1!J98)</f>
        <v/>
      </c>
      <c r="K97" s="18" t="str">
        <f>IF(Country_1!$C98="","",Country_1!K98)</f>
        <v/>
      </c>
      <c r="L97" s="18" t="str">
        <f>IF(Country_1!$C98="","",Country_1!L98)</f>
        <v/>
      </c>
      <c r="M97" s="19" t="str">
        <f>IF(Country_1!$C98="","",Country_1!M98)</f>
        <v/>
      </c>
      <c r="N97" s="16" t="str">
        <f>IF(Country_1!$C98="","",Country_1!N98)</f>
        <v/>
      </c>
      <c r="O97" s="16" t="str">
        <f>IF(Country_1!$C98="","",Country_1!O98)</f>
        <v/>
      </c>
      <c r="P97" s="16" t="str">
        <f>IF(Country_1!$C98="","",Country_1!P98)</f>
        <v/>
      </c>
      <c r="Q97" s="16" t="str">
        <f>IF(Country_1!$C98="","",Country_1!Q98)</f>
        <v/>
      </c>
    </row>
    <row r="98" spans="1:17" x14ac:dyDescent="0.25">
      <c r="A98" s="16" t="str">
        <f>IF(Country_1!$C99="","",Country_1!A99)</f>
        <v/>
      </c>
      <c r="B98" s="16" t="str">
        <f>IF(Country_1!$C99="","",Country_1!B99)</f>
        <v/>
      </c>
      <c r="C98" s="16" t="str">
        <f>IF(Country_1!$C99="","",Country_1!C99)</f>
        <v/>
      </c>
      <c r="D98" s="16" t="str">
        <f>IF(Country_1!$C99="","",Country_1!D99)</f>
        <v/>
      </c>
      <c r="E98" s="16" t="str">
        <f>IF(Country_1!$C99="","",Country_1!E99)</f>
        <v/>
      </c>
      <c r="F98" s="16" t="str">
        <f>IF(Country_1!$C99="","",Country_1!F99)</f>
        <v/>
      </c>
      <c r="G98" s="17" t="str">
        <f>IF(Country_1!$C99="","",Country_1!G99)</f>
        <v/>
      </c>
      <c r="H98" s="17" t="str">
        <f>IF(Country_1!$C99="","",Country_1!H99)</f>
        <v/>
      </c>
      <c r="I98" s="16" t="str">
        <f>IF(Country_1!$C99="","",Country_1!I99)</f>
        <v/>
      </c>
      <c r="J98" s="16" t="str">
        <f>IF(Country_1!$C99="","",Country_1!J99)</f>
        <v/>
      </c>
      <c r="K98" s="18" t="str">
        <f>IF(Country_1!$C99="","",Country_1!K99)</f>
        <v/>
      </c>
      <c r="L98" s="18" t="str">
        <f>IF(Country_1!$C99="","",Country_1!L99)</f>
        <v/>
      </c>
      <c r="M98" s="19" t="str">
        <f>IF(Country_1!$C99="","",Country_1!M99)</f>
        <v/>
      </c>
      <c r="N98" s="16" t="str">
        <f>IF(Country_1!$C99="","",Country_1!N99)</f>
        <v/>
      </c>
      <c r="O98" s="16" t="str">
        <f>IF(Country_1!$C99="","",Country_1!O99)</f>
        <v/>
      </c>
      <c r="P98" s="16" t="str">
        <f>IF(Country_1!$C99="","",Country_1!P99)</f>
        <v/>
      </c>
      <c r="Q98" s="16" t="str">
        <f>IF(Country_1!$C99="","",Country_1!Q99)</f>
        <v/>
      </c>
    </row>
    <row r="99" spans="1:17" x14ac:dyDescent="0.25">
      <c r="A99" s="16" t="str">
        <f>IF(Country_1!$C100="","",Country_1!A100)</f>
        <v/>
      </c>
      <c r="B99" s="16" t="str">
        <f>IF(Country_1!$C100="","",Country_1!B100)</f>
        <v/>
      </c>
      <c r="C99" s="16" t="str">
        <f>IF(Country_1!$C100="","",Country_1!C100)</f>
        <v/>
      </c>
      <c r="D99" s="16" t="str">
        <f>IF(Country_1!$C100="","",Country_1!D100)</f>
        <v/>
      </c>
      <c r="E99" s="16" t="str">
        <f>IF(Country_1!$C100="","",Country_1!E100)</f>
        <v/>
      </c>
      <c r="F99" s="16" t="str">
        <f>IF(Country_1!$C100="","",Country_1!F100)</f>
        <v/>
      </c>
      <c r="G99" s="17" t="str">
        <f>IF(Country_1!$C100="","",Country_1!G100)</f>
        <v/>
      </c>
      <c r="H99" s="17" t="str">
        <f>IF(Country_1!$C100="","",Country_1!H100)</f>
        <v/>
      </c>
      <c r="I99" s="16" t="str">
        <f>IF(Country_1!$C100="","",Country_1!I100)</f>
        <v/>
      </c>
      <c r="J99" s="16" t="str">
        <f>IF(Country_1!$C100="","",Country_1!J100)</f>
        <v/>
      </c>
      <c r="K99" s="18" t="str">
        <f>IF(Country_1!$C100="","",Country_1!K100)</f>
        <v/>
      </c>
      <c r="L99" s="18" t="str">
        <f>IF(Country_1!$C100="","",Country_1!L100)</f>
        <v/>
      </c>
      <c r="M99" s="19" t="str">
        <f>IF(Country_1!$C100="","",Country_1!M100)</f>
        <v/>
      </c>
      <c r="N99" s="16" t="str">
        <f>IF(Country_1!$C100="","",Country_1!N100)</f>
        <v/>
      </c>
      <c r="O99" s="16" t="str">
        <f>IF(Country_1!$C100="","",Country_1!O100)</f>
        <v/>
      </c>
      <c r="P99" s="16" t="str">
        <f>IF(Country_1!$C100="","",Country_1!P100)</f>
        <v/>
      </c>
      <c r="Q99" s="16" t="str">
        <f>IF(Country_1!$C100="","",Country_1!Q100)</f>
        <v/>
      </c>
    </row>
    <row r="100" spans="1:17" x14ac:dyDescent="0.25">
      <c r="A100" s="16" t="str">
        <f>IF(Country_1!$C101="","",Country_1!A101)</f>
        <v/>
      </c>
      <c r="B100" s="16" t="str">
        <f>IF(Country_1!$C101="","",Country_1!B101)</f>
        <v/>
      </c>
      <c r="C100" s="16" t="str">
        <f>IF(Country_1!$C101="","",Country_1!C101)</f>
        <v/>
      </c>
      <c r="D100" s="16" t="str">
        <f>IF(Country_1!$C101="","",Country_1!D101)</f>
        <v/>
      </c>
      <c r="E100" s="16" t="str">
        <f>IF(Country_1!$C101="","",Country_1!E101)</f>
        <v/>
      </c>
      <c r="F100" s="16" t="str">
        <f>IF(Country_1!$C101="","",Country_1!F101)</f>
        <v/>
      </c>
      <c r="G100" s="17" t="str">
        <f>IF(Country_1!$C101="","",Country_1!G101)</f>
        <v/>
      </c>
      <c r="H100" s="17" t="str">
        <f>IF(Country_1!$C101="","",Country_1!H101)</f>
        <v/>
      </c>
      <c r="I100" s="16" t="str">
        <f>IF(Country_1!$C101="","",Country_1!I101)</f>
        <v/>
      </c>
      <c r="J100" s="16" t="str">
        <f>IF(Country_1!$C101="","",Country_1!J101)</f>
        <v/>
      </c>
      <c r="K100" s="18" t="str">
        <f>IF(Country_1!$C101="","",Country_1!K101)</f>
        <v/>
      </c>
      <c r="L100" s="18" t="str">
        <f>IF(Country_1!$C101="","",Country_1!L101)</f>
        <v/>
      </c>
      <c r="M100" s="19" t="str">
        <f>IF(Country_1!$C101="","",Country_1!M101)</f>
        <v/>
      </c>
      <c r="N100" s="16" t="str">
        <f>IF(Country_1!$C101="","",Country_1!N101)</f>
        <v/>
      </c>
      <c r="O100" s="16" t="str">
        <f>IF(Country_1!$C101="","",Country_1!O101)</f>
        <v/>
      </c>
      <c r="P100" s="16" t="str">
        <f>IF(Country_1!$C101="","",Country_1!P101)</f>
        <v/>
      </c>
      <c r="Q100" s="16" t="str">
        <f>IF(Country_1!$C101="","",Country_1!Q101)</f>
        <v/>
      </c>
    </row>
    <row r="101" spans="1:17" x14ac:dyDescent="0.25">
      <c r="A101" s="16" t="str">
        <f>IF(Country_1!$C102="","",Country_1!A102)</f>
        <v/>
      </c>
      <c r="B101" s="16" t="str">
        <f>IF(Country_1!$C102="","",Country_1!B102)</f>
        <v/>
      </c>
      <c r="C101" s="16" t="str">
        <f>IF(Country_1!$C102="","",Country_1!C102)</f>
        <v/>
      </c>
      <c r="D101" s="16" t="str">
        <f>IF(Country_1!$C102="","",Country_1!D102)</f>
        <v/>
      </c>
      <c r="E101" s="16" t="str">
        <f>IF(Country_1!$C102="","",Country_1!E102)</f>
        <v/>
      </c>
      <c r="F101" s="16" t="str">
        <f>IF(Country_1!$C102="","",Country_1!F102)</f>
        <v/>
      </c>
      <c r="G101" s="17" t="str">
        <f>IF(Country_1!$C102="","",Country_1!G102)</f>
        <v/>
      </c>
      <c r="H101" s="17" t="str">
        <f>IF(Country_1!$C102="","",Country_1!H102)</f>
        <v/>
      </c>
      <c r="I101" s="16" t="str">
        <f>IF(Country_1!$C102="","",Country_1!I102)</f>
        <v/>
      </c>
      <c r="J101" s="16" t="str">
        <f>IF(Country_1!$C102="","",Country_1!J102)</f>
        <v/>
      </c>
      <c r="K101" s="18" t="str">
        <f>IF(Country_1!$C102="","",Country_1!K102)</f>
        <v/>
      </c>
      <c r="L101" s="18" t="str">
        <f>IF(Country_1!$C102="","",Country_1!L102)</f>
        <v/>
      </c>
      <c r="M101" s="19" t="str">
        <f>IF(Country_1!$C102="","",Country_1!M102)</f>
        <v/>
      </c>
      <c r="N101" s="16" t="str">
        <f>IF(Country_1!$C102="","",Country_1!N102)</f>
        <v/>
      </c>
      <c r="O101" s="16" t="str">
        <f>IF(Country_1!$C102="","",Country_1!O102)</f>
        <v/>
      </c>
      <c r="P101" s="16" t="str">
        <f>IF(Country_1!$C102="","",Country_1!P102)</f>
        <v/>
      </c>
      <c r="Q101" s="16" t="str">
        <f>IF(Country_1!$C102="","",Country_1!Q102)</f>
        <v/>
      </c>
    </row>
    <row r="102" spans="1:17" x14ac:dyDescent="0.25">
      <c r="A102" s="16" t="str">
        <f>IF(Country_2!$C3="","",Country_2!A3)</f>
        <v>OI-102</v>
      </c>
      <c r="B102" s="16" t="str">
        <f>IF(Country_2!$C3="","",Country_2!B3)</f>
        <v>Community outreach events delivered</v>
      </c>
      <c r="C102" s="16" t="str">
        <f>IF(Country_2!$C3="","",Country_2!C3)</f>
        <v>C2A001</v>
      </c>
      <c r="D102" s="16" t="str">
        <f>IF(Country_2!$C3="","",Country_2!D3)</f>
        <v>Community outreach campaign 1</v>
      </c>
      <c r="E102" s="16" t="str">
        <f>IF(Country_2!$C3="","",Country_2!E3)</f>
        <v>Outreach</v>
      </c>
      <c r="F102" s="16" t="str">
        <f>IF(Country_2!$C3="","",Country_2!F3)</f>
        <v>Country_2</v>
      </c>
      <c r="G102" s="17">
        <f>IF(Country_2!$C3="","",Country_2!G3)</f>
        <v>45839</v>
      </c>
      <c r="H102" s="17">
        <f>IF(Country_2!$C3="","",Country_2!H3)</f>
        <v>45930</v>
      </c>
      <c r="I102" s="16" t="str">
        <f>IF(Country_2!$C3="","",Country_2!I3)</f>
        <v>Year 2</v>
      </c>
      <c r="J102" s="16" t="str">
        <f>IF(Country_2!$C3="","",Country_2!J3)</f>
        <v>Y2Q3</v>
      </c>
      <c r="K102" s="18">
        <f>IF(Country_2!$C3="","",Country_2!K3)</f>
        <v>49</v>
      </c>
      <c r="L102" s="18">
        <f>IF(Country_2!$C3="","",Country_2!L3)</f>
        <v>41</v>
      </c>
      <c r="M102" s="19">
        <f>IF(Country_2!$C3="","",Country_2!M3)</f>
        <v>0.83673469387755106</v>
      </c>
      <c r="N102" s="16" t="str">
        <f>IF(Country_2!$C3="","",Country_2!N3)</f>
        <v>Activity report; photo log</v>
      </c>
      <c r="O102" s="16" t="str">
        <f>IF(Country_2!$C3="","",Country_2!O3)</f>
        <v>Yes</v>
      </c>
      <c r="P102" s="16" t="str">
        <f>IF(Country_2!$C3="","",Country_2!P3)</f>
        <v>In progress</v>
      </c>
      <c r="Q102" s="16" t="str">
        <f>IF(Country_2!$C3="","",Country_2!Q3)</f>
        <v>Final attendance reconciliation pending.</v>
      </c>
    </row>
    <row r="103" spans="1:17" x14ac:dyDescent="0.25">
      <c r="A103" s="16" t="str">
        <f>IF(Country_2!$C4="","",Country_2!A4)</f>
        <v>OI-103</v>
      </c>
      <c r="B103" s="16" t="str">
        <f>IF(Country_2!$C4="","",Country_2!B4)</f>
        <v>Supportive supervision visits conducted</v>
      </c>
      <c r="C103" s="16" t="str">
        <f>IF(Country_2!$C4="","",Country_2!C4)</f>
        <v>C2A002</v>
      </c>
      <c r="D103" s="16" t="str">
        <f>IF(Country_2!$C4="","",Country_2!D4)</f>
        <v>Supportive supervision visit 2</v>
      </c>
      <c r="E103" s="16" t="str">
        <f>IF(Country_2!$C4="","",Country_2!E4)</f>
        <v>Monitoring</v>
      </c>
      <c r="F103" s="16" t="str">
        <f>IF(Country_2!$C4="","",Country_2!F4)</f>
        <v>Country_2</v>
      </c>
      <c r="G103" s="17">
        <f>IF(Country_2!$C4="","",Country_2!G4)</f>
        <v>45931</v>
      </c>
      <c r="H103" s="17">
        <f>IF(Country_2!$C4="","",Country_2!H4)</f>
        <v>46022</v>
      </c>
      <c r="I103" s="16" t="str">
        <f>IF(Country_2!$C4="","",Country_2!I4)</f>
        <v>Year 2</v>
      </c>
      <c r="J103" s="16" t="str">
        <f>IF(Country_2!$C4="","",Country_2!J4)</f>
        <v>Y2Q4</v>
      </c>
      <c r="K103" s="18">
        <f>IF(Country_2!$C4="","",Country_2!K4)</f>
        <v>54</v>
      </c>
      <c r="L103" s="18">
        <f>IF(Country_2!$C4="","",Country_2!L4)</f>
        <v>63</v>
      </c>
      <c r="M103" s="19">
        <f>IF(Country_2!$C4="","",Country_2!M4)</f>
        <v>1.1666666666666667</v>
      </c>
      <c r="N103" s="16" t="str">
        <f>IF(Country_2!$C4="","",Country_2!N4)</f>
        <v>Supervision checklist; visit report</v>
      </c>
      <c r="O103" s="16" t="str">
        <f>IF(Country_2!$C4="","",Country_2!O4)</f>
        <v>No</v>
      </c>
      <c r="P103" s="16" t="str">
        <f>IF(Country_2!$C4="","",Country_2!P4)</f>
        <v>Completed</v>
      </c>
      <c r="Q103" s="16" t="str">
        <f>IF(Country_2!$C4="","",Country_2!Q4)</f>
        <v>Completed as scheduled.</v>
      </c>
    </row>
    <row r="104" spans="1:17" x14ac:dyDescent="0.25">
      <c r="A104" s="16" t="str">
        <f>IF(Country_2!$C5="","",Country_2!A5)</f>
        <v>OI-104</v>
      </c>
      <c r="B104" s="16" t="str">
        <f>IF(Country_2!$C5="","",Country_2!B5)</f>
        <v>Policy dialogues facilitated</v>
      </c>
      <c r="C104" s="16" t="str">
        <f>IF(Country_2!$C5="","",Country_2!C5)</f>
        <v>C2A003</v>
      </c>
      <c r="D104" s="16" t="str">
        <f>IF(Country_2!$C5="","",Country_2!D5)</f>
        <v>Policy dialogue 3</v>
      </c>
      <c r="E104" s="16" t="str">
        <f>IF(Country_2!$C5="","",Country_2!E5)</f>
        <v>Advocacy</v>
      </c>
      <c r="F104" s="16" t="str">
        <f>IF(Country_2!$C5="","",Country_2!F5)</f>
        <v>Country_2</v>
      </c>
      <c r="G104" s="17">
        <f>IF(Country_2!$C5="","",Country_2!G5)</f>
        <v>46023</v>
      </c>
      <c r="H104" s="17">
        <f>IF(Country_2!$C5="","",Country_2!H5)</f>
        <v>46112</v>
      </c>
      <c r="I104" s="16" t="str">
        <f>IF(Country_2!$C5="","",Country_2!I5)</f>
        <v>Year 3</v>
      </c>
      <c r="J104" s="16" t="str">
        <f>IF(Country_2!$C5="","",Country_2!J5)</f>
        <v>Y3Q1</v>
      </c>
      <c r="K104" s="18">
        <f>IF(Country_2!$C5="","",Country_2!K5)</f>
        <v>59</v>
      </c>
      <c r="L104" s="18">
        <f>IF(Country_2!$C5="","",Country_2!L5)</f>
        <v>64</v>
      </c>
      <c r="M104" s="19">
        <f>IF(Country_2!$C5="","",Country_2!M5)</f>
        <v>1.0847457627118644</v>
      </c>
      <c r="N104" s="16" t="str">
        <f>IF(Country_2!$C5="","",Country_2!N5)</f>
        <v>Meeting minutes; participant list</v>
      </c>
      <c r="O104" s="16" t="str">
        <f>IF(Country_2!$C5="","",Country_2!O5)</f>
        <v>No</v>
      </c>
      <c r="P104" s="16" t="str">
        <f>IF(Country_2!$C5="","",Country_2!P5)</f>
        <v>Completed</v>
      </c>
      <c r="Q104" s="16" t="str">
        <f>IF(Country_2!$C5="","",Country_2!Q5)</f>
        <v>Completed as scheduled.</v>
      </c>
    </row>
    <row r="105" spans="1:17" x14ac:dyDescent="0.25">
      <c r="A105" s="16" t="str">
        <f>IF(Country_2!$C6="","",Country_2!A6)</f>
        <v>OI-101</v>
      </c>
      <c r="B105" s="16" t="str">
        <f>IF(Country_2!$C6="","",Country_2!B6)</f>
        <v>People trained in targeted skills</v>
      </c>
      <c r="C105" s="16" t="str">
        <f>IF(Country_2!$C6="","",Country_2!C6)</f>
        <v>C2A004</v>
      </c>
      <c r="D105" s="16" t="str">
        <f>IF(Country_2!$C6="","",Country_2!D6)</f>
        <v>Training workshop 4</v>
      </c>
      <c r="E105" s="16" t="str">
        <f>IF(Country_2!$C6="","",Country_2!E6)</f>
        <v>Training</v>
      </c>
      <c r="F105" s="16" t="str">
        <f>IF(Country_2!$C6="","",Country_2!F6)</f>
        <v>Country_2</v>
      </c>
      <c r="G105" s="17">
        <f>IF(Country_2!$C6="","",Country_2!G6)</f>
        <v>46113</v>
      </c>
      <c r="H105" s="17">
        <f>IF(Country_2!$C6="","",Country_2!H6)</f>
        <v>46203</v>
      </c>
      <c r="I105" s="16" t="str">
        <f>IF(Country_2!$C6="","",Country_2!I6)</f>
        <v>Year 3</v>
      </c>
      <c r="J105" s="16" t="str">
        <f>IF(Country_2!$C6="","",Country_2!J6)</f>
        <v>Y3Q2</v>
      </c>
      <c r="K105" s="18">
        <f>IF(Country_2!$C6="","",Country_2!K6)</f>
        <v>64</v>
      </c>
      <c r="L105" s="18">
        <f>IF(Country_2!$C6="","",Country_2!L6)</f>
        <v>65</v>
      </c>
      <c r="M105" s="19">
        <f>IF(Country_2!$C6="","",Country_2!M6)</f>
        <v>1.015625</v>
      </c>
      <c r="N105" s="16" t="str">
        <f>IF(Country_2!$C6="","",Country_2!N6)</f>
        <v>Signed attendance sheet; pre/post test forms</v>
      </c>
      <c r="O105" s="16" t="str">
        <f>IF(Country_2!$C6="","",Country_2!O6)</f>
        <v>Yes</v>
      </c>
      <c r="P105" s="16" t="str">
        <f>IF(Country_2!$C6="","",Country_2!P6)</f>
        <v>Completed</v>
      </c>
      <c r="Q105" s="16" t="str">
        <f>IF(Country_2!$C6="","",Country_2!Q6)</f>
        <v>Completed as scheduled.</v>
      </c>
    </row>
    <row r="106" spans="1:17" x14ac:dyDescent="0.25">
      <c r="A106" s="16" t="str">
        <f>IF(Country_2!$C7="","",Country_2!A7)</f>
        <v>OI-102</v>
      </c>
      <c r="B106" s="16" t="str">
        <f>IF(Country_2!$C7="","",Country_2!B7)</f>
        <v>Community outreach events delivered</v>
      </c>
      <c r="C106" s="16" t="str">
        <f>IF(Country_2!$C7="","",Country_2!C7)</f>
        <v>C2A005</v>
      </c>
      <c r="D106" s="16" t="str">
        <f>IF(Country_2!$C7="","",Country_2!D7)</f>
        <v>Community outreach campaign 5</v>
      </c>
      <c r="E106" s="16" t="str">
        <f>IF(Country_2!$C7="","",Country_2!E7)</f>
        <v>Outreach</v>
      </c>
      <c r="F106" s="16" t="str">
        <f>IF(Country_2!$C7="","",Country_2!F7)</f>
        <v>Country_2</v>
      </c>
      <c r="G106" s="17">
        <f>IF(Country_2!$C7="","",Country_2!G7)</f>
        <v>46204</v>
      </c>
      <c r="H106" s="17">
        <f>IF(Country_2!$C7="","",Country_2!H7)</f>
        <v>46295</v>
      </c>
      <c r="I106" s="16" t="str">
        <f>IF(Country_2!$C7="","",Country_2!I7)</f>
        <v>Year 3</v>
      </c>
      <c r="J106" s="16" t="str">
        <f>IF(Country_2!$C7="","",Country_2!J7)</f>
        <v>Y3Q3</v>
      </c>
      <c r="K106" s="18">
        <f>IF(Country_2!$C7="","",Country_2!K7)</f>
        <v>69</v>
      </c>
      <c r="L106" s="18">
        <f>IF(Country_2!$C7="","",Country_2!L7)</f>
        <v>0</v>
      </c>
      <c r="M106" s="19">
        <f>IF(Country_2!$C7="","",Country_2!M7)</f>
        <v>0</v>
      </c>
      <c r="N106" s="16" t="str">
        <f>IF(Country_2!$C7="","",Country_2!N7)</f>
        <v>Activity report; photo log</v>
      </c>
      <c r="O106" s="16" t="str">
        <f>IF(Country_2!$C7="","",Country_2!O7)</f>
        <v>No</v>
      </c>
      <c r="P106" s="16" t="str">
        <f>IF(Country_2!$C7="","",Country_2!P7)</f>
        <v>Not started</v>
      </c>
      <c r="Q106" s="16" t="str">
        <f>IF(Country_2!$C7="","",Country_2!Q7)</f>
        <v>Planned for a future quarter.</v>
      </c>
    </row>
    <row r="107" spans="1:17" x14ac:dyDescent="0.25">
      <c r="A107" s="16" t="str">
        <f>IF(Country_2!$C8="","",Country_2!A8)</f>
        <v>OI-103</v>
      </c>
      <c r="B107" s="16" t="str">
        <f>IF(Country_2!$C8="","",Country_2!B8)</f>
        <v>Supportive supervision visits conducted</v>
      </c>
      <c r="C107" s="16" t="str">
        <f>IF(Country_2!$C8="","",Country_2!C8)</f>
        <v>C2A006</v>
      </c>
      <c r="D107" s="16" t="str">
        <f>IF(Country_2!$C8="","",Country_2!D8)</f>
        <v>Supportive supervision visit 6</v>
      </c>
      <c r="E107" s="16" t="str">
        <f>IF(Country_2!$C8="","",Country_2!E8)</f>
        <v>Monitoring</v>
      </c>
      <c r="F107" s="16" t="str">
        <f>IF(Country_2!$C8="","",Country_2!F8)</f>
        <v>Country_2</v>
      </c>
      <c r="G107" s="17">
        <f>IF(Country_2!$C8="","",Country_2!G8)</f>
        <v>46296</v>
      </c>
      <c r="H107" s="17">
        <f>IF(Country_2!$C8="","",Country_2!H8)</f>
        <v>46387</v>
      </c>
      <c r="I107" s="16" t="str">
        <f>IF(Country_2!$C8="","",Country_2!I8)</f>
        <v>Year 3</v>
      </c>
      <c r="J107" s="16" t="str">
        <f>IF(Country_2!$C8="","",Country_2!J8)</f>
        <v>Y3Q4</v>
      </c>
      <c r="K107" s="18">
        <f>IF(Country_2!$C8="","",Country_2!K8)</f>
        <v>74</v>
      </c>
      <c r="L107" s="18">
        <f>IF(Country_2!$C8="","",Country_2!L8)</f>
        <v>0</v>
      </c>
      <c r="M107" s="19">
        <f>IF(Country_2!$C8="","",Country_2!M8)</f>
        <v>0</v>
      </c>
      <c r="N107" s="16" t="str">
        <f>IF(Country_2!$C8="","",Country_2!N8)</f>
        <v>Supervision checklist; visit report</v>
      </c>
      <c r="O107" s="16" t="str">
        <f>IF(Country_2!$C8="","",Country_2!O8)</f>
        <v>No</v>
      </c>
      <c r="P107" s="16" t="str">
        <f>IF(Country_2!$C8="","",Country_2!P8)</f>
        <v>Not started</v>
      </c>
      <c r="Q107" s="16" t="str">
        <f>IF(Country_2!$C8="","",Country_2!Q8)</f>
        <v>Planned for a future quarter.</v>
      </c>
    </row>
    <row r="108" spans="1:17" x14ac:dyDescent="0.25">
      <c r="A108" s="16" t="str">
        <f>IF(Country_2!$C9="","",Country_2!A9)</f>
        <v/>
      </c>
      <c r="B108" s="16" t="str">
        <f>IF(Country_2!$C9="","",Country_2!B9)</f>
        <v/>
      </c>
      <c r="C108" s="16" t="str">
        <f>IF(Country_2!$C9="","",Country_2!C9)</f>
        <v/>
      </c>
      <c r="D108" s="16" t="str">
        <f>IF(Country_2!$C9="","",Country_2!D9)</f>
        <v/>
      </c>
      <c r="E108" s="16" t="str">
        <f>IF(Country_2!$C9="","",Country_2!E9)</f>
        <v/>
      </c>
      <c r="F108" s="16" t="str">
        <f>IF(Country_2!$C9="","",Country_2!F9)</f>
        <v/>
      </c>
      <c r="G108" s="17" t="str">
        <f>IF(Country_2!$C9="","",Country_2!G9)</f>
        <v/>
      </c>
      <c r="H108" s="17" t="str">
        <f>IF(Country_2!$C9="","",Country_2!H9)</f>
        <v/>
      </c>
      <c r="I108" s="16" t="str">
        <f>IF(Country_2!$C9="","",Country_2!I9)</f>
        <v/>
      </c>
      <c r="J108" s="16" t="str">
        <f>IF(Country_2!$C9="","",Country_2!J9)</f>
        <v/>
      </c>
      <c r="K108" s="18" t="str">
        <f>IF(Country_2!$C9="","",Country_2!K9)</f>
        <v/>
      </c>
      <c r="L108" s="18" t="str">
        <f>IF(Country_2!$C9="","",Country_2!L9)</f>
        <v/>
      </c>
      <c r="M108" s="19" t="str">
        <f>IF(Country_2!$C9="","",Country_2!M9)</f>
        <v/>
      </c>
      <c r="N108" s="16" t="str">
        <f>IF(Country_2!$C9="","",Country_2!N9)</f>
        <v/>
      </c>
      <c r="O108" s="16" t="str">
        <f>IF(Country_2!$C9="","",Country_2!O9)</f>
        <v/>
      </c>
      <c r="P108" s="16" t="str">
        <f>IF(Country_2!$C9="","",Country_2!P9)</f>
        <v/>
      </c>
      <c r="Q108" s="16" t="str">
        <f>IF(Country_2!$C9="","",Country_2!Q9)</f>
        <v/>
      </c>
    </row>
    <row r="109" spans="1:17" x14ac:dyDescent="0.25">
      <c r="A109" s="16" t="str">
        <f>IF(Country_2!$C10="","",Country_2!A10)</f>
        <v/>
      </c>
      <c r="B109" s="16" t="str">
        <f>IF(Country_2!$C10="","",Country_2!B10)</f>
        <v/>
      </c>
      <c r="C109" s="16" t="str">
        <f>IF(Country_2!$C10="","",Country_2!C10)</f>
        <v/>
      </c>
      <c r="D109" s="16" t="str">
        <f>IF(Country_2!$C10="","",Country_2!D10)</f>
        <v/>
      </c>
      <c r="E109" s="16" t="str">
        <f>IF(Country_2!$C10="","",Country_2!E10)</f>
        <v/>
      </c>
      <c r="F109" s="16" t="str">
        <f>IF(Country_2!$C10="","",Country_2!F10)</f>
        <v/>
      </c>
      <c r="G109" s="17" t="str">
        <f>IF(Country_2!$C10="","",Country_2!G10)</f>
        <v/>
      </c>
      <c r="H109" s="17" t="str">
        <f>IF(Country_2!$C10="","",Country_2!H10)</f>
        <v/>
      </c>
      <c r="I109" s="16" t="str">
        <f>IF(Country_2!$C10="","",Country_2!I10)</f>
        <v/>
      </c>
      <c r="J109" s="16" t="str">
        <f>IF(Country_2!$C10="","",Country_2!J10)</f>
        <v/>
      </c>
      <c r="K109" s="18" t="str">
        <f>IF(Country_2!$C10="","",Country_2!K10)</f>
        <v/>
      </c>
      <c r="L109" s="18" t="str">
        <f>IF(Country_2!$C10="","",Country_2!L10)</f>
        <v/>
      </c>
      <c r="M109" s="19" t="str">
        <f>IF(Country_2!$C10="","",Country_2!M10)</f>
        <v/>
      </c>
      <c r="N109" s="16" t="str">
        <f>IF(Country_2!$C10="","",Country_2!N10)</f>
        <v/>
      </c>
      <c r="O109" s="16" t="str">
        <f>IF(Country_2!$C10="","",Country_2!O10)</f>
        <v/>
      </c>
      <c r="P109" s="16" t="str">
        <f>IF(Country_2!$C10="","",Country_2!P10)</f>
        <v/>
      </c>
      <c r="Q109" s="16" t="str">
        <f>IF(Country_2!$C10="","",Country_2!Q10)</f>
        <v/>
      </c>
    </row>
    <row r="110" spans="1:17" x14ac:dyDescent="0.25">
      <c r="A110" s="16" t="str">
        <f>IF(Country_2!$C11="","",Country_2!A11)</f>
        <v/>
      </c>
      <c r="B110" s="16" t="str">
        <f>IF(Country_2!$C11="","",Country_2!B11)</f>
        <v/>
      </c>
      <c r="C110" s="16" t="str">
        <f>IF(Country_2!$C11="","",Country_2!C11)</f>
        <v/>
      </c>
      <c r="D110" s="16" t="str">
        <f>IF(Country_2!$C11="","",Country_2!D11)</f>
        <v/>
      </c>
      <c r="E110" s="16" t="str">
        <f>IF(Country_2!$C11="","",Country_2!E11)</f>
        <v/>
      </c>
      <c r="F110" s="16" t="str">
        <f>IF(Country_2!$C11="","",Country_2!F11)</f>
        <v/>
      </c>
      <c r="G110" s="17" t="str">
        <f>IF(Country_2!$C11="","",Country_2!G11)</f>
        <v/>
      </c>
      <c r="H110" s="17" t="str">
        <f>IF(Country_2!$C11="","",Country_2!H11)</f>
        <v/>
      </c>
      <c r="I110" s="16" t="str">
        <f>IF(Country_2!$C11="","",Country_2!I11)</f>
        <v/>
      </c>
      <c r="J110" s="16" t="str">
        <f>IF(Country_2!$C11="","",Country_2!J11)</f>
        <v/>
      </c>
      <c r="K110" s="18" t="str">
        <f>IF(Country_2!$C11="","",Country_2!K11)</f>
        <v/>
      </c>
      <c r="L110" s="18" t="str">
        <f>IF(Country_2!$C11="","",Country_2!L11)</f>
        <v/>
      </c>
      <c r="M110" s="19" t="str">
        <f>IF(Country_2!$C11="","",Country_2!M11)</f>
        <v/>
      </c>
      <c r="N110" s="16" t="str">
        <f>IF(Country_2!$C11="","",Country_2!N11)</f>
        <v/>
      </c>
      <c r="O110" s="16" t="str">
        <f>IF(Country_2!$C11="","",Country_2!O11)</f>
        <v/>
      </c>
      <c r="P110" s="16" t="str">
        <f>IF(Country_2!$C11="","",Country_2!P11)</f>
        <v/>
      </c>
      <c r="Q110" s="16" t="str">
        <f>IF(Country_2!$C11="","",Country_2!Q11)</f>
        <v/>
      </c>
    </row>
    <row r="111" spans="1:17" x14ac:dyDescent="0.25">
      <c r="A111" s="16" t="str">
        <f>IF(Country_2!$C12="","",Country_2!A12)</f>
        <v/>
      </c>
      <c r="B111" s="16" t="str">
        <f>IF(Country_2!$C12="","",Country_2!B12)</f>
        <v/>
      </c>
      <c r="C111" s="16" t="str">
        <f>IF(Country_2!$C12="","",Country_2!C12)</f>
        <v/>
      </c>
      <c r="D111" s="16" t="str">
        <f>IF(Country_2!$C12="","",Country_2!D12)</f>
        <v/>
      </c>
      <c r="E111" s="16" t="str">
        <f>IF(Country_2!$C12="","",Country_2!E12)</f>
        <v/>
      </c>
      <c r="F111" s="16" t="str">
        <f>IF(Country_2!$C12="","",Country_2!F12)</f>
        <v/>
      </c>
      <c r="G111" s="17" t="str">
        <f>IF(Country_2!$C12="","",Country_2!G12)</f>
        <v/>
      </c>
      <c r="H111" s="17" t="str">
        <f>IF(Country_2!$C12="","",Country_2!H12)</f>
        <v/>
      </c>
      <c r="I111" s="16" t="str">
        <f>IF(Country_2!$C12="","",Country_2!I12)</f>
        <v/>
      </c>
      <c r="J111" s="16" t="str">
        <f>IF(Country_2!$C12="","",Country_2!J12)</f>
        <v/>
      </c>
      <c r="K111" s="18" t="str">
        <f>IF(Country_2!$C12="","",Country_2!K12)</f>
        <v/>
      </c>
      <c r="L111" s="18" t="str">
        <f>IF(Country_2!$C12="","",Country_2!L12)</f>
        <v/>
      </c>
      <c r="M111" s="19" t="str">
        <f>IF(Country_2!$C12="","",Country_2!M12)</f>
        <v/>
      </c>
      <c r="N111" s="16" t="str">
        <f>IF(Country_2!$C12="","",Country_2!N12)</f>
        <v/>
      </c>
      <c r="O111" s="16" t="str">
        <f>IF(Country_2!$C12="","",Country_2!O12)</f>
        <v/>
      </c>
      <c r="P111" s="16" t="str">
        <f>IF(Country_2!$C12="","",Country_2!P12)</f>
        <v/>
      </c>
      <c r="Q111" s="16" t="str">
        <f>IF(Country_2!$C12="","",Country_2!Q12)</f>
        <v/>
      </c>
    </row>
    <row r="112" spans="1:17" x14ac:dyDescent="0.25">
      <c r="A112" s="16" t="str">
        <f>IF(Country_2!$C13="","",Country_2!A13)</f>
        <v/>
      </c>
      <c r="B112" s="16" t="str">
        <f>IF(Country_2!$C13="","",Country_2!B13)</f>
        <v/>
      </c>
      <c r="C112" s="16" t="str">
        <f>IF(Country_2!$C13="","",Country_2!C13)</f>
        <v/>
      </c>
      <c r="D112" s="16" t="str">
        <f>IF(Country_2!$C13="","",Country_2!D13)</f>
        <v/>
      </c>
      <c r="E112" s="16" t="str">
        <f>IF(Country_2!$C13="","",Country_2!E13)</f>
        <v/>
      </c>
      <c r="F112" s="16" t="str">
        <f>IF(Country_2!$C13="","",Country_2!F13)</f>
        <v/>
      </c>
      <c r="G112" s="17" t="str">
        <f>IF(Country_2!$C13="","",Country_2!G13)</f>
        <v/>
      </c>
      <c r="H112" s="17" t="str">
        <f>IF(Country_2!$C13="","",Country_2!H13)</f>
        <v/>
      </c>
      <c r="I112" s="16" t="str">
        <f>IF(Country_2!$C13="","",Country_2!I13)</f>
        <v/>
      </c>
      <c r="J112" s="16" t="str">
        <f>IF(Country_2!$C13="","",Country_2!J13)</f>
        <v/>
      </c>
      <c r="K112" s="18" t="str">
        <f>IF(Country_2!$C13="","",Country_2!K13)</f>
        <v/>
      </c>
      <c r="L112" s="18" t="str">
        <f>IF(Country_2!$C13="","",Country_2!L13)</f>
        <v/>
      </c>
      <c r="M112" s="19" t="str">
        <f>IF(Country_2!$C13="","",Country_2!M13)</f>
        <v/>
      </c>
      <c r="N112" s="16" t="str">
        <f>IF(Country_2!$C13="","",Country_2!N13)</f>
        <v/>
      </c>
      <c r="O112" s="16" t="str">
        <f>IF(Country_2!$C13="","",Country_2!O13)</f>
        <v/>
      </c>
      <c r="P112" s="16" t="str">
        <f>IF(Country_2!$C13="","",Country_2!P13)</f>
        <v/>
      </c>
      <c r="Q112" s="16" t="str">
        <f>IF(Country_2!$C13="","",Country_2!Q13)</f>
        <v/>
      </c>
    </row>
    <row r="113" spans="1:17" x14ac:dyDescent="0.25">
      <c r="A113" s="16" t="str">
        <f>IF(Country_2!$C14="","",Country_2!A14)</f>
        <v/>
      </c>
      <c r="B113" s="16" t="str">
        <f>IF(Country_2!$C14="","",Country_2!B14)</f>
        <v/>
      </c>
      <c r="C113" s="16" t="str">
        <f>IF(Country_2!$C14="","",Country_2!C14)</f>
        <v/>
      </c>
      <c r="D113" s="16" t="str">
        <f>IF(Country_2!$C14="","",Country_2!D14)</f>
        <v/>
      </c>
      <c r="E113" s="16" t="str">
        <f>IF(Country_2!$C14="","",Country_2!E14)</f>
        <v/>
      </c>
      <c r="F113" s="16" t="str">
        <f>IF(Country_2!$C14="","",Country_2!F14)</f>
        <v/>
      </c>
      <c r="G113" s="17" t="str">
        <f>IF(Country_2!$C14="","",Country_2!G14)</f>
        <v/>
      </c>
      <c r="H113" s="17" t="str">
        <f>IF(Country_2!$C14="","",Country_2!H14)</f>
        <v/>
      </c>
      <c r="I113" s="16" t="str">
        <f>IF(Country_2!$C14="","",Country_2!I14)</f>
        <v/>
      </c>
      <c r="J113" s="16" t="str">
        <f>IF(Country_2!$C14="","",Country_2!J14)</f>
        <v/>
      </c>
      <c r="K113" s="18" t="str">
        <f>IF(Country_2!$C14="","",Country_2!K14)</f>
        <v/>
      </c>
      <c r="L113" s="18" t="str">
        <f>IF(Country_2!$C14="","",Country_2!L14)</f>
        <v/>
      </c>
      <c r="M113" s="19" t="str">
        <f>IF(Country_2!$C14="","",Country_2!M14)</f>
        <v/>
      </c>
      <c r="N113" s="16" t="str">
        <f>IF(Country_2!$C14="","",Country_2!N14)</f>
        <v/>
      </c>
      <c r="O113" s="16" t="str">
        <f>IF(Country_2!$C14="","",Country_2!O14)</f>
        <v/>
      </c>
      <c r="P113" s="16" t="str">
        <f>IF(Country_2!$C14="","",Country_2!P14)</f>
        <v/>
      </c>
      <c r="Q113" s="16" t="str">
        <f>IF(Country_2!$C14="","",Country_2!Q14)</f>
        <v/>
      </c>
    </row>
    <row r="114" spans="1:17" x14ac:dyDescent="0.25">
      <c r="A114" s="16" t="str">
        <f>IF(Country_2!$C15="","",Country_2!A15)</f>
        <v/>
      </c>
      <c r="B114" s="16" t="str">
        <f>IF(Country_2!$C15="","",Country_2!B15)</f>
        <v/>
      </c>
      <c r="C114" s="16" t="str">
        <f>IF(Country_2!$C15="","",Country_2!C15)</f>
        <v/>
      </c>
      <c r="D114" s="16" t="str">
        <f>IF(Country_2!$C15="","",Country_2!D15)</f>
        <v/>
      </c>
      <c r="E114" s="16" t="str">
        <f>IF(Country_2!$C15="","",Country_2!E15)</f>
        <v/>
      </c>
      <c r="F114" s="16" t="str">
        <f>IF(Country_2!$C15="","",Country_2!F15)</f>
        <v/>
      </c>
      <c r="G114" s="17" t="str">
        <f>IF(Country_2!$C15="","",Country_2!G15)</f>
        <v/>
      </c>
      <c r="H114" s="17" t="str">
        <f>IF(Country_2!$C15="","",Country_2!H15)</f>
        <v/>
      </c>
      <c r="I114" s="16" t="str">
        <f>IF(Country_2!$C15="","",Country_2!I15)</f>
        <v/>
      </c>
      <c r="J114" s="16" t="str">
        <f>IF(Country_2!$C15="","",Country_2!J15)</f>
        <v/>
      </c>
      <c r="K114" s="18" t="str">
        <f>IF(Country_2!$C15="","",Country_2!K15)</f>
        <v/>
      </c>
      <c r="L114" s="18" t="str">
        <f>IF(Country_2!$C15="","",Country_2!L15)</f>
        <v/>
      </c>
      <c r="M114" s="19" t="str">
        <f>IF(Country_2!$C15="","",Country_2!M15)</f>
        <v/>
      </c>
      <c r="N114" s="16" t="str">
        <f>IF(Country_2!$C15="","",Country_2!N15)</f>
        <v/>
      </c>
      <c r="O114" s="16" t="str">
        <f>IF(Country_2!$C15="","",Country_2!O15)</f>
        <v/>
      </c>
      <c r="P114" s="16" t="str">
        <f>IF(Country_2!$C15="","",Country_2!P15)</f>
        <v/>
      </c>
      <c r="Q114" s="16" t="str">
        <f>IF(Country_2!$C15="","",Country_2!Q15)</f>
        <v/>
      </c>
    </row>
    <row r="115" spans="1:17" x14ac:dyDescent="0.25">
      <c r="A115" s="16" t="str">
        <f>IF(Country_2!$C16="","",Country_2!A16)</f>
        <v/>
      </c>
      <c r="B115" s="16" t="str">
        <f>IF(Country_2!$C16="","",Country_2!B16)</f>
        <v/>
      </c>
      <c r="C115" s="16" t="str">
        <f>IF(Country_2!$C16="","",Country_2!C16)</f>
        <v/>
      </c>
      <c r="D115" s="16" t="str">
        <f>IF(Country_2!$C16="","",Country_2!D16)</f>
        <v/>
      </c>
      <c r="E115" s="16" t="str">
        <f>IF(Country_2!$C16="","",Country_2!E16)</f>
        <v/>
      </c>
      <c r="F115" s="16" t="str">
        <f>IF(Country_2!$C16="","",Country_2!F16)</f>
        <v/>
      </c>
      <c r="G115" s="17" t="str">
        <f>IF(Country_2!$C16="","",Country_2!G16)</f>
        <v/>
      </c>
      <c r="H115" s="17" t="str">
        <f>IF(Country_2!$C16="","",Country_2!H16)</f>
        <v/>
      </c>
      <c r="I115" s="16" t="str">
        <f>IF(Country_2!$C16="","",Country_2!I16)</f>
        <v/>
      </c>
      <c r="J115" s="16" t="str">
        <f>IF(Country_2!$C16="","",Country_2!J16)</f>
        <v/>
      </c>
      <c r="K115" s="18" t="str">
        <f>IF(Country_2!$C16="","",Country_2!K16)</f>
        <v/>
      </c>
      <c r="L115" s="18" t="str">
        <f>IF(Country_2!$C16="","",Country_2!L16)</f>
        <v/>
      </c>
      <c r="M115" s="19" t="str">
        <f>IF(Country_2!$C16="","",Country_2!M16)</f>
        <v/>
      </c>
      <c r="N115" s="16" t="str">
        <f>IF(Country_2!$C16="","",Country_2!N16)</f>
        <v/>
      </c>
      <c r="O115" s="16" t="str">
        <f>IF(Country_2!$C16="","",Country_2!O16)</f>
        <v/>
      </c>
      <c r="P115" s="16" t="str">
        <f>IF(Country_2!$C16="","",Country_2!P16)</f>
        <v/>
      </c>
      <c r="Q115" s="16" t="str">
        <f>IF(Country_2!$C16="","",Country_2!Q16)</f>
        <v/>
      </c>
    </row>
    <row r="116" spans="1:17" x14ac:dyDescent="0.25">
      <c r="A116" s="16" t="str">
        <f>IF(Country_2!$C17="","",Country_2!A17)</f>
        <v/>
      </c>
      <c r="B116" s="16" t="str">
        <f>IF(Country_2!$C17="","",Country_2!B17)</f>
        <v/>
      </c>
      <c r="C116" s="16" t="str">
        <f>IF(Country_2!$C17="","",Country_2!C17)</f>
        <v/>
      </c>
      <c r="D116" s="16" t="str">
        <f>IF(Country_2!$C17="","",Country_2!D17)</f>
        <v/>
      </c>
      <c r="E116" s="16" t="str">
        <f>IF(Country_2!$C17="","",Country_2!E17)</f>
        <v/>
      </c>
      <c r="F116" s="16" t="str">
        <f>IF(Country_2!$C17="","",Country_2!F17)</f>
        <v/>
      </c>
      <c r="G116" s="17" t="str">
        <f>IF(Country_2!$C17="","",Country_2!G17)</f>
        <v/>
      </c>
      <c r="H116" s="17" t="str">
        <f>IF(Country_2!$C17="","",Country_2!H17)</f>
        <v/>
      </c>
      <c r="I116" s="16" t="str">
        <f>IF(Country_2!$C17="","",Country_2!I17)</f>
        <v/>
      </c>
      <c r="J116" s="16" t="str">
        <f>IF(Country_2!$C17="","",Country_2!J17)</f>
        <v/>
      </c>
      <c r="K116" s="18" t="str">
        <f>IF(Country_2!$C17="","",Country_2!K17)</f>
        <v/>
      </c>
      <c r="L116" s="18" t="str">
        <f>IF(Country_2!$C17="","",Country_2!L17)</f>
        <v/>
      </c>
      <c r="M116" s="19" t="str">
        <f>IF(Country_2!$C17="","",Country_2!M17)</f>
        <v/>
      </c>
      <c r="N116" s="16" t="str">
        <f>IF(Country_2!$C17="","",Country_2!N17)</f>
        <v/>
      </c>
      <c r="O116" s="16" t="str">
        <f>IF(Country_2!$C17="","",Country_2!O17)</f>
        <v/>
      </c>
      <c r="P116" s="16" t="str">
        <f>IF(Country_2!$C17="","",Country_2!P17)</f>
        <v/>
      </c>
      <c r="Q116" s="16" t="str">
        <f>IF(Country_2!$C17="","",Country_2!Q17)</f>
        <v/>
      </c>
    </row>
    <row r="117" spans="1:17" x14ac:dyDescent="0.25">
      <c r="A117" s="16" t="str">
        <f>IF(Country_2!$C18="","",Country_2!A18)</f>
        <v/>
      </c>
      <c r="B117" s="16" t="str">
        <f>IF(Country_2!$C18="","",Country_2!B18)</f>
        <v/>
      </c>
      <c r="C117" s="16" t="str">
        <f>IF(Country_2!$C18="","",Country_2!C18)</f>
        <v/>
      </c>
      <c r="D117" s="16" t="str">
        <f>IF(Country_2!$C18="","",Country_2!D18)</f>
        <v/>
      </c>
      <c r="E117" s="16" t="str">
        <f>IF(Country_2!$C18="","",Country_2!E18)</f>
        <v/>
      </c>
      <c r="F117" s="16" t="str">
        <f>IF(Country_2!$C18="","",Country_2!F18)</f>
        <v/>
      </c>
      <c r="G117" s="17" t="str">
        <f>IF(Country_2!$C18="","",Country_2!G18)</f>
        <v/>
      </c>
      <c r="H117" s="17" t="str">
        <f>IF(Country_2!$C18="","",Country_2!H18)</f>
        <v/>
      </c>
      <c r="I117" s="16" t="str">
        <f>IF(Country_2!$C18="","",Country_2!I18)</f>
        <v/>
      </c>
      <c r="J117" s="16" t="str">
        <f>IF(Country_2!$C18="","",Country_2!J18)</f>
        <v/>
      </c>
      <c r="K117" s="18" t="str">
        <f>IF(Country_2!$C18="","",Country_2!K18)</f>
        <v/>
      </c>
      <c r="L117" s="18" t="str">
        <f>IF(Country_2!$C18="","",Country_2!L18)</f>
        <v/>
      </c>
      <c r="M117" s="19" t="str">
        <f>IF(Country_2!$C18="","",Country_2!M18)</f>
        <v/>
      </c>
      <c r="N117" s="16" t="str">
        <f>IF(Country_2!$C18="","",Country_2!N18)</f>
        <v/>
      </c>
      <c r="O117" s="16" t="str">
        <f>IF(Country_2!$C18="","",Country_2!O18)</f>
        <v/>
      </c>
      <c r="P117" s="16" t="str">
        <f>IF(Country_2!$C18="","",Country_2!P18)</f>
        <v/>
      </c>
      <c r="Q117" s="16" t="str">
        <f>IF(Country_2!$C18="","",Country_2!Q18)</f>
        <v/>
      </c>
    </row>
    <row r="118" spans="1:17" x14ac:dyDescent="0.25">
      <c r="A118" s="16" t="str">
        <f>IF(Country_2!$C19="","",Country_2!A19)</f>
        <v/>
      </c>
      <c r="B118" s="16" t="str">
        <f>IF(Country_2!$C19="","",Country_2!B19)</f>
        <v/>
      </c>
      <c r="C118" s="16" t="str">
        <f>IF(Country_2!$C19="","",Country_2!C19)</f>
        <v/>
      </c>
      <c r="D118" s="16" t="str">
        <f>IF(Country_2!$C19="","",Country_2!D19)</f>
        <v/>
      </c>
      <c r="E118" s="16" t="str">
        <f>IF(Country_2!$C19="","",Country_2!E19)</f>
        <v/>
      </c>
      <c r="F118" s="16" t="str">
        <f>IF(Country_2!$C19="","",Country_2!F19)</f>
        <v/>
      </c>
      <c r="G118" s="17" t="str">
        <f>IF(Country_2!$C19="","",Country_2!G19)</f>
        <v/>
      </c>
      <c r="H118" s="17" t="str">
        <f>IF(Country_2!$C19="","",Country_2!H19)</f>
        <v/>
      </c>
      <c r="I118" s="16" t="str">
        <f>IF(Country_2!$C19="","",Country_2!I19)</f>
        <v/>
      </c>
      <c r="J118" s="16" t="str">
        <f>IF(Country_2!$C19="","",Country_2!J19)</f>
        <v/>
      </c>
      <c r="K118" s="18" t="str">
        <f>IF(Country_2!$C19="","",Country_2!K19)</f>
        <v/>
      </c>
      <c r="L118" s="18" t="str">
        <f>IF(Country_2!$C19="","",Country_2!L19)</f>
        <v/>
      </c>
      <c r="M118" s="19" t="str">
        <f>IF(Country_2!$C19="","",Country_2!M19)</f>
        <v/>
      </c>
      <c r="N118" s="16" t="str">
        <f>IF(Country_2!$C19="","",Country_2!N19)</f>
        <v/>
      </c>
      <c r="O118" s="16" t="str">
        <f>IF(Country_2!$C19="","",Country_2!O19)</f>
        <v/>
      </c>
      <c r="P118" s="16" t="str">
        <f>IF(Country_2!$C19="","",Country_2!P19)</f>
        <v/>
      </c>
      <c r="Q118" s="16" t="str">
        <f>IF(Country_2!$C19="","",Country_2!Q19)</f>
        <v/>
      </c>
    </row>
    <row r="119" spans="1:17" x14ac:dyDescent="0.25">
      <c r="A119" s="16" t="str">
        <f>IF(Country_2!$C20="","",Country_2!A20)</f>
        <v/>
      </c>
      <c r="B119" s="16" t="str">
        <f>IF(Country_2!$C20="","",Country_2!B20)</f>
        <v/>
      </c>
      <c r="C119" s="16" t="str">
        <f>IF(Country_2!$C20="","",Country_2!C20)</f>
        <v/>
      </c>
      <c r="D119" s="16" t="str">
        <f>IF(Country_2!$C20="","",Country_2!D20)</f>
        <v/>
      </c>
      <c r="E119" s="16" t="str">
        <f>IF(Country_2!$C20="","",Country_2!E20)</f>
        <v/>
      </c>
      <c r="F119" s="16" t="str">
        <f>IF(Country_2!$C20="","",Country_2!F20)</f>
        <v/>
      </c>
      <c r="G119" s="17" t="str">
        <f>IF(Country_2!$C20="","",Country_2!G20)</f>
        <v/>
      </c>
      <c r="H119" s="17" t="str">
        <f>IF(Country_2!$C20="","",Country_2!H20)</f>
        <v/>
      </c>
      <c r="I119" s="16" t="str">
        <f>IF(Country_2!$C20="","",Country_2!I20)</f>
        <v/>
      </c>
      <c r="J119" s="16" t="str">
        <f>IF(Country_2!$C20="","",Country_2!J20)</f>
        <v/>
      </c>
      <c r="K119" s="18" t="str">
        <f>IF(Country_2!$C20="","",Country_2!K20)</f>
        <v/>
      </c>
      <c r="L119" s="18" t="str">
        <f>IF(Country_2!$C20="","",Country_2!L20)</f>
        <v/>
      </c>
      <c r="M119" s="19" t="str">
        <f>IF(Country_2!$C20="","",Country_2!M20)</f>
        <v/>
      </c>
      <c r="N119" s="16" t="str">
        <f>IF(Country_2!$C20="","",Country_2!N20)</f>
        <v/>
      </c>
      <c r="O119" s="16" t="str">
        <f>IF(Country_2!$C20="","",Country_2!O20)</f>
        <v/>
      </c>
      <c r="P119" s="16" t="str">
        <f>IF(Country_2!$C20="","",Country_2!P20)</f>
        <v/>
      </c>
      <c r="Q119" s="16" t="str">
        <f>IF(Country_2!$C20="","",Country_2!Q20)</f>
        <v/>
      </c>
    </row>
    <row r="120" spans="1:17" x14ac:dyDescent="0.25">
      <c r="A120" s="16" t="str">
        <f>IF(Country_2!$C21="","",Country_2!A21)</f>
        <v/>
      </c>
      <c r="B120" s="16" t="str">
        <f>IF(Country_2!$C21="","",Country_2!B21)</f>
        <v/>
      </c>
      <c r="C120" s="16" t="str">
        <f>IF(Country_2!$C21="","",Country_2!C21)</f>
        <v/>
      </c>
      <c r="D120" s="16" t="str">
        <f>IF(Country_2!$C21="","",Country_2!D21)</f>
        <v/>
      </c>
      <c r="E120" s="16" t="str">
        <f>IF(Country_2!$C21="","",Country_2!E21)</f>
        <v/>
      </c>
      <c r="F120" s="16" t="str">
        <f>IF(Country_2!$C21="","",Country_2!F21)</f>
        <v/>
      </c>
      <c r="G120" s="17" t="str">
        <f>IF(Country_2!$C21="","",Country_2!G21)</f>
        <v/>
      </c>
      <c r="H120" s="17" t="str">
        <f>IF(Country_2!$C21="","",Country_2!H21)</f>
        <v/>
      </c>
      <c r="I120" s="16" t="str">
        <f>IF(Country_2!$C21="","",Country_2!I21)</f>
        <v/>
      </c>
      <c r="J120" s="16" t="str">
        <f>IF(Country_2!$C21="","",Country_2!J21)</f>
        <v/>
      </c>
      <c r="K120" s="18" t="str">
        <f>IF(Country_2!$C21="","",Country_2!K21)</f>
        <v/>
      </c>
      <c r="L120" s="18" t="str">
        <f>IF(Country_2!$C21="","",Country_2!L21)</f>
        <v/>
      </c>
      <c r="M120" s="19" t="str">
        <f>IF(Country_2!$C21="","",Country_2!M21)</f>
        <v/>
      </c>
      <c r="N120" s="16" t="str">
        <f>IF(Country_2!$C21="","",Country_2!N21)</f>
        <v/>
      </c>
      <c r="O120" s="16" t="str">
        <f>IF(Country_2!$C21="","",Country_2!O21)</f>
        <v/>
      </c>
      <c r="P120" s="16" t="str">
        <f>IF(Country_2!$C21="","",Country_2!P21)</f>
        <v/>
      </c>
      <c r="Q120" s="16" t="str">
        <f>IF(Country_2!$C21="","",Country_2!Q21)</f>
        <v/>
      </c>
    </row>
    <row r="121" spans="1:17" x14ac:dyDescent="0.25">
      <c r="A121" s="16" t="str">
        <f>IF(Country_2!$C22="","",Country_2!A22)</f>
        <v/>
      </c>
      <c r="B121" s="16" t="str">
        <f>IF(Country_2!$C22="","",Country_2!B22)</f>
        <v/>
      </c>
      <c r="C121" s="16" t="str">
        <f>IF(Country_2!$C22="","",Country_2!C22)</f>
        <v/>
      </c>
      <c r="D121" s="16" t="str">
        <f>IF(Country_2!$C22="","",Country_2!D22)</f>
        <v/>
      </c>
      <c r="E121" s="16" t="str">
        <f>IF(Country_2!$C22="","",Country_2!E22)</f>
        <v/>
      </c>
      <c r="F121" s="16" t="str">
        <f>IF(Country_2!$C22="","",Country_2!F22)</f>
        <v/>
      </c>
      <c r="G121" s="17" t="str">
        <f>IF(Country_2!$C22="","",Country_2!G22)</f>
        <v/>
      </c>
      <c r="H121" s="17" t="str">
        <f>IF(Country_2!$C22="","",Country_2!H22)</f>
        <v/>
      </c>
      <c r="I121" s="16" t="str">
        <f>IF(Country_2!$C22="","",Country_2!I22)</f>
        <v/>
      </c>
      <c r="J121" s="16" t="str">
        <f>IF(Country_2!$C22="","",Country_2!J22)</f>
        <v/>
      </c>
      <c r="K121" s="18" t="str">
        <f>IF(Country_2!$C22="","",Country_2!K22)</f>
        <v/>
      </c>
      <c r="L121" s="18" t="str">
        <f>IF(Country_2!$C22="","",Country_2!L22)</f>
        <v/>
      </c>
      <c r="M121" s="19" t="str">
        <f>IF(Country_2!$C22="","",Country_2!M22)</f>
        <v/>
      </c>
      <c r="N121" s="16" t="str">
        <f>IF(Country_2!$C22="","",Country_2!N22)</f>
        <v/>
      </c>
      <c r="O121" s="16" t="str">
        <f>IF(Country_2!$C22="","",Country_2!O22)</f>
        <v/>
      </c>
      <c r="P121" s="16" t="str">
        <f>IF(Country_2!$C22="","",Country_2!P22)</f>
        <v/>
      </c>
      <c r="Q121" s="16" t="str">
        <f>IF(Country_2!$C22="","",Country_2!Q22)</f>
        <v/>
      </c>
    </row>
    <row r="122" spans="1:17" x14ac:dyDescent="0.25">
      <c r="A122" s="16" t="str">
        <f>IF(Country_2!$C23="","",Country_2!A23)</f>
        <v/>
      </c>
      <c r="B122" s="16" t="str">
        <f>IF(Country_2!$C23="","",Country_2!B23)</f>
        <v/>
      </c>
      <c r="C122" s="16" t="str">
        <f>IF(Country_2!$C23="","",Country_2!C23)</f>
        <v/>
      </c>
      <c r="D122" s="16" t="str">
        <f>IF(Country_2!$C23="","",Country_2!D23)</f>
        <v/>
      </c>
      <c r="E122" s="16" t="str">
        <f>IF(Country_2!$C23="","",Country_2!E23)</f>
        <v/>
      </c>
      <c r="F122" s="16" t="str">
        <f>IF(Country_2!$C23="","",Country_2!F23)</f>
        <v/>
      </c>
      <c r="G122" s="17" t="str">
        <f>IF(Country_2!$C23="","",Country_2!G23)</f>
        <v/>
      </c>
      <c r="H122" s="17" t="str">
        <f>IF(Country_2!$C23="","",Country_2!H23)</f>
        <v/>
      </c>
      <c r="I122" s="16" t="str">
        <f>IF(Country_2!$C23="","",Country_2!I23)</f>
        <v/>
      </c>
      <c r="J122" s="16" t="str">
        <f>IF(Country_2!$C23="","",Country_2!J23)</f>
        <v/>
      </c>
      <c r="K122" s="18" t="str">
        <f>IF(Country_2!$C23="","",Country_2!K23)</f>
        <v/>
      </c>
      <c r="L122" s="18" t="str">
        <f>IF(Country_2!$C23="","",Country_2!L23)</f>
        <v/>
      </c>
      <c r="M122" s="19" t="str">
        <f>IF(Country_2!$C23="","",Country_2!M23)</f>
        <v/>
      </c>
      <c r="N122" s="16" t="str">
        <f>IF(Country_2!$C23="","",Country_2!N23)</f>
        <v/>
      </c>
      <c r="O122" s="16" t="str">
        <f>IF(Country_2!$C23="","",Country_2!O23)</f>
        <v/>
      </c>
      <c r="P122" s="16" t="str">
        <f>IF(Country_2!$C23="","",Country_2!P23)</f>
        <v/>
      </c>
      <c r="Q122" s="16" t="str">
        <f>IF(Country_2!$C23="","",Country_2!Q23)</f>
        <v/>
      </c>
    </row>
    <row r="123" spans="1:17" x14ac:dyDescent="0.25">
      <c r="A123" s="16" t="str">
        <f>IF(Country_2!$C24="","",Country_2!A24)</f>
        <v/>
      </c>
      <c r="B123" s="16" t="str">
        <f>IF(Country_2!$C24="","",Country_2!B24)</f>
        <v/>
      </c>
      <c r="C123" s="16" t="str">
        <f>IF(Country_2!$C24="","",Country_2!C24)</f>
        <v/>
      </c>
      <c r="D123" s="16" t="str">
        <f>IF(Country_2!$C24="","",Country_2!D24)</f>
        <v/>
      </c>
      <c r="E123" s="16" t="str">
        <f>IF(Country_2!$C24="","",Country_2!E24)</f>
        <v/>
      </c>
      <c r="F123" s="16" t="str">
        <f>IF(Country_2!$C24="","",Country_2!F24)</f>
        <v/>
      </c>
      <c r="G123" s="17" t="str">
        <f>IF(Country_2!$C24="","",Country_2!G24)</f>
        <v/>
      </c>
      <c r="H123" s="17" t="str">
        <f>IF(Country_2!$C24="","",Country_2!H24)</f>
        <v/>
      </c>
      <c r="I123" s="16" t="str">
        <f>IF(Country_2!$C24="","",Country_2!I24)</f>
        <v/>
      </c>
      <c r="J123" s="16" t="str">
        <f>IF(Country_2!$C24="","",Country_2!J24)</f>
        <v/>
      </c>
      <c r="K123" s="18" t="str">
        <f>IF(Country_2!$C24="","",Country_2!K24)</f>
        <v/>
      </c>
      <c r="L123" s="18" t="str">
        <f>IF(Country_2!$C24="","",Country_2!L24)</f>
        <v/>
      </c>
      <c r="M123" s="19" t="str">
        <f>IF(Country_2!$C24="","",Country_2!M24)</f>
        <v/>
      </c>
      <c r="N123" s="16" t="str">
        <f>IF(Country_2!$C24="","",Country_2!N24)</f>
        <v/>
      </c>
      <c r="O123" s="16" t="str">
        <f>IF(Country_2!$C24="","",Country_2!O24)</f>
        <v/>
      </c>
      <c r="P123" s="16" t="str">
        <f>IF(Country_2!$C24="","",Country_2!P24)</f>
        <v/>
      </c>
      <c r="Q123" s="16" t="str">
        <f>IF(Country_2!$C24="","",Country_2!Q24)</f>
        <v/>
      </c>
    </row>
    <row r="124" spans="1:17" x14ac:dyDescent="0.25">
      <c r="A124" s="16" t="str">
        <f>IF(Country_2!$C25="","",Country_2!A25)</f>
        <v/>
      </c>
      <c r="B124" s="16" t="str">
        <f>IF(Country_2!$C25="","",Country_2!B25)</f>
        <v/>
      </c>
      <c r="C124" s="16" t="str">
        <f>IF(Country_2!$C25="","",Country_2!C25)</f>
        <v/>
      </c>
      <c r="D124" s="16" t="str">
        <f>IF(Country_2!$C25="","",Country_2!D25)</f>
        <v/>
      </c>
      <c r="E124" s="16" t="str">
        <f>IF(Country_2!$C25="","",Country_2!E25)</f>
        <v/>
      </c>
      <c r="F124" s="16" t="str">
        <f>IF(Country_2!$C25="","",Country_2!F25)</f>
        <v/>
      </c>
      <c r="G124" s="17" t="str">
        <f>IF(Country_2!$C25="","",Country_2!G25)</f>
        <v/>
      </c>
      <c r="H124" s="17" t="str">
        <f>IF(Country_2!$C25="","",Country_2!H25)</f>
        <v/>
      </c>
      <c r="I124" s="16" t="str">
        <f>IF(Country_2!$C25="","",Country_2!I25)</f>
        <v/>
      </c>
      <c r="J124" s="16" t="str">
        <f>IF(Country_2!$C25="","",Country_2!J25)</f>
        <v/>
      </c>
      <c r="K124" s="18" t="str">
        <f>IF(Country_2!$C25="","",Country_2!K25)</f>
        <v/>
      </c>
      <c r="L124" s="18" t="str">
        <f>IF(Country_2!$C25="","",Country_2!L25)</f>
        <v/>
      </c>
      <c r="M124" s="19" t="str">
        <f>IF(Country_2!$C25="","",Country_2!M25)</f>
        <v/>
      </c>
      <c r="N124" s="16" t="str">
        <f>IF(Country_2!$C25="","",Country_2!N25)</f>
        <v/>
      </c>
      <c r="O124" s="16" t="str">
        <f>IF(Country_2!$C25="","",Country_2!O25)</f>
        <v/>
      </c>
      <c r="P124" s="16" t="str">
        <f>IF(Country_2!$C25="","",Country_2!P25)</f>
        <v/>
      </c>
      <c r="Q124" s="16" t="str">
        <f>IF(Country_2!$C25="","",Country_2!Q25)</f>
        <v/>
      </c>
    </row>
    <row r="125" spans="1:17" x14ac:dyDescent="0.25">
      <c r="A125" s="16" t="str">
        <f>IF(Country_2!$C26="","",Country_2!A26)</f>
        <v/>
      </c>
      <c r="B125" s="16" t="str">
        <f>IF(Country_2!$C26="","",Country_2!B26)</f>
        <v/>
      </c>
      <c r="C125" s="16" t="str">
        <f>IF(Country_2!$C26="","",Country_2!C26)</f>
        <v/>
      </c>
      <c r="D125" s="16" t="str">
        <f>IF(Country_2!$C26="","",Country_2!D26)</f>
        <v/>
      </c>
      <c r="E125" s="16" t="str">
        <f>IF(Country_2!$C26="","",Country_2!E26)</f>
        <v/>
      </c>
      <c r="F125" s="16" t="str">
        <f>IF(Country_2!$C26="","",Country_2!F26)</f>
        <v/>
      </c>
      <c r="G125" s="17" t="str">
        <f>IF(Country_2!$C26="","",Country_2!G26)</f>
        <v/>
      </c>
      <c r="H125" s="17" t="str">
        <f>IF(Country_2!$C26="","",Country_2!H26)</f>
        <v/>
      </c>
      <c r="I125" s="16" t="str">
        <f>IF(Country_2!$C26="","",Country_2!I26)</f>
        <v/>
      </c>
      <c r="J125" s="16" t="str">
        <f>IF(Country_2!$C26="","",Country_2!J26)</f>
        <v/>
      </c>
      <c r="K125" s="18" t="str">
        <f>IF(Country_2!$C26="","",Country_2!K26)</f>
        <v/>
      </c>
      <c r="L125" s="18" t="str">
        <f>IF(Country_2!$C26="","",Country_2!L26)</f>
        <v/>
      </c>
      <c r="M125" s="19" t="str">
        <f>IF(Country_2!$C26="","",Country_2!M26)</f>
        <v/>
      </c>
      <c r="N125" s="16" t="str">
        <f>IF(Country_2!$C26="","",Country_2!N26)</f>
        <v/>
      </c>
      <c r="O125" s="16" t="str">
        <f>IF(Country_2!$C26="","",Country_2!O26)</f>
        <v/>
      </c>
      <c r="P125" s="16" t="str">
        <f>IF(Country_2!$C26="","",Country_2!P26)</f>
        <v/>
      </c>
      <c r="Q125" s="16" t="str">
        <f>IF(Country_2!$C26="","",Country_2!Q26)</f>
        <v/>
      </c>
    </row>
    <row r="126" spans="1:17" x14ac:dyDescent="0.25">
      <c r="A126" s="16" t="str">
        <f>IF(Country_2!$C27="","",Country_2!A27)</f>
        <v/>
      </c>
      <c r="B126" s="16" t="str">
        <f>IF(Country_2!$C27="","",Country_2!B27)</f>
        <v/>
      </c>
      <c r="C126" s="16" t="str">
        <f>IF(Country_2!$C27="","",Country_2!C27)</f>
        <v/>
      </c>
      <c r="D126" s="16" t="str">
        <f>IF(Country_2!$C27="","",Country_2!D27)</f>
        <v/>
      </c>
      <c r="E126" s="16" t="str">
        <f>IF(Country_2!$C27="","",Country_2!E27)</f>
        <v/>
      </c>
      <c r="F126" s="16" t="str">
        <f>IF(Country_2!$C27="","",Country_2!F27)</f>
        <v/>
      </c>
      <c r="G126" s="17" t="str">
        <f>IF(Country_2!$C27="","",Country_2!G27)</f>
        <v/>
      </c>
      <c r="H126" s="17" t="str">
        <f>IF(Country_2!$C27="","",Country_2!H27)</f>
        <v/>
      </c>
      <c r="I126" s="16" t="str">
        <f>IF(Country_2!$C27="","",Country_2!I27)</f>
        <v/>
      </c>
      <c r="J126" s="16" t="str">
        <f>IF(Country_2!$C27="","",Country_2!J27)</f>
        <v/>
      </c>
      <c r="K126" s="18" t="str">
        <f>IF(Country_2!$C27="","",Country_2!K27)</f>
        <v/>
      </c>
      <c r="L126" s="18" t="str">
        <f>IF(Country_2!$C27="","",Country_2!L27)</f>
        <v/>
      </c>
      <c r="M126" s="19" t="str">
        <f>IF(Country_2!$C27="","",Country_2!M27)</f>
        <v/>
      </c>
      <c r="N126" s="16" t="str">
        <f>IF(Country_2!$C27="","",Country_2!N27)</f>
        <v/>
      </c>
      <c r="O126" s="16" t="str">
        <f>IF(Country_2!$C27="","",Country_2!O27)</f>
        <v/>
      </c>
      <c r="P126" s="16" t="str">
        <f>IF(Country_2!$C27="","",Country_2!P27)</f>
        <v/>
      </c>
      <c r="Q126" s="16" t="str">
        <f>IF(Country_2!$C27="","",Country_2!Q27)</f>
        <v/>
      </c>
    </row>
    <row r="127" spans="1:17" x14ac:dyDescent="0.25">
      <c r="A127" s="16" t="str">
        <f>IF(Country_2!$C28="","",Country_2!A28)</f>
        <v/>
      </c>
      <c r="B127" s="16" t="str">
        <f>IF(Country_2!$C28="","",Country_2!B28)</f>
        <v/>
      </c>
      <c r="C127" s="16" t="str">
        <f>IF(Country_2!$C28="","",Country_2!C28)</f>
        <v/>
      </c>
      <c r="D127" s="16" t="str">
        <f>IF(Country_2!$C28="","",Country_2!D28)</f>
        <v/>
      </c>
      <c r="E127" s="16" t="str">
        <f>IF(Country_2!$C28="","",Country_2!E28)</f>
        <v/>
      </c>
      <c r="F127" s="16" t="str">
        <f>IF(Country_2!$C28="","",Country_2!F28)</f>
        <v/>
      </c>
      <c r="G127" s="17" t="str">
        <f>IF(Country_2!$C28="","",Country_2!G28)</f>
        <v/>
      </c>
      <c r="H127" s="17" t="str">
        <f>IF(Country_2!$C28="","",Country_2!H28)</f>
        <v/>
      </c>
      <c r="I127" s="16" t="str">
        <f>IF(Country_2!$C28="","",Country_2!I28)</f>
        <v/>
      </c>
      <c r="J127" s="16" t="str">
        <f>IF(Country_2!$C28="","",Country_2!J28)</f>
        <v/>
      </c>
      <c r="K127" s="18" t="str">
        <f>IF(Country_2!$C28="","",Country_2!K28)</f>
        <v/>
      </c>
      <c r="L127" s="18" t="str">
        <f>IF(Country_2!$C28="","",Country_2!L28)</f>
        <v/>
      </c>
      <c r="M127" s="19" t="str">
        <f>IF(Country_2!$C28="","",Country_2!M28)</f>
        <v/>
      </c>
      <c r="N127" s="16" t="str">
        <f>IF(Country_2!$C28="","",Country_2!N28)</f>
        <v/>
      </c>
      <c r="O127" s="16" t="str">
        <f>IF(Country_2!$C28="","",Country_2!O28)</f>
        <v/>
      </c>
      <c r="P127" s="16" t="str">
        <f>IF(Country_2!$C28="","",Country_2!P28)</f>
        <v/>
      </c>
      <c r="Q127" s="16" t="str">
        <f>IF(Country_2!$C28="","",Country_2!Q28)</f>
        <v/>
      </c>
    </row>
    <row r="128" spans="1:17" x14ac:dyDescent="0.25">
      <c r="A128" s="16" t="str">
        <f>IF(Country_2!$C29="","",Country_2!A29)</f>
        <v/>
      </c>
      <c r="B128" s="16" t="str">
        <f>IF(Country_2!$C29="","",Country_2!B29)</f>
        <v/>
      </c>
      <c r="C128" s="16" t="str">
        <f>IF(Country_2!$C29="","",Country_2!C29)</f>
        <v/>
      </c>
      <c r="D128" s="16" t="str">
        <f>IF(Country_2!$C29="","",Country_2!D29)</f>
        <v/>
      </c>
      <c r="E128" s="16" t="str">
        <f>IF(Country_2!$C29="","",Country_2!E29)</f>
        <v/>
      </c>
      <c r="F128" s="16" t="str">
        <f>IF(Country_2!$C29="","",Country_2!F29)</f>
        <v/>
      </c>
      <c r="G128" s="17" t="str">
        <f>IF(Country_2!$C29="","",Country_2!G29)</f>
        <v/>
      </c>
      <c r="H128" s="17" t="str">
        <f>IF(Country_2!$C29="","",Country_2!H29)</f>
        <v/>
      </c>
      <c r="I128" s="16" t="str">
        <f>IF(Country_2!$C29="","",Country_2!I29)</f>
        <v/>
      </c>
      <c r="J128" s="16" t="str">
        <f>IF(Country_2!$C29="","",Country_2!J29)</f>
        <v/>
      </c>
      <c r="K128" s="18" t="str">
        <f>IF(Country_2!$C29="","",Country_2!K29)</f>
        <v/>
      </c>
      <c r="L128" s="18" t="str">
        <f>IF(Country_2!$C29="","",Country_2!L29)</f>
        <v/>
      </c>
      <c r="M128" s="19" t="str">
        <f>IF(Country_2!$C29="","",Country_2!M29)</f>
        <v/>
      </c>
      <c r="N128" s="16" t="str">
        <f>IF(Country_2!$C29="","",Country_2!N29)</f>
        <v/>
      </c>
      <c r="O128" s="16" t="str">
        <f>IF(Country_2!$C29="","",Country_2!O29)</f>
        <v/>
      </c>
      <c r="P128" s="16" t="str">
        <f>IF(Country_2!$C29="","",Country_2!P29)</f>
        <v/>
      </c>
      <c r="Q128" s="16" t="str">
        <f>IF(Country_2!$C29="","",Country_2!Q29)</f>
        <v/>
      </c>
    </row>
    <row r="129" spans="1:17" x14ac:dyDescent="0.25">
      <c r="A129" s="16" t="str">
        <f>IF(Country_2!$C30="","",Country_2!A30)</f>
        <v/>
      </c>
      <c r="B129" s="16" t="str">
        <f>IF(Country_2!$C30="","",Country_2!B30)</f>
        <v/>
      </c>
      <c r="C129" s="16" t="str">
        <f>IF(Country_2!$C30="","",Country_2!C30)</f>
        <v/>
      </c>
      <c r="D129" s="16" t="str">
        <f>IF(Country_2!$C30="","",Country_2!D30)</f>
        <v/>
      </c>
      <c r="E129" s="16" t="str">
        <f>IF(Country_2!$C30="","",Country_2!E30)</f>
        <v/>
      </c>
      <c r="F129" s="16" t="str">
        <f>IF(Country_2!$C30="","",Country_2!F30)</f>
        <v/>
      </c>
      <c r="G129" s="17" t="str">
        <f>IF(Country_2!$C30="","",Country_2!G30)</f>
        <v/>
      </c>
      <c r="H129" s="17" t="str">
        <f>IF(Country_2!$C30="","",Country_2!H30)</f>
        <v/>
      </c>
      <c r="I129" s="16" t="str">
        <f>IF(Country_2!$C30="","",Country_2!I30)</f>
        <v/>
      </c>
      <c r="J129" s="16" t="str">
        <f>IF(Country_2!$C30="","",Country_2!J30)</f>
        <v/>
      </c>
      <c r="K129" s="18" t="str">
        <f>IF(Country_2!$C30="","",Country_2!K30)</f>
        <v/>
      </c>
      <c r="L129" s="18" t="str">
        <f>IF(Country_2!$C30="","",Country_2!L30)</f>
        <v/>
      </c>
      <c r="M129" s="19" t="str">
        <f>IF(Country_2!$C30="","",Country_2!M30)</f>
        <v/>
      </c>
      <c r="N129" s="16" t="str">
        <f>IF(Country_2!$C30="","",Country_2!N30)</f>
        <v/>
      </c>
      <c r="O129" s="16" t="str">
        <f>IF(Country_2!$C30="","",Country_2!O30)</f>
        <v/>
      </c>
      <c r="P129" s="16" t="str">
        <f>IF(Country_2!$C30="","",Country_2!P30)</f>
        <v/>
      </c>
      <c r="Q129" s="16" t="str">
        <f>IF(Country_2!$C30="","",Country_2!Q30)</f>
        <v/>
      </c>
    </row>
    <row r="130" spans="1:17" x14ac:dyDescent="0.25">
      <c r="A130" s="16" t="str">
        <f>IF(Country_2!$C31="","",Country_2!A31)</f>
        <v/>
      </c>
      <c r="B130" s="16" t="str">
        <f>IF(Country_2!$C31="","",Country_2!B31)</f>
        <v/>
      </c>
      <c r="C130" s="16" t="str">
        <f>IF(Country_2!$C31="","",Country_2!C31)</f>
        <v/>
      </c>
      <c r="D130" s="16" t="str">
        <f>IF(Country_2!$C31="","",Country_2!D31)</f>
        <v/>
      </c>
      <c r="E130" s="16" t="str">
        <f>IF(Country_2!$C31="","",Country_2!E31)</f>
        <v/>
      </c>
      <c r="F130" s="16" t="str">
        <f>IF(Country_2!$C31="","",Country_2!F31)</f>
        <v/>
      </c>
      <c r="G130" s="17" t="str">
        <f>IF(Country_2!$C31="","",Country_2!G31)</f>
        <v/>
      </c>
      <c r="H130" s="17" t="str">
        <f>IF(Country_2!$C31="","",Country_2!H31)</f>
        <v/>
      </c>
      <c r="I130" s="16" t="str">
        <f>IF(Country_2!$C31="","",Country_2!I31)</f>
        <v/>
      </c>
      <c r="J130" s="16" t="str">
        <f>IF(Country_2!$C31="","",Country_2!J31)</f>
        <v/>
      </c>
      <c r="K130" s="18" t="str">
        <f>IF(Country_2!$C31="","",Country_2!K31)</f>
        <v/>
      </c>
      <c r="L130" s="18" t="str">
        <f>IF(Country_2!$C31="","",Country_2!L31)</f>
        <v/>
      </c>
      <c r="M130" s="19" t="str">
        <f>IF(Country_2!$C31="","",Country_2!M31)</f>
        <v/>
      </c>
      <c r="N130" s="16" t="str">
        <f>IF(Country_2!$C31="","",Country_2!N31)</f>
        <v/>
      </c>
      <c r="O130" s="16" t="str">
        <f>IF(Country_2!$C31="","",Country_2!O31)</f>
        <v/>
      </c>
      <c r="P130" s="16" t="str">
        <f>IF(Country_2!$C31="","",Country_2!P31)</f>
        <v/>
      </c>
      <c r="Q130" s="16" t="str">
        <f>IF(Country_2!$C31="","",Country_2!Q31)</f>
        <v/>
      </c>
    </row>
    <row r="131" spans="1:17" x14ac:dyDescent="0.25">
      <c r="A131" s="16" t="str">
        <f>IF(Country_2!$C32="","",Country_2!A32)</f>
        <v/>
      </c>
      <c r="B131" s="16" t="str">
        <f>IF(Country_2!$C32="","",Country_2!B32)</f>
        <v/>
      </c>
      <c r="C131" s="16" t="str">
        <f>IF(Country_2!$C32="","",Country_2!C32)</f>
        <v/>
      </c>
      <c r="D131" s="16" t="str">
        <f>IF(Country_2!$C32="","",Country_2!D32)</f>
        <v/>
      </c>
      <c r="E131" s="16" t="str">
        <f>IF(Country_2!$C32="","",Country_2!E32)</f>
        <v/>
      </c>
      <c r="F131" s="16" t="str">
        <f>IF(Country_2!$C32="","",Country_2!F32)</f>
        <v/>
      </c>
      <c r="G131" s="17" t="str">
        <f>IF(Country_2!$C32="","",Country_2!G32)</f>
        <v/>
      </c>
      <c r="H131" s="17" t="str">
        <f>IF(Country_2!$C32="","",Country_2!H32)</f>
        <v/>
      </c>
      <c r="I131" s="16" t="str">
        <f>IF(Country_2!$C32="","",Country_2!I32)</f>
        <v/>
      </c>
      <c r="J131" s="16" t="str">
        <f>IF(Country_2!$C32="","",Country_2!J32)</f>
        <v/>
      </c>
      <c r="K131" s="18" t="str">
        <f>IF(Country_2!$C32="","",Country_2!K32)</f>
        <v/>
      </c>
      <c r="L131" s="18" t="str">
        <f>IF(Country_2!$C32="","",Country_2!L32)</f>
        <v/>
      </c>
      <c r="M131" s="19" t="str">
        <f>IF(Country_2!$C32="","",Country_2!M32)</f>
        <v/>
      </c>
      <c r="N131" s="16" t="str">
        <f>IF(Country_2!$C32="","",Country_2!N32)</f>
        <v/>
      </c>
      <c r="O131" s="16" t="str">
        <f>IF(Country_2!$C32="","",Country_2!O32)</f>
        <v/>
      </c>
      <c r="P131" s="16" t="str">
        <f>IF(Country_2!$C32="","",Country_2!P32)</f>
        <v/>
      </c>
      <c r="Q131" s="16" t="str">
        <f>IF(Country_2!$C32="","",Country_2!Q32)</f>
        <v/>
      </c>
    </row>
    <row r="132" spans="1:17" x14ac:dyDescent="0.25">
      <c r="A132" s="16" t="str">
        <f>IF(Country_2!$C33="","",Country_2!A33)</f>
        <v/>
      </c>
      <c r="B132" s="16" t="str">
        <f>IF(Country_2!$C33="","",Country_2!B33)</f>
        <v/>
      </c>
      <c r="C132" s="16" t="str">
        <f>IF(Country_2!$C33="","",Country_2!C33)</f>
        <v/>
      </c>
      <c r="D132" s="16" t="str">
        <f>IF(Country_2!$C33="","",Country_2!D33)</f>
        <v/>
      </c>
      <c r="E132" s="16" t="str">
        <f>IF(Country_2!$C33="","",Country_2!E33)</f>
        <v/>
      </c>
      <c r="F132" s="16" t="str">
        <f>IF(Country_2!$C33="","",Country_2!F33)</f>
        <v/>
      </c>
      <c r="G132" s="17" t="str">
        <f>IF(Country_2!$C33="","",Country_2!G33)</f>
        <v/>
      </c>
      <c r="H132" s="17" t="str">
        <f>IF(Country_2!$C33="","",Country_2!H33)</f>
        <v/>
      </c>
      <c r="I132" s="16" t="str">
        <f>IF(Country_2!$C33="","",Country_2!I33)</f>
        <v/>
      </c>
      <c r="J132" s="16" t="str">
        <f>IF(Country_2!$C33="","",Country_2!J33)</f>
        <v/>
      </c>
      <c r="K132" s="18" t="str">
        <f>IF(Country_2!$C33="","",Country_2!K33)</f>
        <v/>
      </c>
      <c r="L132" s="18" t="str">
        <f>IF(Country_2!$C33="","",Country_2!L33)</f>
        <v/>
      </c>
      <c r="M132" s="19" t="str">
        <f>IF(Country_2!$C33="","",Country_2!M33)</f>
        <v/>
      </c>
      <c r="N132" s="16" t="str">
        <f>IF(Country_2!$C33="","",Country_2!N33)</f>
        <v/>
      </c>
      <c r="O132" s="16" t="str">
        <f>IF(Country_2!$C33="","",Country_2!O33)</f>
        <v/>
      </c>
      <c r="P132" s="16" t="str">
        <f>IF(Country_2!$C33="","",Country_2!P33)</f>
        <v/>
      </c>
      <c r="Q132" s="16" t="str">
        <f>IF(Country_2!$C33="","",Country_2!Q33)</f>
        <v/>
      </c>
    </row>
    <row r="133" spans="1:17" x14ac:dyDescent="0.25">
      <c r="A133" s="16" t="str">
        <f>IF(Country_2!$C34="","",Country_2!A34)</f>
        <v/>
      </c>
      <c r="B133" s="16" t="str">
        <f>IF(Country_2!$C34="","",Country_2!B34)</f>
        <v/>
      </c>
      <c r="C133" s="16" t="str">
        <f>IF(Country_2!$C34="","",Country_2!C34)</f>
        <v/>
      </c>
      <c r="D133" s="16" t="str">
        <f>IF(Country_2!$C34="","",Country_2!D34)</f>
        <v/>
      </c>
      <c r="E133" s="16" t="str">
        <f>IF(Country_2!$C34="","",Country_2!E34)</f>
        <v/>
      </c>
      <c r="F133" s="16" t="str">
        <f>IF(Country_2!$C34="","",Country_2!F34)</f>
        <v/>
      </c>
      <c r="G133" s="17" t="str">
        <f>IF(Country_2!$C34="","",Country_2!G34)</f>
        <v/>
      </c>
      <c r="H133" s="17" t="str">
        <f>IF(Country_2!$C34="","",Country_2!H34)</f>
        <v/>
      </c>
      <c r="I133" s="16" t="str">
        <f>IF(Country_2!$C34="","",Country_2!I34)</f>
        <v/>
      </c>
      <c r="J133" s="16" t="str">
        <f>IF(Country_2!$C34="","",Country_2!J34)</f>
        <v/>
      </c>
      <c r="K133" s="18" t="str">
        <f>IF(Country_2!$C34="","",Country_2!K34)</f>
        <v/>
      </c>
      <c r="L133" s="18" t="str">
        <f>IF(Country_2!$C34="","",Country_2!L34)</f>
        <v/>
      </c>
      <c r="M133" s="19" t="str">
        <f>IF(Country_2!$C34="","",Country_2!M34)</f>
        <v/>
      </c>
      <c r="N133" s="16" t="str">
        <f>IF(Country_2!$C34="","",Country_2!N34)</f>
        <v/>
      </c>
      <c r="O133" s="16" t="str">
        <f>IF(Country_2!$C34="","",Country_2!O34)</f>
        <v/>
      </c>
      <c r="P133" s="16" t="str">
        <f>IF(Country_2!$C34="","",Country_2!P34)</f>
        <v/>
      </c>
      <c r="Q133" s="16" t="str">
        <f>IF(Country_2!$C34="","",Country_2!Q34)</f>
        <v/>
      </c>
    </row>
    <row r="134" spans="1:17" x14ac:dyDescent="0.25">
      <c r="A134" s="16" t="str">
        <f>IF(Country_2!$C35="","",Country_2!A35)</f>
        <v/>
      </c>
      <c r="B134" s="16" t="str">
        <f>IF(Country_2!$C35="","",Country_2!B35)</f>
        <v/>
      </c>
      <c r="C134" s="16" t="str">
        <f>IF(Country_2!$C35="","",Country_2!C35)</f>
        <v/>
      </c>
      <c r="D134" s="16" t="str">
        <f>IF(Country_2!$C35="","",Country_2!D35)</f>
        <v/>
      </c>
      <c r="E134" s="16" t="str">
        <f>IF(Country_2!$C35="","",Country_2!E35)</f>
        <v/>
      </c>
      <c r="F134" s="16" t="str">
        <f>IF(Country_2!$C35="","",Country_2!F35)</f>
        <v/>
      </c>
      <c r="G134" s="17" t="str">
        <f>IF(Country_2!$C35="","",Country_2!G35)</f>
        <v/>
      </c>
      <c r="H134" s="17" t="str">
        <f>IF(Country_2!$C35="","",Country_2!H35)</f>
        <v/>
      </c>
      <c r="I134" s="16" t="str">
        <f>IF(Country_2!$C35="","",Country_2!I35)</f>
        <v/>
      </c>
      <c r="J134" s="16" t="str">
        <f>IF(Country_2!$C35="","",Country_2!J35)</f>
        <v/>
      </c>
      <c r="K134" s="18" t="str">
        <f>IF(Country_2!$C35="","",Country_2!K35)</f>
        <v/>
      </c>
      <c r="L134" s="18" t="str">
        <f>IF(Country_2!$C35="","",Country_2!L35)</f>
        <v/>
      </c>
      <c r="M134" s="19" t="str">
        <f>IF(Country_2!$C35="","",Country_2!M35)</f>
        <v/>
      </c>
      <c r="N134" s="16" t="str">
        <f>IF(Country_2!$C35="","",Country_2!N35)</f>
        <v/>
      </c>
      <c r="O134" s="16" t="str">
        <f>IF(Country_2!$C35="","",Country_2!O35)</f>
        <v/>
      </c>
      <c r="P134" s="16" t="str">
        <f>IF(Country_2!$C35="","",Country_2!P35)</f>
        <v/>
      </c>
      <c r="Q134" s="16" t="str">
        <f>IF(Country_2!$C35="","",Country_2!Q35)</f>
        <v/>
      </c>
    </row>
    <row r="135" spans="1:17" x14ac:dyDescent="0.25">
      <c r="A135" s="16" t="str">
        <f>IF(Country_2!$C36="","",Country_2!A36)</f>
        <v/>
      </c>
      <c r="B135" s="16" t="str">
        <f>IF(Country_2!$C36="","",Country_2!B36)</f>
        <v/>
      </c>
      <c r="C135" s="16" t="str">
        <f>IF(Country_2!$C36="","",Country_2!C36)</f>
        <v/>
      </c>
      <c r="D135" s="16" t="str">
        <f>IF(Country_2!$C36="","",Country_2!D36)</f>
        <v/>
      </c>
      <c r="E135" s="16" t="str">
        <f>IF(Country_2!$C36="","",Country_2!E36)</f>
        <v/>
      </c>
      <c r="F135" s="16" t="str">
        <f>IF(Country_2!$C36="","",Country_2!F36)</f>
        <v/>
      </c>
      <c r="G135" s="17" t="str">
        <f>IF(Country_2!$C36="","",Country_2!G36)</f>
        <v/>
      </c>
      <c r="H135" s="17" t="str">
        <f>IF(Country_2!$C36="","",Country_2!H36)</f>
        <v/>
      </c>
      <c r="I135" s="16" t="str">
        <f>IF(Country_2!$C36="","",Country_2!I36)</f>
        <v/>
      </c>
      <c r="J135" s="16" t="str">
        <f>IF(Country_2!$C36="","",Country_2!J36)</f>
        <v/>
      </c>
      <c r="K135" s="18" t="str">
        <f>IF(Country_2!$C36="","",Country_2!K36)</f>
        <v/>
      </c>
      <c r="L135" s="18" t="str">
        <f>IF(Country_2!$C36="","",Country_2!L36)</f>
        <v/>
      </c>
      <c r="M135" s="19" t="str">
        <f>IF(Country_2!$C36="","",Country_2!M36)</f>
        <v/>
      </c>
      <c r="N135" s="16" t="str">
        <f>IF(Country_2!$C36="","",Country_2!N36)</f>
        <v/>
      </c>
      <c r="O135" s="16" t="str">
        <f>IF(Country_2!$C36="","",Country_2!O36)</f>
        <v/>
      </c>
      <c r="P135" s="16" t="str">
        <f>IF(Country_2!$C36="","",Country_2!P36)</f>
        <v/>
      </c>
      <c r="Q135" s="16" t="str">
        <f>IF(Country_2!$C36="","",Country_2!Q36)</f>
        <v/>
      </c>
    </row>
    <row r="136" spans="1:17" x14ac:dyDescent="0.25">
      <c r="A136" s="16" t="str">
        <f>IF(Country_2!$C37="","",Country_2!A37)</f>
        <v/>
      </c>
      <c r="B136" s="16" t="str">
        <f>IF(Country_2!$C37="","",Country_2!B37)</f>
        <v/>
      </c>
      <c r="C136" s="16" t="str">
        <f>IF(Country_2!$C37="","",Country_2!C37)</f>
        <v/>
      </c>
      <c r="D136" s="16" t="str">
        <f>IF(Country_2!$C37="","",Country_2!D37)</f>
        <v/>
      </c>
      <c r="E136" s="16" t="str">
        <f>IF(Country_2!$C37="","",Country_2!E37)</f>
        <v/>
      </c>
      <c r="F136" s="16" t="str">
        <f>IF(Country_2!$C37="","",Country_2!F37)</f>
        <v/>
      </c>
      <c r="G136" s="17" t="str">
        <f>IF(Country_2!$C37="","",Country_2!G37)</f>
        <v/>
      </c>
      <c r="H136" s="17" t="str">
        <f>IF(Country_2!$C37="","",Country_2!H37)</f>
        <v/>
      </c>
      <c r="I136" s="16" t="str">
        <f>IF(Country_2!$C37="","",Country_2!I37)</f>
        <v/>
      </c>
      <c r="J136" s="16" t="str">
        <f>IF(Country_2!$C37="","",Country_2!J37)</f>
        <v/>
      </c>
      <c r="K136" s="18" t="str">
        <f>IF(Country_2!$C37="","",Country_2!K37)</f>
        <v/>
      </c>
      <c r="L136" s="18" t="str">
        <f>IF(Country_2!$C37="","",Country_2!L37)</f>
        <v/>
      </c>
      <c r="M136" s="19" t="str">
        <f>IF(Country_2!$C37="","",Country_2!M37)</f>
        <v/>
      </c>
      <c r="N136" s="16" t="str">
        <f>IF(Country_2!$C37="","",Country_2!N37)</f>
        <v/>
      </c>
      <c r="O136" s="16" t="str">
        <f>IF(Country_2!$C37="","",Country_2!O37)</f>
        <v/>
      </c>
      <c r="P136" s="16" t="str">
        <f>IF(Country_2!$C37="","",Country_2!P37)</f>
        <v/>
      </c>
      <c r="Q136" s="16" t="str">
        <f>IF(Country_2!$C37="","",Country_2!Q37)</f>
        <v/>
      </c>
    </row>
    <row r="137" spans="1:17" x14ac:dyDescent="0.25">
      <c r="A137" s="16" t="str">
        <f>IF(Country_2!$C38="","",Country_2!A38)</f>
        <v/>
      </c>
      <c r="B137" s="16" t="str">
        <f>IF(Country_2!$C38="","",Country_2!B38)</f>
        <v/>
      </c>
      <c r="C137" s="16" t="str">
        <f>IF(Country_2!$C38="","",Country_2!C38)</f>
        <v/>
      </c>
      <c r="D137" s="16" t="str">
        <f>IF(Country_2!$C38="","",Country_2!D38)</f>
        <v/>
      </c>
      <c r="E137" s="16" t="str">
        <f>IF(Country_2!$C38="","",Country_2!E38)</f>
        <v/>
      </c>
      <c r="F137" s="16" t="str">
        <f>IF(Country_2!$C38="","",Country_2!F38)</f>
        <v/>
      </c>
      <c r="G137" s="17" t="str">
        <f>IF(Country_2!$C38="","",Country_2!G38)</f>
        <v/>
      </c>
      <c r="H137" s="17" t="str">
        <f>IF(Country_2!$C38="","",Country_2!H38)</f>
        <v/>
      </c>
      <c r="I137" s="16" t="str">
        <f>IF(Country_2!$C38="","",Country_2!I38)</f>
        <v/>
      </c>
      <c r="J137" s="16" t="str">
        <f>IF(Country_2!$C38="","",Country_2!J38)</f>
        <v/>
      </c>
      <c r="K137" s="18" t="str">
        <f>IF(Country_2!$C38="","",Country_2!K38)</f>
        <v/>
      </c>
      <c r="L137" s="18" t="str">
        <f>IF(Country_2!$C38="","",Country_2!L38)</f>
        <v/>
      </c>
      <c r="M137" s="19" t="str">
        <f>IF(Country_2!$C38="","",Country_2!M38)</f>
        <v/>
      </c>
      <c r="N137" s="16" t="str">
        <f>IF(Country_2!$C38="","",Country_2!N38)</f>
        <v/>
      </c>
      <c r="O137" s="16" t="str">
        <f>IF(Country_2!$C38="","",Country_2!O38)</f>
        <v/>
      </c>
      <c r="P137" s="16" t="str">
        <f>IF(Country_2!$C38="","",Country_2!P38)</f>
        <v/>
      </c>
      <c r="Q137" s="16" t="str">
        <f>IF(Country_2!$C38="","",Country_2!Q38)</f>
        <v/>
      </c>
    </row>
    <row r="138" spans="1:17" x14ac:dyDescent="0.25">
      <c r="A138" s="16" t="str">
        <f>IF(Country_2!$C39="","",Country_2!A39)</f>
        <v/>
      </c>
      <c r="B138" s="16" t="str">
        <f>IF(Country_2!$C39="","",Country_2!B39)</f>
        <v/>
      </c>
      <c r="C138" s="16" t="str">
        <f>IF(Country_2!$C39="","",Country_2!C39)</f>
        <v/>
      </c>
      <c r="D138" s="16" t="str">
        <f>IF(Country_2!$C39="","",Country_2!D39)</f>
        <v/>
      </c>
      <c r="E138" s="16" t="str">
        <f>IF(Country_2!$C39="","",Country_2!E39)</f>
        <v/>
      </c>
      <c r="F138" s="16" t="str">
        <f>IF(Country_2!$C39="","",Country_2!F39)</f>
        <v/>
      </c>
      <c r="G138" s="17" t="str">
        <f>IF(Country_2!$C39="","",Country_2!G39)</f>
        <v/>
      </c>
      <c r="H138" s="17" t="str">
        <f>IF(Country_2!$C39="","",Country_2!H39)</f>
        <v/>
      </c>
      <c r="I138" s="16" t="str">
        <f>IF(Country_2!$C39="","",Country_2!I39)</f>
        <v/>
      </c>
      <c r="J138" s="16" t="str">
        <f>IF(Country_2!$C39="","",Country_2!J39)</f>
        <v/>
      </c>
      <c r="K138" s="18" t="str">
        <f>IF(Country_2!$C39="","",Country_2!K39)</f>
        <v/>
      </c>
      <c r="L138" s="18" t="str">
        <f>IF(Country_2!$C39="","",Country_2!L39)</f>
        <v/>
      </c>
      <c r="M138" s="19" t="str">
        <f>IF(Country_2!$C39="","",Country_2!M39)</f>
        <v/>
      </c>
      <c r="N138" s="16" t="str">
        <f>IF(Country_2!$C39="","",Country_2!N39)</f>
        <v/>
      </c>
      <c r="O138" s="16" t="str">
        <f>IF(Country_2!$C39="","",Country_2!O39)</f>
        <v/>
      </c>
      <c r="P138" s="16" t="str">
        <f>IF(Country_2!$C39="","",Country_2!P39)</f>
        <v/>
      </c>
      <c r="Q138" s="16" t="str">
        <f>IF(Country_2!$C39="","",Country_2!Q39)</f>
        <v/>
      </c>
    </row>
    <row r="139" spans="1:17" x14ac:dyDescent="0.25">
      <c r="A139" s="16" t="str">
        <f>IF(Country_2!$C40="","",Country_2!A40)</f>
        <v/>
      </c>
      <c r="B139" s="16" t="str">
        <f>IF(Country_2!$C40="","",Country_2!B40)</f>
        <v/>
      </c>
      <c r="C139" s="16" t="str">
        <f>IF(Country_2!$C40="","",Country_2!C40)</f>
        <v/>
      </c>
      <c r="D139" s="16" t="str">
        <f>IF(Country_2!$C40="","",Country_2!D40)</f>
        <v/>
      </c>
      <c r="E139" s="16" t="str">
        <f>IF(Country_2!$C40="","",Country_2!E40)</f>
        <v/>
      </c>
      <c r="F139" s="16" t="str">
        <f>IF(Country_2!$C40="","",Country_2!F40)</f>
        <v/>
      </c>
      <c r="G139" s="17" t="str">
        <f>IF(Country_2!$C40="","",Country_2!G40)</f>
        <v/>
      </c>
      <c r="H139" s="17" t="str">
        <f>IF(Country_2!$C40="","",Country_2!H40)</f>
        <v/>
      </c>
      <c r="I139" s="16" t="str">
        <f>IF(Country_2!$C40="","",Country_2!I40)</f>
        <v/>
      </c>
      <c r="J139" s="16" t="str">
        <f>IF(Country_2!$C40="","",Country_2!J40)</f>
        <v/>
      </c>
      <c r="K139" s="18" t="str">
        <f>IF(Country_2!$C40="","",Country_2!K40)</f>
        <v/>
      </c>
      <c r="L139" s="18" t="str">
        <f>IF(Country_2!$C40="","",Country_2!L40)</f>
        <v/>
      </c>
      <c r="M139" s="19" t="str">
        <f>IF(Country_2!$C40="","",Country_2!M40)</f>
        <v/>
      </c>
      <c r="N139" s="16" t="str">
        <f>IF(Country_2!$C40="","",Country_2!N40)</f>
        <v/>
      </c>
      <c r="O139" s="16" t="str">
        <f>IF(Country_2!$C40="","",Country_2!O40)</f>
        <v/>
      </c>
      <c r="P139" s="16" t="str">
        <f>IF(Country_2!$C40="","",Country_2!P40)</f>
        <v/>
      </c>
      <c r="Q139" s="16" t="str">
        <f>IF(Country_2!$C40="","",Country_2!Q40)</f>
        <v/>
      </c>
    </row>
    <row r="140" spans="1:17" x14ac:dyDescent="0.25">
      <c r="A140" s="16" t="str">
        <f>IF(Country_2!$C41="","",Country_2!A41)</f>
        <v/>
      </c>
      <c r="B140" s="16" t="str">
        <f>IF(Country_2!$C41="","",Country_2!B41)</f>
        <v/>
      </c>
      <c r="C140" s="16" t="str">
        <f>IF(Country_2!$C41="","",Country_2!C41)</f>
        <v/>
      </c>
      <c r="D140" s="16" t="str">
        <f>IF(Country_2!$C41="","",Country_2!D41)</f>
        <v/>
      </c>
      <c r="E140" s="16" t="str">
        <f>IF(Country_2!$C41="","",Country_2!E41)</f>
        <v/>
      </c>
      <c r="F140" s="16" t="str">
        <f>IF(Country_2!$C41="","",Country_2!F41)</f>
        <v/>
      </c>
      <c r="G140" s="17" t="str">
        <f>IF(Country_2!$C41="","",Country_2!G41)</f>
        <v/>
      </c>
      <c r="H140" s="17" t="str">
        <f>IF(Country_2!$C41="","",Country_2!H41)</f>
        <v/>
      </c>
      <c r="I140" s="16" t="str">
        <f>IF(Country_2!$C41="","",Country_2!I41)</f>
        <v/>
      </c>
      <c r="J140" s="16" t="str">
        <f>IF(Country_2!$C41="","",Country_2!J41)</f>
        <v/>
      </c>
      <c r="K140" s="18" t="str">
        <f>IF(Country_2!$C41="","",Country_2!K41)</f>
        <v/>
      </c>
      <c r="L140" s="18" t="str">
        <f>IF(Country_2!$C41="","",Country_2!L41)</f>
        <v/>
      </c>
      <c r="M140" s="19" t="str">
        <f>IF(Country_2!$C41="","",Country_2!M41)</f>
        <v/>
      </c>
      <c r="N140" s="16" t="str">
        <f>IF(Country_2!$C41="","",Country_2!N41)</f>
        <v/>
      </c>
      <c r="O140" s="16" t="str">
        <f>IF(Country_2!$C41="","",Country_2!O41)</f>
        <v/>
      </c>
      <c r="P140" s="16" t="str">
        <f>IF(Country_2!$C41="","",Country_2!P41)</f>
        <v/>
      </c>
      <c r="Q140" s="16" t="str">
        <f>IF(Country_2!$C41="","",Country_2!Q41)</f>
        <v/>
      </c>
    </row>
    <row r="141" spans="1:17" x14ac:dyDescent="0.25">
      <c r="A141" s="16" t="str">
        <f>IF(Country_2!$C42="","",Country_2!A42)</f>
        <v/>
      </c>
      <c r="B141" s="16" t="str">
        <f>IF(Country_2!$C42="","",Country_2!B42)</f>
        <v/>
      </c>
      <c r="C141" s="16" t="str">
        <f>IF(Country_2!$C42="","",Country_2!C42)</f>
        <v/>
      </c>
      <c r="D141" s="16" t="str">
        <f>IF(Country_2!$C42="","",Country_2!D42)</f>
        <v/>
      </c>
      <c r="E141" s="16" t="str">
        <f>IF(Country_2!$C42="","",Country_2!E42)</f>
        <v/>
      </c>
      <c r="F141" s="16" t="str">
        <f>IF(Country_2!$C42="","",Country_2!F42)</f>
        <v/>
      </c>
      <c r="G141" s="17" t="str">
        <f>IF(Country_2!$C42="","",Country_2!G42)</f>
        <v/>
      </c>
      <c r="H141" s="17" t="str">
        <f>IF(Country_2!$C42="","",Country_2!H42)</f>
        <v/>
      </c>
      <c r="I141" s="16" t="str">
        <f>IF(Country_2!$C42="","",Country_2!I42)</f>
        <v/>
      </c>
      <c r="J141" s="16" t="str">
        <f>IF(Country_2!$C42="","",Country_2!J42)</f>
        <v/>
      </c>
      <c r="K141" s="18" t="str">
        <f>IF(Country_2!$C42="","",Country_2!K42)</f>
        <v/>
      </c>
      <c r="L141" s="18" t="str">
        <f>IF(Country_2!$C42="","",Country_2!L42)</f>
        <v/>
      </c>
      <c r="M141" s="19" t="str">
        <f>IF(Country_2!$C42="","",Country_2!M42)</f>
        <v/>
      </c>
      <c r="N141" s="16" t="str">
        <f>IF(Country_2!$C42="","",Country_2!N42)</f>
        <v/>
      </c>
      <c r="O141" s="16" t="str">
        <f>IF(Country_2!$C42="","",Country_2!O42)</f>
        <v/>
      </c>
      <c r="P141" s="16" t="str">
        <f>IF(Country_2!$C42="","",Country_2!P42)</f>
        <v/>
      </c>
      <c r="Q141" s="16" t="str">
        <f>IF(Country_2!$C42="","",Country_2!Q42)</f>
        <v/>
      </c>
    </row>
    <row r="142" spans="1:17" x14ac:dyDescent="0.25">
      <c r="A142" s="16" t="str">
        <f>IF(Country_2!$C43="","",Country_2!A43)</f>
        <v/>
      </c>
      <c r="B142" s="16" t="str">
        <f>IF(Country_2!$C43="","",Country_2!B43)</f>
        <v/>
      </c>
      <c r="C142" s="16" t="str">
        <f>IF(Country_2!$C43="","",Country_2!C43)</f>
        <v/>
      </c>
      <c r="D142" s="16" t="str">
        <f>IF(Country_2!$C43="","",Country_2!D43)</f>
        <v/>
      </c>
      <c r="E142" s="16" t="str">
        <f>IF(Country_2!$C43="","",Country_2!E43)</f>
        <v/>
      </c>
      <c r="F142" s="16" t="str">
        <f>IF(Country_2!$C43="","",Country_2!F43)</f>
        <v/>
      </c>
      <c r="G142" s="17" t="str">
        <f>IF(Country_2!$C43="","",Country_2!G43)</f>
        <v/>
      </c>
      <c r="H142" s="17" t="str">
        <f>IF(Country_2!$C43="","",Country_2!H43)</f>
        <v/>
      </c>
      <c r="I142" s="16" t="str">
        <f>IF(Country_2!$C43="","",Country_2!I43)</f>
        <v/>
      </c>
      <c r="J142" s="16" t="str">
        <f>IF(Country_2!$C43="","",Country_2!J43)</f>
        <v/>
      </c>
      <c r="K142" s="18" t="str">
        <f>IF(Country_2!$C43="","",Country_2!K43)</f>
        <v/>
      </c>
      <c r="L142" s="18" t="str">
        <f>IF(Country_2!$C43="","",Country_2!L43)</f>
        <v/>
      </c>
      <c r="M142" s="19" t="str">
        <f>IF(Country_2!$C43="","",Country_2!M43)</f>
        <v/>
      </c>
      <c r="N142" s="16" t="str">
        <f>IF(Country_2!$C43="","",Country_2!N43)</f>
        <v/>
      </c>
      <c r="O142" s="16" t="str">
        <f>IF(Country_2!$C43="","",Country_2!O43)</f>
        <v/>
      </c>
      <c r="P142" s="16" t="str">
        <f>IF(Country_2!$C43="","",Country_2!P43)</f>
        <v/>
      </c>
      <c r="Q142" s="16" t="str">
        <f>IF(Country_2!$C43="","",Country_2!Q43)</f>
        <v/>
      </c>
    </row>
    <row r="143" spans="1:17" x14ac:dyDescent="0.25">
      <c r="A143" s="16" t="str">
        <f>IF(Country_2!$C44="","",Country_2!A44)</f>
        <v/>
      </c>
      <c r="B143" s="16" t="str">
        <f>IF(Country_2!$C44="","",Country_2!B44)</f>
        <v/>
      </c>
      <c r="C143" s="16" t="str">
        <f>IF(Country_2!$C44="","",Country_2!C44)</f>
        <v/>
      </c>
      <c r="D143" s="16" t="str">
        <f>IF(Country_2!$C44="","",Country_2!D44)</f>
        <v/>
      </c>
      <c r="E143" s="16" t="str">
        <f>IF(Country_2!$C44="","",Country_2!E44)</f>
        <v/>
      </c>
      <c r="F143" s="16" t="str">
        <f>IF(Country_2!$C44="","",Country_2!F44)</f>
        <v/>
      </c>
      <c r="G143" s="17" t="str">
        <f>IF(Country_2!$C44="","",Country_2!G44)</f>
        <v/>
      </c>
      <c r="H143" s="17" t="str">
        <f>IF(Country_2!$C44="","",Country_2!H44)</f>
        <v/>
      </c>
      <c r="I143" s="16" t="str">
        <f>IF(Country_2!$C44="","",Country_2!I44)</f>
        <v/>
      </c>
      <c r="J143" s="16" t="str">
        <f>IF(Country_2!$C44="","",Country_2!J44)</f>
        <v/>
      </c>
      <c r="K143" s="18" t="str">
        <f>IF(Country_2!$C44="","",Country_2!K44)</f>
        <v/>
      </c>
      <c r="L143" s="18" t="str">
        <f>IF(Country_2!$C44="","",Country_2!L44)</f>
        <v/>
      </c>
      <c r="M143" s="19" t="str">
        <f>IF(Country_2!$C44="","",Country_2!M44)</f>
        <v/>
      </c>
      <c r="N143" s="16" t="str">
        <f>IF(Country_2!$C44="","",Country_2!N44)</f>
        <v/>
      </c>
      <c r="O143" s="16" t="str">
        <f>IF(Country_2!$C44="","",Country_2!O44)</f>
        <v/>
      </c>
      <c r="P143" s="16" t="str">
        <f>IF(Country_2!$C44="","",Country_2!P44)</f>
        <v/>
      </c>
      <c r="Q143" s="16" t="str">
        <f>IF(Country_2!$C44="","",Country_2!Q44)</f>
        <v/>
      </c>
    </row>
    <row r="144" spans="1:17" x14ac:dyDescent="0.25">
      <c r="A144" s="16" t="str">
        <f>IF(Country_2!$C45="","",Country_2!A45)</f>
        <v/>
      </c>
      <c r="B144" s="16" t="str">
        <f>IF(Country_2!$C45="","",Country_2!B45)</f>
        <v/>
      </c>
      <c r="C144" s="16" t="str">
        <f>IF(Country_2!$C45="","",Country_2!C45)</f>
        <v/>
      </c>
      <c r="D144" s="16" t="str">
        <f>IF(Country_2!$C45="","",Country_2!D45)</f>
        <v/>
      </c>
      <c r="E144" s="16" t="str">
        <f>IF(Country_2!$C45="","",Country_2!E45)</f>
        <v/>
      </c>
      <c r="F144" s="16" t="str">
        <f>IF(Country_2!$C45="","",Country_2!F45)</f>
        <v/>
      </c>
      <c r="G144" s="17" t="str">
        <f>IF(Country_2!$C45="","",Country_2!G45)</f>
        <v/>
      </c>
      <c r="H144" s="17" t="str">
        <f>IF(Country_2!$C45="","",Country_2!H45)</f>
        <v/>
      </c>
      <c r="I144" s="16" t="str">
        <f>IF(Country_2!$C45="","",Country_2!I45)</f>
        <v/>
      </c>
      <c r="J144" s="16" t="str">
        <f>IF(Country_2!$C45="","",Country_2!J45)</f>
        <v/>
      </c>
      <c r="K144" s="18" t="str">
        <f>IF(Country_2!$C45="","",Country_2!K45)</f>
        <v/>
      </c>
      <c r="L144" s="18" t="str">
        <f>IF(Country_2!$C45="","",Country_2!L45)</f>
        <v/>
      </c>
      <c r="M144" s="19" t="str">
        <f>IF(Country_2!$C45="","",Country_2!M45)</f>
        <v/>
      </c>
      <c r="N144" s="16" t="str">
        <f>IF(Country_2!$C45="","",Country_2!N45)</f>
        <v/>
      </c>
      <c r="O144" s="16" t="str">
        <f>IF(Country_2!$C45="","",Country_2!O45)</f>
        <v/>
      </c>
      <c r="P144" s="16" t="str">
        <f>IF(Country_2!$C45="","",Country_2!P45)</f>
        <v/>
      </c>
      <c r="Q144" s="16" t="str">
        <f>IF(Country_2!$C45="","",Country_2!Q45)</f>
        <v/>
      </c>
    </row>
    <row r="145" spans="1:17" x14ac:dyDescent="0.25">
      <c r="A145" s="16" t="str">
        <f>IF(Country_2!$C46="","",Country_2!A46)</f>
        <v/>
      </c>
      <c r="B145" s="16" t="str">
        <f>IF(Country_2!$C46="","",Country_2!B46)</f>
        <v/>
      </c>
      <c r="C145" s="16" t="str">
        <f>IF(Country_2!$C46="","",Country_2!C46)</f>
        <v/>
      </c>
      <c r="D145" s="16" t="str">
        <f>IF(Country_2!$C46="","",Country_2!D46)</f>
        <v/>
      </c>
      <c r="E145" s="16" t="str">
        <f>IF(Country_2!$C46="","",Country_2!E46)</f>
        <v/>
      </c>
      <c r="F145" s="16" t="str">
        <f>IF(Country_2!$C46="","",Country_2!F46)</f>
        <v/>
      </c>
      <c r="G145" s="17" t="str">
        <f>IF(Country_2!$C46="","",Country_2!G46)</f>
        <v/>
      </c>
      <c r="H145" s="17" t="str">
        <f>IF(Country_2!$C46="","",Country_2!H46)</f>
        <v/>
      </c>
      <c r="I145" s="16" t="str">
        <f>IF(Country_2!$C46="","",Country_2!I46)</f>
        <v/>
      </c>
      <c r="J145" s="16" t="str">
        <f>IF(Country_2!$C46="","",Country_2!J46)</f>
        <v/>
      </c>
      <c r="K145" s="18" t="str">
        <f>IF(Country_2!$C46="","",Country_2!K46)</f>
        <v/>
      </c>
      <c r="L145" s="18" t="str">
        <f>IF(Country_2!$C46="","",Country_2!L46)</f>
        <v/>
      </c>
      <c r="M145" s="19" t="str">
        <f>IF(Country_2!$C46="","",Country_2!M46)</f>
        <v/>
      </c>
      <c r="N145" s="16" t="str">
        <f>IF(Country_2!$C46="","",Country_2!N46)</f>
        <v/>
      </c>
      <c r="O145" s="16" t="str">
        <f>IF(Country_2!$C46="","",Country_2!O46)</f>
        <v/>
      </c>
      <c r="P145" s="16" t="str">
        <f>IF(Country_2!$C46="","",Country_2!P46)</f>
        <v/>
      </c>
      <c r="Q145" s="16" t="str">
        <f>IF(Country_2!$C46="","",Country_2!Q46)</f>
        <v/>
      </c>
    </row>
    <row r="146" spans="1:17" x14ac:dyDescent="0.25">
      <c r="A146" s="16" t="str">
        <f>IF(Country_2!$C47="","",Country_2!A47)</f>
        <v/>
      </c>
      <c r="B146" s="16" t="str">
        <f>IF(Country_2!$C47="","",Country_2!B47)</f>
        <v/>
      </c>
      <c r="C146" s="16" t="str">
        <f>IF(Country_2!$C47="","",Country_2!C47)</f>
        <v/>
      </c>
      <c r="D146" s="16" t="str">
        <f>IF(Country_2!$C47="","",Country_2!D47)</f>
        <v/>
      </c>
      <c r="E146" s="16" t="str">
        <f>IF(Country_2!$C47="","",Country_2!E47)</f>
        <v/>
      </c>
      <c r="F146" s="16" t="str">
        <f>IF(Country_2!$C47="","",Country_2!F47)</f>
        <v/>
      </c>
      <c r="G146" s="17" t="str">
        <f>IF(Country_2!$C47="","",Country_2!G47)</f>
        <v/>
      </c>
      <c r="H146" s="17" t="str">
        <f>IF(Country_2!$C47="","",Country_2!H47)</f>
        <v/>
      </c>
      <c r="I146" s="16" t="str">
        <f>IF(Country_2!$C47="","",Country_2!I47)</f>
        <v/>
      </c>
      <c r="J146" s="16" t="str">
        <f>IF(Country_2!$C47="","",Country_2!J47)</f>
        <v/>
      </c>
      <c r="K146" s="18" t="str">
        <f>IF(Country_2!$C47="","",Country_2!K47)</f>
        <v/>
      </c>
      <c r="L146" s="18" t="str">
        <f>IF(Country_2!$C47="","",Country_2!L47)</f>
        <v/>
      </c>
      <c r="M146" s="19" t="str">
        <f>IF(Country_2!$C47="","",Country_2!M47)</f>
        <v/>
      </c>
      <c r="N146" s="16" t="str">
        <f>IF(Country_2!$C47="","",Country_2!N47)</f>
        <v/>
      </c>
      <c r="O146" s="16" t="str">
        <f>IF(Country_2!$C47="","",Country_2!O47)</f>
        <v/>
      </c>
      <c r="P146" s="16" t="str">
        <f>IF(Country_2!$C47="","",Country_2!P47)</f>
        <v/>
      </c>
      <c r="Q146" s="16" t="str">
        <f>IF(Country_2!$C47="","",Country_2!Q47)</f>
        <v/>
      </c>
    </row>
    <row r="147" spans="1:17" x14ac:dyDescent="0.25">
      <c r="A147" s="16" t="str">
        <f>IF(Country_2!$C48="","",Country_2!A48)</f>
        <v/>
      </c>
      <c r="B147" s="16" t="str">
        <f>IF(Country_2!$C48="","",Country_2!B48)</f>
        <v/>
      </c>
      <c r="C147" s="16" t="str">
        <f>IF(Country_2!$C48="","",Country_2!C48)</f>
        <v/>
      </c>
      <c r="D147" s="16" t="str">
        <f>IF(Country_2!$C48="","",Country_2!D48)</f>
        <v/>
      </c>
      <c r="E147" s="16" t="str">
        <f>IF(Country_2!$C48="","",Country_2!E48)</f>
        <v/>
      </c>
      <c r="F147" s="16" t="str">
        <f>IF(Country_2!$C48="","",Country_2!F48)</f>
        <v/>
      </c>
      <c r="G147" s="17" t="str">
        <f>IF(Country_2!$C48="","",Country_2!G48)</f>
        <v/>
      </c>
      <c r="H147" s="17" t="str">
        <f>IF(Country_2!$C48="","",Country_2!H48)</f>
        <v/>
      </c>
      <c r="I147" s="16" t="str">
        <f>IF(Country_2!$C48="","",Country_2!I48)</f>
        <v/>
      </c>
      <c r="J147" s="16" t="str">
        <f>IF(Country_2!$C48="","",Country_2!J48)</f>
        <v/>
      </c>
      <c r="K147" s="18" t="str">
        <f>IF(Country_2!$C48="","",Country_2!K48)</f>
        <v/>
      </c>
      <c r="L147" s="18" t="str">
        <f>IF(Country_2!$C48="","",Country_2!L48)</f>
        <v/>
      </c>
      <c r="M147" s="19" t="str">
        <f>IF(Country_2!$C48="","",Country_2!M48)</f>
        <v/>
      </c>
      <c r="N147" s="16" t="str">
        <f>IF(Country_2!$C48="","",Country_2!N48)</f>
        <v/>
      </c>
      <c r="O147" s="16" t="str">
        <f>IF(Country_2!$C48="","",Country_2!O48)</f>
        <v/>
      </c>
      <c r="P147" s="16" t="str">
        <f>IF(Country_2!$C48="","",Country_2!P48)</f>
        <v/>
      </c>
      <c r="Q147" s="16" t="str">
        <f>IF(Country_2!$C48="","",Country_2!Q48)</f>
        <v/>
      </c>
    </row>
    <row r="148" spans="1:17" x14ac:dyDescent="0.25">
      <c r="A148" s="16" t="str">
        <f>IF(Country_2!$C49="","",Country_2!A49)</f>
        <v/>
      </c>
      <c r="B148" s="16" t="str">
        <f>IF(Country_2!$C49="","",Country_2!B49)</f>
        <v/>
      </c>
      <c r="C148" s="16" t="str">
        <f>IF(Country_2!$C49="","",Country_2!C49)</f>
        <v/>
      </c>
      <c r="D148" s="16" t="str">
        <f>IF(Country_2!$C49="","",Country_2!D49)</f>
        <v/>
      </c>
      <c r="E148" s="16" t="str">
        <f>IF(Country_2!$C49="","",Country_2!E49)</f>
        <v/>
      </c>
      <c r="F148" s="16" t="str">
        <f>IF(Country_2!$C49="","",Country_2!F49)</f>
        <v/>
      </c>
      <c r="G148" s="17" t="str">
        <f>IF(Country_2!$C49="","",Country_2!G49)</f>
        <v/>
      </c>
      <c r="H148" s="17" t="str">
        <f>IF(Country_2!$C49="","",Country_2!H49)</f>
        <v/>
      </c>
      <c r="I148" s="16" t="str">
        <f>IF(Country_2!$C49="","",Country_2!I49)</f>
        <v/>
      </c>
      <c r="J148" s="16" t="str">
        <f>IF(Country_2!$C49="","",Country_2!J49)</f>
        <v/>
      </c>
      <c r="K148" s="18" t="str">
        <f>IF(Country_2!$C49="","",Country_2!K49)</f>
        <v/>
      </c>
      <c r="L148" s="18" t="str">
        <f>IF(Country_2!$C49="","",Country_2!L49)</f>
        <v/>
      </c>
      <c r="M148" s="19" t="str">
        <f>IF(Country_2!$C49="","",Country_2!M49)</f>
        <v/>
      </c>
      <c r="N148" s="16" t="str">
        <f>IF(Country_2!$C49="","",Country_2!N49)</f>
        <v/>
      </c>
      <c r="O148" s="16" t="str">
        <f>IF(Country_2!$C49="","",Country_2!O49)</f>
        <v/>
      </c>
      <c r="P148" s="16" t="str">
        <f>IF(Country_2!$C49="","",Country_2!P49)</f>
        <v/>
      </c>
      <c r="Q148" s="16" t="str">
        <f>IF(Country_2!$C49="","",Country_2!Q49)</f>
        <v/>
      </c>
    </row>
    <row r="149" spans="1:17" x14ac:dyDescent="0.25">
      <c r="A149" s="16" t="str">
        <f>IF(Country_2!$C50="","",Country_2!A50)</f>
        <v/>
      </c>
      <c r="B149" s="16" t="str">
        <f>IF(Country_2!$C50="","",Country_2!B50)</f>
        <v/>
      </c>
      <c r="C149" s="16" t="str">
        <f>IF(Country_2!$C50="","",Country_2!C50)</f>
        <v/>
      </c>
      <c r="D149" s="16" t="str">
        <f>IF(Country_2!$C50="","",Country_2!D50)</f>
        <v/>
      </c>
      <c r="E149" s="16" t="str">
        <f>IF(Country_2!$C50="","",Country_2!E50)</f>
        <v/>
      </c>
      <c r="F149" s="16" t="str">
        <f>IF(Country_2!$C50="","",Country_2!F50)</f>
        <v/>
      </c>
      <c r="G149" s="17" t="str">
        <f>IF(Country_2!$C50="","",Country_2!G50)</f>
        <v/>
      </c>
      <c r="H149" s="17" t="str">
        <f>IF(Country_2!$C50="","",Country_2!H50)</f>
        <v/>
      </c>
      <c r="I149" s="16" t="str">
        <f>IF(Country_2!$C50="","",Country_2!I50)</f>
        <v/>
      </c>
      <c r="J149" s="16" t="str">
        <f>IF(Country_2!$C50="","",Country_2!J50)</f>
        <v/>
      </c>
      <c r="K149" s="18" t="str">
        <f>IF(Country_2!$C50="","",Country_2!K50)</f>
        <v/>
      </c>
      <c r="L149" s="18" t="str">
        <f>IF(Country_2!$C50="","",Country_2!L50)</f>
        <v/>
      </c>
      <c r="M149" s="19" t="str">
        <f>IF(Country_2!$C50="","",Country_2!M50)</f>
        <v/>
      </c>
      <c r="N149" s="16" t="str">
        <f>IF(Country_2!$C50="","",Country_2!N50)</f>
        <v/>
      </c>
      <c r="O149" s="16" t="str">
        <f>IF(Country_2!$C50="","",Country_2!O50)</f>
        <v/>
      </c>
      <c r="P149" s="16" t="str">
        <f>IF(Country_2!$C50="","",Country_2!P50)</f>
        <v/>
      </c>
      <c r="Q149" s="16" t="str">
        <f>IF(Country_2!$C50="","",Country_2!Q50)</f>
        <v/>
      </c>
    </row>
    <row r="150" spans="1:17" x14ac:dyDescent="0.25">
      <c r="A150" s="16" t="str">
        <f>IF(Country_2!$C51="","",Country_2!A51)</f>
        <v/>
      </c>
      <c r="B150" s="16" t="str">
        <f>IF(Country_2!$C51="","",Country_2!B51)</f>
        <v/>
      </c>
      <c r="C150" s="16" t="str">
        <f>IF(Country_2!$C51="","",Country_2!C51)</f>
        <v/>
      </c>
      <c r="D150" s="16" t="str">
        <f>IF(Country_2!$C51="","",Country_2!D51)</f>
        <v/>
      </c>
      <c r="E150" s="16" t="str">
        <f>IF(Country_2!$C51="","",Country_2!E51)</f>
        <v/>
      </c>
      <c r="F150" s="16" t="str">
        <f>IF(Country_2!$C51="","",Country_2!F51)</f>
        <v/>
      </c>
      <c r="G150" s="17" t="str">
        <f>IF(Country_2!$C51="","",Country_2!G51)</f>
        <v/>
      </c>
      <c r="H150" s="17" t="str">
        <f>IF(Country_2!$C51="","",Country_2!H51)</f>
        <v/>
      </c>
      <c r="I150" s="16" t="str">
        <f>IF(Country_2!$C51="","",Country_2!I51)</f>
        <v/>
      </c>
      <c r="J150" s="16" t="str">
        <f>IF(Country_2!$C51="","",Country_2!J51)</f>
        <v/>
      </c>
      <c r="K150" s="18" t="str">
        <f>IF(Country_2!$C51="","",Country_2!K51)</f>
        <v/>
      </c>
      <c r="L150" s="18" t="str">
        <f>IF(Country_2!$C51="","",Country_2!L51)</f>
        <v/>
      </c>
      <c r="M150" s="19" t="str">
        <f>IF(Country_2!$C51="","",Country_2!M51)</f>
        <v/>
      </c>
      <c r="N150" s="16" t="str">
        <f>IF(Country_2!$C51="","",Country_2!N51)</f>
        <v/>
      </c>
      <c r="O150" s="16" t="str">
        <f>IF(Country_2!$C51="","",Country_2!O51)</f>
        <v/>
      </c>
      <c r="P150" s="16" t="str">
        <f>IF(Country_2!$C51="","",Country_2!P51)</f>
        <v/>
      </c>
      <c r="Q150" s="16" t="str">
        <f>IF(Country_2!$C51="","",Country_2!Q51)</f>
        <v/>
      </c>
    </row>
    <row r="151" spans="1:17" x14ac:dyDescent="0.25">
      <c r="A151" s="16" t="str">
        <f>IF(Country_2!$C52="","",Country_2!A52)</f>
        <v/>
      </c>
      <c r="B151" s="16" t="str">
        <f>IF(Country_2!$C52="","",Country_2!B52)</f>
        <v/>
      </c>
      <c r="C151" s="16" t="str">
        <f>IF(Country_2!$C52="","",Country_2!C52)</f>
        <v/>
      </c>
      <c r="D151" s="16" t="str">
        <f>IF(Country_2!$C52="","",Country_2!D52)</f>
        <v/>
      </c>
      <c r="E151" s="16" t="str">
        <f>IF(Country_2!$C52="","",Country_2!E52)</f>
        <v/>
      </c>
      <c r="F151" s="16" t="str">
        <f>IF(Country_2!$C52="","",Country_2!F52)</f>
        <v/>
      </c>
      <c r="G151" s="17" t="str">
        <f>IF(Country_2!$C52="","",Country_2!G52)</f>
        <v/>
      </c>
      <c r="H151" s="17" t="str">
        <f>IF(Country_2!$C52="","",Country_2!H52)</f>
        <v/>
      </c>
      <c r="I151" s="16" t="str">
        <f>IF(Country_2!$C52="","",Country_2!I52)</f>
        <v/>
      </c>
      <c r="J151" s="16" t="str">
        <f>IF(Country_2!$C52="","",Country_2!J52)</f>
        <v/>
      </c>
      <c r="K151" s="18" t="str">
        <f>IF(Country_2!$C52="","",Country_2!K52)</f>
        <v/>
      </c>
      <c r="L151" s="18" t="str">
        <f>IF(Country_2!$C52="","",Country_2!L52)</f>
        <v/>
      </c>
      <c r="M151" s="19" t="str">
        <f>IF(Country_2!$C52="","",Country_2!M52)</f>
        <v/>
      </c>
      <c r="N151" s="16" t="str">
        <f>IF(Country_2!$C52="","",Country_2!N52)</f>
        <v/>
      </c>
      <c r="O151" s="16" t="str">
        <f>IF(Country_2!$C52="","",Country_2!O52)</f>
        <v/>
      </c>
      <c r="P151" s="16" t="str">
        <f>IF(Country_2!$C52="","",Country_2!P52)</f>
        <v/>
      </c>
      <c r="Q151" s="16" t="str">
        <f>IF(Country_2!$C52="","",Country_2!Q52)</f>
        <v/>
      </c>
    </row>
    <row r="152" spans="1:17" x14ac:dyDescent="0.25">
      <c r="A152" s="16" t="str">
        <f>IF(Country_2!$C53="","",Country_2!A53)</f>
        <v/>
      </c>
      <c r="B152" s="16" t="str">
        <f>IF(Country_2!$C53="","",Country_2!B53)</f>
        <v/>
      </c>
      <c r="C152" s="16" t="str">
        <f>IF(Country_2!$C53="","",Country_2!C53)</f>
        <v/>
      </c>
      <c r="D152" s="16" t="str">
        <f>IF(Country_2!$C53="","",Country_2!D53)</f>
        <v/>
      </c>
      <c r="E152" s="16" t="str">
        <f>IF(Country_2!$C53="","",Country_2!E53)</f>
        <v/>
      </c>
      <c r="F152" s="16" t="str">
        <f>IF(Country_2!$C53="","",Country_2!F53)</f>
        <v/>
      </c>
      <c r="G152" s="17" t="str">
        <f>IF(Country_2!$C53="","",Country_2!G53)</f>
        <v/>
      </c>
      <c r="H152" s="17" t="str">
        <f>IF(Country_2!$C53="","",Country_2!H53)</f>
        <v/>
      </c>
      <c r="I152" s="16" t="str">
        <f>IF(Country_2!$C53="","",Country_2!I53)</f>
        <v/>
      </c>
      <c r="J152" s="16" t="str">
        <f>IF(Country_2!$C53="","",Country_2!J53)</f>
        <v/>
      </c>
      <c r="K152" s="18" t="str">
        <f>IF(Country_2!$C53="","",Country_2!K53)</f>
        <v/>
      </c>
      <c r="L152" s="18" t="str">
        <f>IF(Country_2!$C53="","",Country_2!L53)</f>
        <v/>
      </c>
      <c r="M152" s="19" t="str">
        <f>IF(Country_2!$C53="","",Country_2!M53)</f>
        <v/>
      </c>
      <c r="N152" s="16" t="str">
        <f>IF(Country_2!$C53="","",Country_2!N53)</f>
        <v/>
      </c>
      <c r="O152" s="16" t="str">
        <f>IF(Country_2!$C53="","",Country_2!O53)</f>
        <v/>
      </c>
      <c r="P152" s="16" t="str">
        <f>IF(Country_2!$C53="","",Country_2!P53)</f>
        <v/>
      </c>
      <c r="Q152" s="16" t="str">
        <f>IF(Country_2!$C53="","",Country_2!Q53)</f>
        <v/>
      </c>
    </row>
    <row r="153" spans="1:17" x14ac:dyDescent="0.25">
      <c r="A153" s="16" t="str">
        <f>IF(Country_2!$C54="","",Country_2!A54)</f>
        <v/>
      </c>
      <c r="B153" s="16" t="str">
        <f>IF(Country_2!$C54="","",Country_2!B54)</f>
        <v/>
      </c>
      <c r="C153" s="16" t="str">
        <f>IF(Country_2!$C54="","",Country_2!C54)</f>
        <v/>
      </c>
      <c r="D153" s="16" t="str">
        <f>IF(Country_2!$C54="","",Country_2!D54)</f>
        <v/>
      </c>
      <c r="E153" s="16" t="str">
        <f>IF(Country_2!$C54="","",Country_2!E54)</f>
        <v/>
      </c>
      <c r="F153" s="16" t="str">
        <f>IF(Country_2!$C54="","",Country_2!F54)</f>
        <v/>
      </c>
      <c r="G153" s="17" t="str">
        <f>IF(Country_2!$C54="","",Country_2!G54)</f>
        <v/>
      </c>
      <c r="H153" s="17" t="str">
        <f>IF(Country_2!$C54="","",Country_2!H54)</f>
        <v/>
      </c>
      <c r="I153" s="16" t="str">
        <f>IF(Country_2!$C54="","",Country_2!I54)</f>
        <v/>
      </c>
      <c r="J153" s="16" t="str">
        <f>IF(Country_2!$C54="","",Country_2!J54)</f>
        <v/>
      </c>
      <c r="K153" s="18" t="str">
        <f>IF(Country_2!$C54="","",Country_2!K54)</f>
        <v/>
      </c>
      <c r="L153" s="18" t="str">
        <f>IF(Country_2!$C54="","",Country_2!L54)</f>
        <v/>
      </c>
      <c r="M153" s="19" t="str">
        <f>IF(Country_2!$C54="","",Country_2!M54)</f>
        <v/>
      </c>
      <c r="N153" s="16" t="str">
        <f>IF(Country_2!$C54="","",Country_2!N54)</f>
        <v/>
      </c>
      <c r="O153" s="16" t="str">
        <f>IF(Country_2!$C54="","",Country_2!O54)</f>
        <v/>
      </c>
      <c r="P153" s="16" t="str">
        <f>IF(Country_2!$C54="","",Country_2!P54)</f>
        <v/>
      </c>
      <c r="Q153" s="16" t="str">
        <f>IF(Country_2!$C54="","",Country_2!Q54)</f>
        <v/>
      </c>
    </row>
    <row r="154" spans="1:17" x14ac:dyDescent="0.25">
      <c r="A154" s="16" t="str">
        <f>IF(Country_2!$C55="","",Country_2!A55)</f>
        <v/>
      </c>
      <c r="B154" s="16" t="str">
        <f>IF(Country_2!$C55="","",Country_2!B55)</f>
        <v/>
      </c>
      <c r="C154" s="16" t="str">
        <f>IF(Country_2!$C55="","",Country_2!C55)</f>
        <v/>
      </c>
      <c r="D154" s="16" t="str">
        <f>IF(Country_2!$C55="","",Country_2!D55)</f>
        <v/>
      </c>
      <c r="E154" s="16" t="str">
        <f>IF(Country_2!$C55="","",Country_2!E55)</f>
        <v/>
      </c>
      <c r="F154" s="16" t="str">
        <f>IF(Country_2!$C55="","",Country_2!F55)</f>
        <v/>
      </c>
      <c r="G154" s="17" t="str">
        <f>IF(Country_2!$C55="","",Country_2!G55)</f>
        <v/>
      </c>
      <c r="H154" s="17" t="str">
        <f>IF(Country_2!$C55="","",Country_2!H55)</f>
        <v/>
      </c>
      <c r="I154" s="16" t="str">
        <f>IF(Country_2!$C55="","",Country_2!I55)</f>
        <v/>
      </c>
      <c r="J154" s="16" t="str">
        <f>IF(Country_2!$C55="","",Country_2!J55)</f>
        <v/>
      </c>
      <c r="K154" s="18" t="str">
        <f>IF(Country_2!$C55="","",Country_2!K55)</f>
        <v/>
      </c>
      <c r="L154" s="18" t="str">
        <f>IF(Country_2!$C55="","",Country_2!L55)</f>
        <v/>
      </c>
      <c r="M154" s="19" t="str">
        <f>IF(Country_2!$C55="","",Country_2!M55)</f>
        <v/>
      </c>
      <c r="N154" s="16" t="str">
        <f>IF(Country_2!$C55="","",Country_2!N55)</f>
        <v/>
      </c>
      <c r="O154" s="16" t="str">
        <f>IF(Country_2!$C55="","",Country_2!O55)</f>
        <v/>
      </c>
      <c r="P154" s="16" t="str">
        <f>IF(Country_2!$C55="","",Country_2!P55)</f>
        <v/>
      </c>
      <c r="Q154" s="16" t="str">
        <f>IF(Country_2!$C55="","",Country_2!Q55)</f>
        <v/>
      </c>
    </row>
    <row r="155" spans="1:17" x14ac:dyDescent="0.25">
      <c r="A155" s="16" t="str">
        <f>IF(Country_2!$C56="","",Country_2!A56)</f>
        <v/>
      </c>
      <c r="B155" s="16" t="str">
        <f>IF(Country_2!$C56="","",Country_2!B56)</f>
        <v/>
      </c>
      <c r="C155" s="16" t="str">
        <f>IF(Country_2!$C56="","",Country_2!C56)</f>
        <v/>
      </c>
      <c r="D155" s="16" t="str">
        <f>IF(Country_2!$C56="","",Country_2!D56)</f>
        <v/>
      </c>
      <c r="E155" s="16" t="str">
        <f>IF(Country_2!$C56="","",Country_2!E56)</f>
        <v/>
      </c>
      <c r="F155" s="16" t="str">
        <f>IF(Country_2!$C56="","",Country_2!F56)</f>
        <v/>
      </c>
      <c r="G155" s="17" t="str">
        <f>IF(Country_2!$C56="","",Country_2!G56)</f>
        <v/>
      </c>
      <c r="H155" s="17" t="str">
        <f>IF(Country_2!$C56="","",Country_2!H56)</f>
        <v/>
      </c>
      <c r="I155" s="16" t="str">
        <f>IF(Country_2!$C56="","",Country_2!I56)</f>
        <v/>
      </c>
      <c r="J155" s="16" t="str">
        <f>IF(Country_2!$C56="","",Country_2!J56)</f>
        <v/>
      </c>
      <c r="K155" s="18" t="str">
        <f>IF(Country_2!$C56="","",Country_2!K56)</f>
        <v/>
      </c>
      <c r="L155" s="18" t="str">
        <f>IF(Country_2!$C56="","",Country_2!L56)</f>
        <v/>
      </c>
      <c r="M155" s="19" t="str">
        <f>IF(Country_2!$C56="","",Country_2!M56)</f>
        <v/>
      </c>
      <c r="N155" s="16" t="str">
        <f>IF(Country_2!$C56="","",Country_2!N56)</f>
        <v/>
      </c>
      <c r="O155" s="16" t="str">
        <f>IF(Country_2!$C56="","",Country_2!O56)</f>
        <v/>
      </c>
      <c r="P155" s="16" t="str">
        <f>IF(Country_2!$C56="","",Country_2!P56)</f>
        <v/>
      </c>
      <c r="Q155" s="16" t="str">
        <f>IF(Country_2!$C56="","",Country_2!Q56)</f>
        <v/>
      </c>
    </row>
    <row r="156" spans="1:17" x14ac:dyDescent="0.25">
      <c r="A156" s="16" t="str">
        <f>IF(Country_2!$C57="","",Country_2!A57)</f>
        <v/>
      </c>
      <c r="B156" s="16" t="str">
        <f>IF(Country_2!$C57="","",Country_2!B57)</f>
        <v/>
      </c>
      <c r="C156" s="16" t="str">
        <f>IF(Country_2!$C57="","",Country_2!C57)</f>
        <v/>
      </c>
      <c r="D156" s="16" t="str">
        <f>IF(Country_2!$C57="","",Country_2!D57)</f>
        <v/>
      </c>
      <c r="E156" s="16" t="str">
        <f>IF(Country_2!$C57="","",Country_2!E57)</f>
        <v/>
      </c>
      <c r="F156" s="16" t="str">
        <f>IF(Country_2!$C57="","",Country_2!F57)</f>
        <v/>
      </c>
      <c r="G156" s="17" t="str">
        <f>IF(Country_2!$C57="","",Country_2!G57)</f>
        <v/>
      </c>
      <c r="H156" s="17" t="str">
        <f>IF(Country_2!$C57="","",Country_2!H57)</f>
        <v/>
      </c>
      <c r="I156" s="16" t="str">
        <f>IF(Country_2!$C57="","",Country_2!I57)</f>
        <v/>
      </c>
      <c r="J156" s="16" t="str">
        <f>IF(Country_2!$C57="","",Country_2!J57)</f>
        <v/>
      </c>
      <c r="K156" s="18" t="str">
        <f>IF(Country_2!$C57="","",Country_2!K57)</f>
        <v/>
      </c>
      <c r="L156" s="18" t="str">
        <f>IF(Country_2!$C57="","",Country_2!L57)</f>
        <v/>
      </c>
      <c r="M156" s="19" t="str">
        <f>IF(Country_2!$C57="","",Country_2!M57)</f>
        <v/>
      </c>
      <c r="N156" s="16" t="str">
        <f>IF(Country_2!$C57="","",Country_2!N57)</f>
        <v/>
      </c>
      <c r="O156" s="16" t="str">
        <f>IF(Country_2!$C57="","",Country_2!O57)</f>
        <v/>
      </c>
      <c r="P156" s="16" t="str">
        <f>IF(Country_2!$C57="","",Country_2!P57)</f>
        <v/>
      </c>
      <c r="Q156" s="16" t="str">
        <f>IF(Country_2!$C57="","",Country_2!Q57)</f>
        <v/>
      </c>
    </row>
    <row r="157" spans="1:17" x14ac:dyDescent="0.25">
      <c r="A157" s="16" t="str">
        <f>IF(Country_2!$C58="","",Country_2!A58)</f>
        <v/>
      </c>
      <c r="B157" s="16" t="str">
        <f>IF(Country_2!$C58="","",Country_2!B58)</f>
        <v/>
      </c>
      <c r="C157" s="16" t="str">
        <f>IF(Country_2!$C58="","",Country_2!C58)</f>
        <v/>
      </c>
      <c r="D157" s="16" t="str">
        <f>IF(Country_2!$C58="","",Country_2!D58)</f>
        <v/>
      </c>
      <c r="E157" s="16" t="str">
        <f>IF(Country_2!$C58="","",Country_2!E58)</f>
        <v/>
      </c>
      <c r="F157" s="16" t="str">
        <f>IF(Country_2!$C58="","",Country_2!F58)</f>
        <v/>
      </c>
      <c r="G157" s="17" t="str">
        <f>IF(Country_2!$C58="","",Country_2!G58)</f>
        <v/>
      </c>
      <c r="H157" s="17" t="str">
        <f>IF(Country_2!$C58="","",Country_2!H58)</f>
        <v/>
      </c>
      <c r="I157" s="16" t="str">
        <f>IF(Country_2!$C58="","",Country_2!I58)</f>
        <v/>
      </c>
      <c r="J157" s="16" t="str">
        <f>IF(Country_2!$C58="","",Country_2!J58)</f>
        <v/>
      </c>
      <c r="K157" s="18" t="str">
        <f>IF(Country_2!$C58="","",Country_2!K58)</f>
        <v/>
      </c>
      <c r="L157" s="18" t="str">
        <f>IF(Country_2!$C58="","",Country_2!L58)</f>
        <v/>
      </c>
      <c r="M157" s="19" t="str">
        <f>IF(Country_2!$C58="","",Country_2!M58)</f>
        <v/>
      </c>
      <c r="N157" s="16" t="str">
        <f>IF(Country_2!$C58="","",Country_2!N58)</f>
        <v/>
      </c>
      <c r="O157" s="16" t="str">
        <f>IF(Country_2!$C58="","",Country_2!O58)</f>
        <v/>
      </c>
      <c r="P157" s="16" t="str">
        <f>IF(Country_2!$C58="","",Country_2!P58)</f>
        <v/>
      </c>
      <c r="Q157" s="16" t="str">
        <f>IF(Country_2!$C58="","",Country_2!Q58)</f>
        <v/>
      </c>
    </row>
    <row r="158" spans="1:17" x14ac:dyDescent="0.25">
      <c r="A158" s="16" t="str">
        <f>IF(Country_2!$C59="","",Country_2!A59)</f>
        <v/>
      </c>
      <c r="B158" s="16" t="str">
        <f>IF(Country_2!$C59="","",Country_2!B59)</f>
        <v/>
      </c>
      <c r="C158" s="16" t="str">
        <f>IF(Country_2!$C59="","",Country_2!C59)</f>
        <v/>
      </c>
      <c r="D158" s="16" t="str">
        <f>IF(Country_2!$C59="","",Country_2!D59)</f>
        <v/>
      </c>
      <c r="E158" s="16" t="str">
        <f>IF(Country_2!$C59="","",Country_2!E59)</f>
        <v/>
      </c>
      <c r="F158" s="16" t="str">
        <f>IF(Country_2!$C59="","",Country_2!F59)</f>
        <v/>
      </c>
      <c r="G158" s="17" t="str">
        <f>IF(Country_2!$C59="","",Country_2!G59)</f>
        <v/>
      </c>
      <c r="H158" s="17" t="str">
        <f>IF(Country_2!$C59="","",Country_2!H59)</f>
        <v/>
      </c>
      <c r="I158" s="16" t="str">
        <f>IF(Country_2!$C59="","",Country_2!I59)</f>
        <v/>
      </c>
      <c r="J158" s="16" t="str">
        <f>IF(Country_2!$C59="","",Country_2!J59)</f>
        <v/>
      </c>
      <c r="K158" s="18" t="str">
        <f>IF(Country_2!$C59="","",Country_2!K59)</f>
        <v/>
      </c>
      <c r="L158" s="18" t="str">
        <f>IF(Country_2!$C59="","",Country_2!L59)</f>
        <v/>
      </c>
      <c r="M158" s="19" t="str">
        <f>IF(Country_2!$C59="","",Country_2!M59)</f>
        <v/>
      </c>
      <c r="N158" s="16" t="str">
        <f>IF(Country_2!$C59="","",Country_2!N59)</f>
        <v/>
      </c>
      <c r="O158" s="16" t="str">
        <f>IF(Country_2!$C59="","",Country_2!O59)</f>
        <v/>
      </c>
      <c r="P158" s="16" t="str">
        <f>IF(Country_2!$C59="","",Country_2!P59)</f>
        <v/>
      </c>
      <c r="Q158" s="16" t="str">
        <f>IF(Country_2!$C59="","",Country_2!Q59)</f>
        <v/>
      </c>
    </row>
    <row r="159" spans="1:17" x14ac:dyDescent="0.25">
      <c r="A159" s="16" t="str">
        <f>IF(Country_2!$C60="","",Country_2!A60)</f>
        <v/>
      </c>
      <c r="B159" s="16" t="str">
        <f>IF(Country_2!$C60="","",Country_2!B60)</f>
        <v/>
      </c>
      <c r="C159" s="16" t="str">
        <f>IF(Country_2!$C60="","",Country_2!C60)</f>
        <v/>
      </c>
      <c r="D159" s="16" t="str">
        <f>IF(Country_2!$C60="","",Country_2!D60)</f>
        <v/>
      </c>
      <c r="E159" s="16" t="str">
        <f>IF(Country_2!$C60="","",Country_2!E60)</f>
        <v/>
      </c>
      <c r="F159" s="16" t="str">
        <f>IF(Country_2!$C60="","",Country_2!F60)</f>
        <v/>
      </c>
      <c r="G159" s="17" t="str">
        <f>IF(Country_2!$C60="","",Country_2!G60)</f>
        <v/>
      </c>
      <c r="H159" s="17" t="str">
        <f>IF(Country_2!$C60="","",Country_2!H60)</f>
        <v/>
      </c>
      <c r="I159" s="16" t="str">
        <f>IF(Country_2!$C60="","",Country_2!I60)</f>
        <v/>
      </c>
      <c r="J159" s="16" t="str">
        <f>IF(Country_2!$C60="","",Country_2!J60)</f>
        <v/>
      </c>
      <c r="K159" s="18" t="str">
        <f>IF(Country_2!$C60="","",Country_2!K60)</f>
        <v/>
      </c>
      <c r="L159" s="18" t="str">
        <f>IF(Country_2!$C60="","",Country_2!L60)</f>
        <v/>
      </c>
      <c r="M159" s="19" t="str">
        <f>IF(Country_2!$C60="","",Country_2!M60)</f>
        <v/>
      </c>
      <c r="N159" s="16" t="str">
        <f>IF(Country_2!$C60="","",Country_2!N60)</f>
        <v/>
      </c>
      <c r="O159" s="16" t="str">
        <f>IF(Country_2!$C60="","",Country_2!O60)</f>
        <v/>
      </c>
      <c r="P159" s="16" t="str">
        <f>IF(Country_2!$C60="","",Country_2!P60)</f>
        <v/>
      </c>
      <c r="Q159" s="16" t="str">
        <f>IF(Country_2!$C60="","",Country_2!Q60)</f>
        <v/>
      </c>
    </row>
    <row r="160" spans="1:17" x14ac:dyDescent="0.25">
      <c r="A160" s="16" t="str">
        <f>IF(Country_2!$C61="","",Country_2!A61)</f>
        <v/>
      </c>
      <c r="B160" s="16" t="str">
        <f>IF(Country_2!$C61="","",Country_2!B61)</f>
        <v/>
      </c>
      <c r="C160" s="16" t="str">
        <f>IF(Country_2!$C61="","",Country_2!C61)</f>
        <v/>
      </c>
      <c r="D160" s="16" t="str">
        <f>IF(Country_2!$C61="","",Country_2!D61)</f>
        <v/>
      </c>
      <c r="E160" s="16" t="str">
        <f>IF(Country_2!$C61="","",Country_2!E61)</f>
        <v/>
      </c>
      <c r="F160" s="16" t="str">
        <f>IF(Country_2!$C61="","",Country_2!F61)</f>
        <v/>
      </c>
      <c r="G160" s="17" t="str">
        <f>IF(Country_2!$C61="","",Country_2!G61)</f>
        <v/>
      </c>
      <c r="H160" s="17" t="str">
        <f>IF(Country_2!$C61="","",Country_2!H61)</f>
        <v/>
      </c>
      <c r="I160" s="16" t="str">
        <f>IF(Country_2!$C61="","",Country_2!I61)</f>
        <v/>
      </c>
      <c r="J160" s="16" t="str">
        <f>IF(Country_2!$C61="","",Country_2!J61)</f>
        <v/>
      </c>
      <c r="K160" s="18" t="str">
        <f>IF(Country_2!$C61="","",Country_2!K61)</f>
        <v/>
      </c>
      <c r="L160" s="18" t="str">
        <f>IF(Country_2!$C61="","",Country_2!L61)</f>
        <v/>
      </c>
      <c r="M160" s="19" t="str">
        <f>IF(Country_2!$C61="","",Country_2!M61)</f>
        <v/>
      </c>
      <c r="N160" s="16" t="str">
        <f>IF(Country_2!$C61="","",Country_2!N61)</f>
        <v/>
      </c>
      <c r="O160" s="16" t="str">
        <f>IF(Country_2!$C61="","",Country_2!O61)</f>
        <v/>
      </c>
      <c r="P160" s="16" t="str">
        <f>IF(Country_2!$C61="","",Country_2!P61)</f>
        <v/>
      </c>
      <c r="Q160" s="16" t="str">
        <f>IF(Country_2!$C61="","",Country_2!Q61)</f>
        <v/>
      </c>
    </row>
    <row r="161" spans="1:17" x14ac:dyDescent="0.25">
      <c r="A161" s="16" t="str">
        <f>IF(Country_2!$C62="","",Country_2!A62)</f>
        <v/>
      </c>
      <c r="B161" s="16" t="str">
        <f>IF(Country_2!$C62="","",Country_2!B62)</f>
        <v/>
      </c>
      <c r="C161" s="16" t="str">
        <f>IF(Country_2!$C62="","",Country_2!C62)</f>
        <v/>
      </c>
      <c r="D161" s="16" t="str">
        <f>IF(Country_2!$C62="","",Country_2!D62)</f>
        <v/>
      </c>
      <c r="E161" s="16" t="str">
        <f>IF(Country_2!$C62="","",Country_2!E62)</f>
        <v/>
      </c>
      <c r="F161" s="16" t="str">
        <f>IF(Country_2!$C62="","",Country_2!F62)</f>
        <v/>
      </c>
      <c r="G161" s="17" t="str">
        <f>IF(Country_2!$C62="","",Country_2!G62)</f>
        <v/>
      </c>
      <c r="H161" s="17" t="str">
        <f>IF(Country_2!$C62="","",Country_2!H62)</f>
        <v/>
      </c>
      <c r="I161" s="16" t="str">
        <f>IF(Country_2!$C62="","",Country_2!I62)</f>
        <v/>
      </c>
      <c r="J161" s="16" t="str">
        <f>IF(Country_2!$C62="","",Country_2!J62)</f>
        <v/>
      </c>
      <c r="K161" s="18" t="str">
        <f>IF(Country_2!$C62="","",Country_2!K62)</f>
        <v/>
      </c>
      <c r="L161" s="18" t="str">
        <f>IF(Country_2!$C62="","",Country_2!L62)</f>
        <v/>
      </c>
      <c r="M161" s="19" t="str">
        <f>IF(Country_2!$C62="","",Country_2!M62)</f>
        <v/>
      </c>
      <c r="N161" s="16" t="str">
        <f>IF(Country_2!$C62="","",Country_2!N62)</f>
        <v/>
      </c>
      <c r="O161" s="16" t="str">
        <f>IF(Country_2!$C62="","",Country_2!O62)</f>
        <v/>
      </c>
      <c r="P161" s="16" t="str">
        <f>IF(Country_2!$C62="","",Country_2!P62)</f>
        <v/>
      </c>
      <c r="Q161" s="16" t="str">
        <f>IF(Country_2!$C62="","",Country_2!Q62)</f>
        <v/>
      </c>
    </row>
    <row r="162" spans="1:17" x14ac:dyDescent="0.25">
      <c r="A162" s="16" t="str">
        <f>IF(Country_2!$C63="","",Country_2!A63)</f>
        <v/>
      </c>
      <c r="B162" s="16" t="str">
        <f>IF(Country_2!$C63="","",Country_2!B63)</f>
        <v/>
      </c>
      <c r="C162" s="16" t="str">
        <f>IF(Country_2!$C63="","",Country_2!C63)</f>
        <v/>
      </c>
      <c r="D162" s="16" t="str">
        <f>IF(Country_2!$C63="","",Country_2!D63)</f>
        <v/>
      </c>
      <c r="E162" s="16" t="str">
        <f>IF(Country_2!$C63="","",Country_2!E63)</f>
        <v/>
      </c>
      <c r="F162" s="16" t="str">
        <f>IF(Country_2!$C63="","",Country_2!F63)</f>
        <v/>
      </c>
      <c r="G162" s="17" t="str">
        <f>IF(Country_2!$C63="","",Country_2!G63)</f>
        <v/>
      </c>
      <c r="H162" s="17" t="str">
        <f>IF(Country_2!$C63="","",Country_2!H63)</f>
        <v/>
      </c>
      <c r="I162" s="16" t="str">
        <f>IF(Country_2!$C63="","",Country_2!I63)</f>
        <v/>
      </c>
      <c r="J162" s="16" t="str">
        <f>IF(Country_2!$C63="","",Country_2!J63)</f>
        <v/>
      </c>
      <c r="K162" s="18" t="str">
        <f>IF(Country_2!$C63="","",Country_2!K63)</f>
        <v/>
      </c>
      <c r="L162" s="18" t="str">
        <f>IF(Country_2!$C63="","",Country_2!L63)</f>
        <v/>
      </c>
      <c r="M162" s="19" t="str">
        <f>IF(Country_2!$C63="","",Country_2!M63)</f>
        <v/>
      </c>
      <c r="N162" s="16" t="str">
        <f>IF(Country_2!$C63="","",Country_2!N63)</f>
        <v/>
      </c>
      <c r="O162" s="16" t="str">
        <f>IF(Country_2!$C63="","",Country_2!O63)</f>
        <v/>
      </c>
      <c r="P162" s="16" t="str">
        <f>IF(Country_2!$C63="","",Country_2!P63)</f>
        <v/>
      </c>
      <c r="Q162" s="16" t="str">
        <f>IF(Country_2!$C63="","",Country_2!Q63)</f>
        <v/>
      </c>
    </row>
    <row r="163" spans="1:17" x14ac:dyDescent="0.25">
      <c r="A163" s="16" t="str">
        <f>IF(Country_2!$C64="","",Country_2!A64)</f>
        <v/>
      </c>
      <c r="B163" s="16" t="str">
        <f>IF(Country_2!$C64="","",Country_2!B64)</f>
        <v/>
      </c>
      <c r="C163" s="16" t="str">
        <f>IF(Country_2!$C64="","",Country_2!C64)</f>
        <v/>
      </c>
      <c r="D163" s="16" t="str">
        <f>IF(Country_2!$C64="","",Country_2!D64)</f>
        <v/>
      </c>
      <c r="E163" s="16" t="str">
        <f>IF(Country_2!$C64="","",Country_2!E64)</f>
        <v/>
      </c>
      <c r="F163" s="16" t="str">
        <f>IF(Country_2!$C64="","",Country_2!F64)</f>
        <v/>
      </c>
      <c r="G163" s="17" t="str">
        <f>IF(Country_2!$C64="","",Country_2!G64)</f>
        <v/>
      </c>
      <c r="H163" s="17" t="str">
        <f>IF(Country_2!$C64="","",Country_2!H64)</f>
        <v/>
      </c>
      <c r="I163" s="16" t="str">
        <f>IF(Country_2!$C64="","",Country_2!I64)</f>
        <v/>
      </c>
      <c r="J163" s="16" t="str">
        <f>IF(Country_2!$C64="","",Country_2!J64)</f>
        <v/>
      </c>
      <c r="K163" s="18" t="str">
        <f>IF(Country_2!$C64="","",Country_2!K64)</f>
        <v/>
      </c>
      <c r="L163" s="18" t="str">
        <f>IF(Country_2!$C64="","",Country_2!L64)</f>
        <v/>
      </c>
      <c r="M163" s="19" t="str">
        <f>IF(Country_2!$C64="","",Country_2!M64)</f>
        <v/>
      </c>
      <c r="N163" s="16" t="str">
        <f>IF(Country_2!$C64="","",Country_2!N64)</f>
        <v/>
      </c>
      <c r="O163" s="16" t="str">
        <f>IF(Country_2!$C64="","",Country_2!O64)</f>
        <v/>
      </c>
      <c r="P163" s="16" t="str">
        <f>IF(Country_2!$C64="","",Country_2!P64)</f>
        <v/>
      </c>
      <c r="Q163" s="16" t="str">
        <f>IF(Country_2!$C64="","",Country_2!Q64)</f>
        <v/>
      </c>
    </row>
    <row r="164" spans="1:17" x14ac:dyDescent="0.25">
      <c r="A164" s="16" t="str">
        <f>IF(Country_2!$C65="","",Country_2!A65)</f>
        <v/>
      </c>
      <c r="B164" s="16" t="str">
        <f>IF(Country_2!$C65="","",Country_2!B65)</f>
        <v/>
      </c>
      <c r="C164" s="16" t="str">
        <f>IF(Country_2!$C65="","",Country_2!C65)</f>
        <v/>
      </c>
      <c r="D164" s="16" t="str">
        <f>IF(Country_2!$C65="","",Country_2!D65)</f>
        <v/>
      </c>
      <c r="E164" s="16" t="str">
        <f>IF(Country_2!$C65="","",Country_2!E65)</f>
        <v/>
      </c>
      <c r="F164" s="16" t="str">
        <f>IF(Country_2!$C65="","",Country_2!F65)</f>
        <v/>
      </c>
      <c r="G164" s="17" t="str">
        <f>IF(Country_2!$C65="","",Country_2!G65)</f>
        <v/>
      </c>
      <c r="H164" s="17" t="str">
        <f>IF(Country_2!$C65="","",Country_2!H65)</f>
        <v/>
      </c>
      <c r="I164" s="16" t="str">
        <f>IF(Country_2!$C65="","",Country_2!I65)</f>
        <v/>
      </c>
      <c r="J164" s="16" t="str">
        <f>IF(Country_2!$C65="","",Country_2!J65)</f>
        <v/>
      </c>
      <c r="K164" s="18" t="str">
        <f>IF(Country_2!$C65="","",Country_2!K65)</f>
        <v/>
      </c>
      <c r="L164" s="18" t="str">
        <f>IF(Country_2!$C65="","",Country_2!L65)</f>
        <v/>
      </c>
      <c r="M164" s="19" t="str">
        <f>IF(Country_2!$C65="","",Country_2!M65)</f>
        <v/>
      </c>
      <c r="N164" s="16" t="str">
        <f>IF(Country_2!$C65="","",Country_2!N65)</f>
        <v/>
      </c>
      <c r="O164" s="16" t="str">
        <f>IF(Country_2!$C65="","",Country_2!O65)</f>
        <v/>
      </c>
      <c r="P164" s="16" t="str">
        <f>IF(Country_2!$C65="","",Country_2!P65)</f>
        <v/>
      </c>
      <c r="Q164" s="16" t="str">
        <f>IF(Country_2!$C65="","",Country_2!Q65)</f>
        <v/>
      </c>
    </row>
    <row r="165" spans="1:17" x14ac:dyDescent="0.25">
      <c r="A165" s="16" t="str">
        <f>IF(Country_2!$C66="","",Country_2!A66)</f>
        <v/>
      </c>
      <c r="B165" s="16" t="str">
        <f>IF(Country_2!$C66="","",Country_2!B66)</f>
        <v/>
      </c>
      <c r="C165" s="16" t="str">
        <f>IF(Country_2!$C66="","",Country_2!C66)</f>
        <v/>
      </c>
      <c r="D165" s="16" t="str">
        <f>IF(Country_2!$C66="","",Country_2!D66)</f>
        <v/>
      </c>
      <c r="E165" s="16" t="str">
        <f>IF(Country_2!$C66="","",Country_2!E66)</f>
        <v/>
      </c>
      <c r="F165" s="16" t="str">
        <f>IF(Country_2!$C66="","",Country_2!F66)</f>
        <v/>
      </c>
      <c r="G165" s="17" t="str">
        <f>IF(Country_2!$C66="","",Country_2!G66)</f>
        <v/>
      </c>
      <c r="H165" s="17" t="str">
        <f>IF(Country_2!$C66="","",Country_2!H66)</f>
        <v/>
      </c>
      <c r="I165" s="16" t="str">
        <f>IF(Country_2!$C66="","",Country_2!I66)</f>
        <v/>
      </c>
      <c r="J165" s="16" t="str">
        <f>IF(Country_2!$C66="","",Country_2!J66)</f>
        <v/>
      </c>
      <c r="K165" s="18" t="str">
        <f>IF(Country_2!$C66="","",Country_2!K66)</f>
        <v/>
      </c>
      <c r="L165" s="18" t="str">
        <f>IF(Country_2!$C66="","",Country_2!L66)</f>
        <v/>
      </c>
      <c r="M165" s="19" t="str">
        <f>IF(Country_2!$C66="","",Country_2!M66)</f>
        <v/>
      </c>
      <c r="N165" s="16" t="str">
        <f>IF(Country_2!$C66="","",Country_2!N66)</f>
        <v/>
      </c>
      <c r="O165" s="16" t="str">
        <f>IF(Country_2!$C66="","",Country_2!O66)</f>
        <v/>
      </c>
      <c r="P165" s="16" t="str">
        <f>IF(Country_2!$C66="","",Country_2!P66)</f>
        <v/>
      </c>
      <c r="Q165" s="16" t="str">
        <f>IF(Country_2!$C66="","",Country_2!Q66)</f>
        <v/>
      </c>
    </row>
    <row r="166" spans="1:17" x14ac:dyDescent="0.25">
      <c r="A166" s="16" t="str">
        <f>IF(Country_2!$C67="","",Country_2!A67)</f>
        <v/>
      </c>
      <c r="B166" s="16" t="str">
        <f>IF(Country_2!$C67="","",Country_2!B67)</f>
        <v/>
      </c>
      <c r="C166" s="16" t="str">
        <f>IF(Country_2!$C67="","",Country_2!C67)</f>
        <v/>
      </c>
      <c r="D166" s="16" t="str">
        <f>IF(Country_2!$C67="","",Country_2!D67)</f>
        <v/>
      </c>
      <c r="E166" s="16" t="str">
        <f>IF(Country_2!$C67="","",Country_2!E67)</f>
        <v/>
      </c>
      <c r="F166" s="16" t="str">
        <f>IF(Country_2!$C67="","",Country_2!F67)</f>
        <v/>
      </c>
      <c r="G166" s="17" t="str">
        <f>IF(Country_2!$C67="","",Country_2!G67)</f>
        <v/>
      </c>
      <c r="H166" s="17" t="str">
        <f>IF(Country_2!$C67="","",Country_2!H67)</f>
        <v/>
      </c>
      <c r="I166" s="16" t="str">
        <f>IF(Country_2!$C67="","",Country_2!I67)</f>
        <v/>
      </c>
      <c r="J166" s="16" t="str">
        <f>IF(Country_2!$C67="","",Country_2!J67)</f>
        <v/>
      </c>
      <c r="K166" s="18" t="str">
        <f>IF(Country_2!$C67="","",Country_2!K67)</f>
        <v/>
      </c>
      <c r="L166" s="18" t="str">
        <f>IF(Country_2!$C67="","",Country_2!L67)</f>
        <v/>
      </c>
      <c r="M166" s="19" t="str">
        <f>IF(Country_2!$C67="","",Country_2!M67)</f>
        <v/>
      </c>
      <c r="N166" s="16" t="str">
        <f>IF(Country_2!$C67="","",Country_2!N67)</f>
        <v/>
      </c>
      <c r="O166" s="16" t="str">
        <f>IF(Country_2!$C67="","",Country_2!O67)</f>
        <v/>
      </c>
      <c r="P166" s="16" t="str">
        <f>IF(Country_2!$C67="","",Country_2!P67)</f>
        <v/>
      </c>
      <c r="Q166" s="16" t="str">
        <f>IF(Country_2!$C67="","",Country_2!Q67)</f>
        <v/>
      </c>
    </row>
    <row r="167" spans="1:17" x14ac:dyDescent="0.25">
      <c r="A167" s="16" t="str">
        <f>IF(Country_2!$C68="","",Country_2!A68)</f>
        <v/>
      </c>
      <c r="B167" s="16" t="str">
        <f>IF(Country_2!$C68="","",Country_2!B68)</f>
        <v/>
      </c>
      <c r="C167" s="16" t="str">
        <f>IF(Country_2!$C68="","",Country_2!C68)</f>
        <v/>
      </c>
      <c r="D167" s="16" t="str">
        <f>IF(Country_2!$C68="","",Country_2!D68)</f>
        <v/>
      </c>
      <c r="E167" s="16" t="str">
        <f>IF(Country_2!$C68="","",Country_2!E68)</f>
        <v/>
      </c>
      <c r="F167" s="16" t="str">
        <f>IF(Country_2!$C68="","",Country_2!F68)</f>
        <v/>
      </c>
      <c r="G167" s="17" t="str">
        <f>IF(Country_2!$C68="","",Country_2!G68)</f>
        <v/>
      </c>
      <c r="H167" s="17" t="str">
        <f>IF(Country_2!$C68="","",Country_2!H68)</f>
        <v/>
      </c>
      <c r="I167" s="16" t="str">
        <f>IF(Country_2!$C68="","",Country_2!I68)</f>
        <v/>
      </c>
      <c r="J167" s="16" t="str">
        <f>IF(Country_2!$C68="","",Country_2!J68)</f>
        <v/>
      </c>
      <c r="K167" s="18" t="str">
        <f>IF(Country_2!$C68="","",Country_2!K68)</f>
        <v/>
      </c>
      <c r="L167" s="18" t="str">
        <f>IF(Country_2!$C68="","",Country_2!L68)</f>
        <v/>
      </c>
      <c r="M167" s="19" t="str">
        <f>IF(Country_2!$C68="","",Country_2!M68)</f>
        <v/>
      </c>
      <c r="N167" s="16" t="str">
        <f>IF(Country_2!$C68="","",Country_2!N68)</f>
        <v/>
      </c>
      <c r="O167" s="16" t="str">
        <f>IF(Country_2!$C68="","",Country_2!O68)</f>
        <v/>
      </c>
      <c r="P167" s="16" t="str">
        <f>IF(Country_2!$C68="","",Country_2!P68)</f>
        <v/>
      </c>
      <c r="Q167" s="16" t="str">
        <f>IF(Country_2!$C68="","",Country_2!Q68)</f>
        <v/>
      </c>
    </row>
    <row r="168" spans="1:17" x14ac:dyDescent="0.25">
      <c r="A168" s="16" t="str">
        <f>IF(Country_2!$C69="","",Country_2!A69)</f>
        <v/>
      </c>
      <c r="B168" s="16" t="str">
        <f>IF(Country_2!$C69="","",Country_2!B69)</f>
        <v/>
      </c>
      <c r="C168" s="16" t="str">
        <f>IF(Country_2!$C69="","",Country_2!C69)</f>
        <v/>
      </c>
      <c r="D168" s="16" t="str">
        <f>IF(Country_2!$C69="","",Country_2!D69)</f>
        <v/>
      </c>
      <c r="E168" s="16" t="str">
        <f>IF(Country_2!$C69="","",Country_2!E69)</f>
        <v/>
      </c>
      <c r="F168" s="16" t="str">
        <f>IF(Country_2!$C69="","",Country_2!F69)</f>
        <v/>
      </c>
      <c r="G168" s="17" t="str">
        <f>IF(Country_2!$C69="","",Country_2!G69)</f>
        <v/>
      </c>
      <c r="H168" s="17" t="str">
        <f>IF(Country_2!$C69="","",Country_2!H69)</f>
        <v/>
      </c>
      <c r="I168" s="16" t="str">
        <f>IF(Country_2!$C69="","",Country_2!I69)</f>
        <v/>
      </c>
      <c r="J168" s="16" t="str">
        <f>IF(Country_2!$C69="","",Country_2!J69)</f>
        <v/>
      </c>
      <c r="K168" s="18" t="str">
        <f>IF(Country_2!$C69="","",Country_2!K69)</f>
        <v/>
      </c>
      <c r="L168" s="18" t="str">
        <f>IF(Country_2!$C69="","",Country_2!L69)</f>
        <v/>
      </c>
      <c r="M168" s="19" t="str">
        <f>IF(Country_2!$C69="","",Country_2!M69)</f>
        <v/>
      </c>
      <c r="N168" s="16" t="str">
        <f>IF(Country_2!$C69="","",Country_2!N69)</f>
        <v/>
      </c>
      <c r="O168" s="16" t="str">
        <f>IF(Country_2!$C69="","",Country_2!O69)</f>
        <v/>
      </c>
      <c r="P168" s="16" t="str">
        <f>IF(Country_2!$C69="","",Country_2!P69)</f>
        <v/>
      </c>
      <c r="Q168" s="16" t="str">
        <f>IF(Country_2!$C69="","",Country_2!Q69)</f>
        <v/>
      </c>
    </row>
    <row r="169" spans="1:17" x14ac:dyDescent="0.25">
      <c r="A169" s="16" t="str">
        <f>IF(Country_2!$C70="","",Country_2!A70)</f>
        <v/>
      </c>
      <c r="B169" s="16" t="str">
        <f>IF(Country_2!$C70="","",Country_2!B70)</f>
        <v/>
      </c>
      <c r="C169" s="16" t="str">
        <f>IF(Country_2!$C70="","",Country_2!C70)</f>
        <v/>
      </c>
      <c r="D169" s="16" t="str">
        <f>IF(Country_2!$C70="","",Country_2!D70)</f>
        <v/>
      </c>
      <c r="E169" s="16" t="str">
        <f>IF(Country_2!$C70="","",Country_2!E70)</f>
        <v/>
      </c>
      <c r="F169" s="16" t="str">
        <f>IF(Country_2!$C70="","",Country_2!F70)</f>
        <v/>
      </c>
      <c r="G169" s="17" t="str">
        <f>IF(Country_2!$C70="","",Country_2!G70)</f>
        <v/>
      </c>
      <c r="H169" s="17" t="str">
        <f>IF(Country_2!$C70="","",Country_2!H70)</f>
        <v/>
      </c>
      <c r="I169" s="16" t="str">
        <f>IF(Country_2!$C70="","",Country_2!I70)</f>
        <v/>
      </c>
      <c r="J169" s="16" t="str">
        <f>IF(Country_2!$C70="","",Country_2!J70)</f>
        <v/>
      </c>
      <c r="K169" s="18" t="str">
        <f>IF(Country_2!$C70="","",Country_2!K70)</f>
        <v/>
      </c>
      <c r="L169" s="18" t="str">
        <f>IF(Country_2!$C70="","",Country_2!L70)</f>
        <v/>
      </c>
      <c r="M169" s="19" t="str">
        <f>IF(Country_2!$C70="","",Country_2!M70)</f>
        <v/>
      </c>
      <c r="N169" s="16" t="str">
        <f>IF(Country_2!$C70="","",Country_2!N70)</f>
        <v/>
      </c>
      <c r="O169" s="16" t="str">
        <f>IF(Country_2!$C70="","",Country_2!O70)</f>
        <v/>
      </c>
      <c r="P169" s="16" t="str">
        <f>IF(Country_2!$C70="","",Country_2!P70)</f>
        <v/>
      </c>
      <c r="Q169" s="16" t="str">
        <f>IF(Country_2!$C70="","",Country_2!Q70)</f>
        <v/>
      </c>
    </row>
    <row r="170" spans="1:17" x14ac:dyDescent="0.25">
      <c r="A170" s="16" t="str">
        <f>IF(Country_2!$C71="","",Country_2!A71)</f>
        <v/>
      </c>
      <c r="B170" s="16" t="str">
        <f>IF(Country_2!$C71="","",Country_2!B71)</f>
        <v/>
      </c>
      <c r="C170" s="16" t="str">
        <f>IF(Country_2!$C71="","",Country_2!C71)</f>
        <v/>
      </c>
      <c r="D170" s="16" t="str">
        <f>IF(Country_2!$C71="","",Country_2!D71)</f>
        <v/>
      </c>
      <c r="E170" s="16" t="str">
        <f>IF(Country_2!$C71="","",Country_2!E71)</f>
        <v/>
      </c>
      <c r="F170" s="16" t="str">
        <f>IF(Country_2!$C71="","",Country_2!F71)</f>
        <v/>
      </c>
      <c r="G170" s="17" t="str">
        <f>IF(Country_2!$C71="","",Country_2!G71)</f>
        <v/>
      </c>
      <c r="H170" s="17" t="str">
        <f>IF(Country_2!$C71="","",Country_2!H71)</f>
        <v/>
      </c>
      <c r="I170" s="16" t="str">
        <f>IF(Country_2!$C71="","",Country_2!I71)</f>
        <v/>
      </c>
      <c r="J170" s="16" t="str">
        <f>IF(Country_2!$C71="","",Country_2!J71)</f>
        <v/>
      </c>
      <c r="K170" s="18" t="str">
        <f>IF(Country_2!$C71="","",Country_2!K71)</f>
        <v/>
      </c>
      <c r="L170" s="18" t="str">
        <f>IF(Country_2!$C71="","",Country_2!L71)</f>
        <v/>
      </c>
      <c r="M170" s="19" t="str">
        <f>IF(Country_2!$C71="","",Country_2!M71)</f>
        <v/>
      </c>
      <c r="N170" s="16" t="str">
        <f>IF(Country_2!$C71="","",Country_2!N71)</f>
        <v/>
      </c>
      <c r="O170" s="16" t="str">
        <f>IF(Country_2!$C71="","",Country_2!O71)</f>
        <v/>
      </c>
      <c r="P170" s="16" t="str">
        <f>IF(Country_2!$C71="","",Country_2!P71)</f>
        <v/>
      </c>
      <c r="Q170" s="16" t="str">
        <f>IF(Country_2!$C71="","",Country_2!Q71)</f>
        <v/>
      </c>
    </row>
    <row r="171" spans="1:17" x14ac:dyDescent="0.25">
      <c r="A171" s="16" t="str">
        <f>IF(Country_2!$C72="","",Country_2!A72)</f>
        <v/>
      </c>
      <c r="B171" s="16" t="str">
        <f>IF(Country_2!$C72="","",Country_2!B72)</f>
        <v/>
      </c>
      <c r="C171" s="16" t="str">
        <f>IF(Country_2!$C72="","",Country_2!C72)</f>
        <v/>
      </c>
      <c r="D171" s="16" t="str">
        <f>IF(Country_2!$C72="","",Country_2!D72)</f>
        <v/>
      </c>
      <c r="E171" s="16" t="str">
        <f>IF(Country_2!$C72="","",Country_2!E72)</f>
        <v/>
      </c>
      <c r="F171" s="16" t="str">
        <f>IF(Country_2!$C72="","",Country_2!F72)</f>
        <v/>
      </c>
      <c r="G171" s="17" t="str">
        <f>IF(Country_2!$C72="","",Country_2!G72)</f>
        <v/>
      </c>
      <c r="H171" s="17" t="str">
        <f>IF(Country_2!$C72="","",Country_2!H72)</f>
        <v/>
      </c>
      <c r="I171" s="16" t="str">
        <f>IF(Country_2!$C72="","",Country_2!I72)</f>
        <v/>
      </c>
      <c r="J171" s="16" t="str">
        <f>IF(Country_2!$C72="","",Country_2!J72)</f>
        <v/>
      </c>
      <c r="K171" s="18" t="str">
        <f>IF(Country_2!$C72="","",Country_2!K72)</f>
        <v/>
      </c>
      <c r="L171" s="18" t="str">
        <f>IF(Country_2!$C72="","",Country_2!L72)</f>
        <v/>
      </c>
      <c r="M171" s="19" t="str">
        <f>IF(Country_2!$C72="","",Country_2!M72)</f>
        <v/>
      </c>
      <c r="N171" s="16" t="str">
        <f>IF(Country_2!$C72="","",Country_2!N72)</f>
        <v/>
      </c>
      <c r="O171" s="16" t="str">
        <f>IF(Country_2!$C72="","",Country_2!O72)</f>
        <v/>
      </c>
      <c r="P171" s="16" t="str">
        <f>IF(Country_2!$C72="","",Country_2!P72)</f>
        <v/>
      </c>
      <c r="Q171" s="16" t="str">
        <f>IF(Country_2!$C72="","",Country_2!Q72)</f>
        <v/>
      </c>
    </row>
    <row r="172" spans="1:17" x14ac:dyDescent="0.25">
      <c r="A172" s="16" t="str">
        <f>IF(Country_2!$C73="","",Country_2!A73)</f>
        <v/>
      </c>
      <c r="B172" s="16" t="str">
        <f>IF(Country_2!$C73="","",Country_2!B73)</f>
        <v/>
      </c>
      <c r="C172" s="16" t="str">
        <f>IF(Country_2!$C73="","",Country_2!C73)</f>
        <v/>
      </c>
      <c r="D172" s="16" t="str">
        <f>IF(Country_2!$C73="","",Country_2!D73)</f>
        <v/>
      </c>
      <c r="E172" s="16" t="str">
        <f>IF(Country_2!$C73="","",Country_2!E73)</f>
        <v/>
      </c>
      <c r="F172" s="16" t="str">
        <f>IF(Country_2!$C73="","",Country_2!F73)</f>
        <v/>
      </c>
      <c r="G172" s="17" t="str">
        <f>IF(Country_2!$C73="","",Country_2!G73)</f>
        <v/>
      </c>
      <c r="H172" s="17" t="str">
        <f>IF(Country_2!$C73="","",Country_2!H73)</f>
        <v/>
      </c>
      <c r="I172" s="16" t="str">
        <f>IF(Country_2!$C73="","",Country_2!I73)</f>
        <v/>
      </c>
      <c r="J172" s="16" t="str">
        <f>IF(Country_2!$C73="","",Country_2!J73)</f>
        <v/>
      </c>
      <c r="K172" s="18" t="str">
        <f>IF(Country_2!$C73="","",Country_2!K73)</f>
        <v/>
      </c>
      <c r="L172" s="18" t="str">
        <f>IF(Country_2!$C73="","",Country_2!L73)</f>
        <v/>
      </c>
      <c r="M172" s="19" t="str">
        <f>IF(Country_2!$C73="","",Country_2!M73)</f>
        <v/>
      </c>
      <c r="N172" s="16" t="str">
        <f>IF(Country_2!$C73="","",Country_2!N73)</f>
        <v/>
      </c>
      <c r="O172" s="16" t="str">
        <f>IF(Country_2!$C73="","",Country_2!O73)</f>
        <v/>
      </c>
      <c r="P172" s="16" t="str">
        <f>IF(Country_2!$C73="","",Country_2!P73)</f>
        <v/>
      </c>
      <c r="Q172" s="16" t="str">
        <f>IF(Country_2!$C73="","",Country_2!Q73)</f>
        <v/>
      </c>
    </row>
    <row r="173" spans="1:17" x14ac:dyDescent="0.25">
      <c r="A173" s="16" t="str">
        <f>IF(Country_2!$C74="","",Country_2!A74)</f>
        <v/>
      </c>
      <c r="B173" s="16" t="str">
        <f>IF(Country_2!$C74="","",Country_2!B74)</f>
        <v/>
      </c>
      <c r="C173" s="16" t="str">
        <f>IF(Country_2!$C74="","",Country_2!C74)</f>
        <v/>
      </c>
      <c r="D173" s="16" t="str">
        <f>IF(Country_2!$C74="","",Country_2!D74)</f>
        <v/>
      </c>
      <c r="E173" s="16" t="str">
        <f>IF(Country_2!$C74="","",Country_2!E74)</f>
        <v/>
      </c>
      <c r="F173" s="16" t="str">
        <f>IF(Country_2!$C74="","",Country_2!F74)</f>
        <v/>
      </c>
      <c r="G173" s="17" t="str">
        <f>IF(Country_2!$C74="","",Country_2!G74)</f>
        <v/>
      </c>
      <c r="H173" s="17" t="str">
        <f>IF(Country_2!$C74="","",Country_2!H74)</f>
        <v/>
      </c>
      <c r="I173" s="16" t="str">
        <f>IF(Country_2!$C74="","",Country_2!I74)</f>
        <v/>
      </c>
      <c r="J173" s="16" t="str">
        <f>IF(Country_2!$C74="","",Country_2!J74)</f>
        <v/>
      </c>
      <c r="K173" s="18" t="str">
        <f>IF(Country_2!$C74="","",Country_2!K74)</f>
        <v/>
      </c>
      <c r="L173" s="18" t="str">
        <f>IF(Country_2!$C74="","",Country_2!L74)</f>
        <v/>
      </c>
      <c r="M173" s="19" t="str">
        <f>IF(Country_2!$C74="","",Country_2!M74)</f>
        <v/>
      </c>
      <c r="N173" s="16" t="str">
        <f>IF(Country_2!$C74="","",Country_2!N74)</f>
        <v/>
      </c>
      <c r="O173" s="16" t="str">
        <f>IF(Country_2!$C74="","",Country_2!O74)</f>
        <v/>
      </c>
      <c r="P173" s="16" t="str">
        <f>IF(Country_2!$C74="","",Country_2!P74)</f>
        <v/>
      </c>
      <c r="Q173" s="16" t="str">
        <f>IF(Country_2!$C74="","",Country_2!Q74)</f>
        <v/>
      </c>
    </row>
    <row r="174" spans="1:17" x14ac:dyDescent="0.25">
      <c r="A174" s="16" t="str">
        <f>IF(Country_2!$C75="","",Country_2!A75)</f>
        <v/>
      </c>
      <c r="B174" s="16" t="str">
        <f>IF(Country_2!$C75="","",Country_2!B75)</f>
        <v/>
      </c>
      <c r="C174" s="16" t="str">
        <f>IF(Country_2!$C75="","",Country_2!C75)</f>
        <v/>
      </c>
      <c r="D174" s="16" t="str">
        <f>IF(Country_2!$C75="","",Country_2!D75)</f>
        <v/>
      </c>
      <c r="E174" s="16" t="str">
        <f>IF(Country_2!$C75="","",Country_2!E75)</f>
        <v/>
      </c>
      <c r="F174" s="16" t="str">
        <f>IF(Country_2!$C75="","",Country_2!F75)</f>
        <v/>
      </c>
      <c r="G174" s="17" t="str">
        <f>IF(Country_2!$C75="","",Country_2!G75)</f>
        <v/>
      </c>
      <c r="H174" s="17" t="str">
        <f>IF(Country_2!$C75="","",Country_2!H75)</f>
        <v/>
      </c>
      <c r="I174" s="16" t="str">
        <f>IF(Country_2!$C75="","",Country_2!I75)</f>
        <v/>
      </c>
      <c r="J174" s="16" t="str">
        <f>IF(Country_2!$C75="","",Country_2!J75)</f>
        <v/>
      </c>
      <c r="K174" s="18" t="str">
        <f>IF(Country_2!$C75="","",Country_2!K75)</f>
        <v/>
      </c>
      <c r="L174" s="18" t="str">
        <f>IF(Country_2!$C75="","",Country_2!L75)</f>
        <v/>
      </c>
      <c r="M174" s="19" t="str">
        <f>IF(Country_2!$C75="","",Country_2!M75)</f>
        <v/>
      </c>
      <c r="N174" s="16" t="str">
        <f>IF(Country_2!$C75="","",Country_2!N75)</f>
        <v/>
      </c>
      <c r="O174" s="16" t="str">
        <f>IF(Country_2!$C75="","",Country_2!O75)</f>
        <v/>
      </c>
      <c r="P174" s="16" t="str">
        <f>IF(Country_2!$C75="","",Country_2!P75)</f>
        <v/>
      </c>
      <c r="Q174" s="16" t="str">
        <f>IF(Country_2!$C75="","",Country_2!Q75)</f>
        <v/>
      </c>
    </row>
    <row r="175" spans="1:17" x14ac:dyDescent="0.25">
      <c r="A175" s="16" t="str">
        <f>IF(Country_2!$C76="","",Country_2!A76)</f>
        <v/>
      </c>
      <c r="B175" s="16" t="str">
        <f>IF(Country_2!$C76="","",Country_2!B76)</f>
        <v/>
      </c>
      <c r="C175" s="16" t="str">
        <f>IF(Country_2!$C76="","",Country_2!C76)</f>
        <v/>
      </c>
      <c r="D175" s="16" t="str">
        <f>IF(Country_2!$C76="","",Country_2!D76)</f>
        <v/>
      </c>
      <c r="E175" s="16" t="str">
        <f>IF(Country_2!$C76="","",Country_2!E76)</f>
        <v/>
      </c>
      <c r="F175" s="16" t="str">
        <f>IF(Country_2!$C76="","",Country_2!F76)</f>
        <v/>
      </c>
      <c r="G175" s="17" t="str">
        <f>IF(Country_2!$C76="","",Country_2!G76)</f>
        <v/>
      </c>
      <c r="H175" s="17" t="str">
        <f>IF(Country_2!$C76="","",Country_2!H76)</f>
        <v/>
      </c>
      <c r="I175" s="16" t="str">
        <f>IF(Country_2!$C76="","",Country_2!I76)</f>
        <v/>
      </c>
      <c r="J175" s="16" t="str">
        <f>IF(Country_2!$C76="","",Country_2!J76)</f>
        <v/>
      </c>
      <c r="K175" s="18" t="str">
        <f>IF(Country_2!$C76="","",Country_2!K76)</f>
        <v/>
      </c>
      <c r="L175" s="18" t="str">
        <f>IF(Country_2!$C76="","",Country_2!L76)</f>
        <v/>
      </c>
      <c r="M175" s="19" t="str">
        <f>IF(Country_2!$C76="","",Country_2!M76)</f>
        <v/>
      </c>
      <c r="N175" s="16" t="str">
        <f>IF(Country_2!$C76="","",Country_2!N76)</f>
        <v/>
      </c>
      <c r="O175" s="16" t="str">
        <f>IF(Country_2!$C76="","",Country_2!O76)</f>
        <v/>
      </c>
      <c r="P175" s="16" t="str">
        <f>IF(Country_2!$C76="","",Country_2!P76)</f>
        <v/>
      </c>
      <c r="Q175" s="16" t="str">
        <f>IF(Country_2!$C76="","",Country_2!Q76)</f>
        <v/>
      </c>
    </row>
    <row r="176" spans="1:17" x14ac:dyDescent="0.25">
      <c r="A176" s="16" t="str">
        <f>IF(Country_2!$C77="","",Country_2!A77)</f>
        <v/>
      </c>
      <c r="B176" s="16" t="str">
        <f>IF(Country_2!$C77="","",Country_2!B77)</f>
        <v/>
      </c>
      <c r="C176" s="16" t="str">
        <f>IF(Country_2!$C77="","",Country_2!C77)</f>
        <v/>
      </c>
      <c r="D176" s="16" t="str">
        <f>IF(Country_2!$C77="","",Country_2!D77)</f>
        <v/>
      </c>
      <c r="E176" s="16" t="str">
        <f>IF(Country_2!$C77="","",Country_2!E77)</f>
        <v/>
      </c>
      <c r="F176" s="16" t="str">
        <f>IF(Country_2!$C77="","",Country_2!F77)</f>
        <v/>
      </c>
      <c r="G176" s="17" t="str">
        <f>IF(Country_2!$C77="","",Country_2!G77)</f>
        <v/>
      </c>
      <c r="H176" s="17" t="str">
        <f>IF(Country_2!$C77="","",Country_2!H77)</f>
        <v/>
      </c>
      <c r="I176" s="16" t="str">
        <f>IF(Country_2!$C77="","",Country_2!I77)</f>
        <v/>
      </c>
      <c r="J176" s="16" t="str">
        <f>IF(Country_2!$C77="","",Country_2!J77)</f>
        <v/>
      </c>
      <c r="K176" s="18" t="str">
        <f>IF(Country_2!$C77="","",Country_2!K77)</f>
        <v/>
      </c>
      <c r="L176" s="18" t="str">
        <f>IF(Country_2!$C77="","",Country_2!L77)</f>
        <v/>
      </c>
      <c r="M176" s="19" t="str">
        <f>IF(Country_2!$C77="","",Country_2!M77)</f>
        <v/>
      </c>
      <c r="N176" s="16" t="str">
        <f>IF(Country_2!$C77="","",Country_2!N77)</f>
        <v/>
      </c>
      <c r="O176" s="16" t="str">
        <f>IF(Country_2!$C77="","",Country_2!O77)</f>
        <v/>
      </c>
      <c r="P176" s="16" t="str">
        <f>IF(Country_2!$C77="","",Country_2!P77)</f>
        <v/>
      </c>
      <c r="Q176" s="16" t="str">
        <f>IF(Country_2!$C77="","",Country_2!Q77)</f>
        <v/>
      </c>
    </row>
    <row r="177" spans="1:17" x14ac:dyDescent="0.25">
      <c r="A177" s="16" t="str">
        <f>IF(Country_2!$C78="","",Country_2!A78)</f>
        <v/>
      </c>
      <c r="B177" s="16" t="str">
        <f>IF(Country_2!$C78="","",Country_2!B78)</f>
        <v/>
      </c>
      <c r="C177" s="16" t="str">
        <f>IF(Country_2!$C78="","",Country_2!C78)</f>
        <v/>
      </c>
      <c r="D177" s="16" t="str">
        <f>IF(Country_2!$C78="","",Country_2!D78)</f>
        <v/>
      </c>
      <c r="E177" s="16" t="str">
        <f>IF(Country_2!$C78="","",Country_2!E78)</f>
        <v/>
      </c>
      <c r="F177" s="16" t="str">
        <f>IF(Country_2!$C78="","",Country_2!F78)</f>
        <v/>
      </c>
      <c r="G177" s="17" t="str">
        <f>IF(Country_2!$C78="","",Country_2!G78)</f>
        <v/>
      </c>
      <c r="H177" s="17" t="str">
        <f>IF(Country_2!$C78="","",Country_2!H78)</f>
        <v/>
      </c>
      <c r="I177" s="16" t="str">
        <f>IF(Country_2!$C78="","",Country_2!I78)</f>
        <v/>
      </c>
      <c r="J177" s="16" t="str">
        <f>IF(Country_2!$C78="","",Country_2!J78)</f>
        <v/>
      </c>
      <c r="K177" s="18" t="str">
        <f>IF(Country_2!$C78="","",Country_2!K78)</f>
        <v/>
      </c>
      <c r="L177" s="18" t="str">
        <f>IF(Country_2!$C78="","",Country_2!L78)</f>
        <v/>
      </c>
      <c r="M177" s="19" t="str">
        <f>IF(Country_2!$C78="","",Country_2!M78)</f>
        <v/>
      </c>
      <c r="N177" s="16" t="str">
        <f>IF(Country_2!$C78="","",Country_2!N78)</f>
        <v/>
      </c>
      <c r="O177" s="16" t="str">
        <f>IF(Country_2!$C78="","",Country_2!O78)</f>
        <v/>
      </c>
      <c r="P177" s="16" t="str">
        <f>IF(Country_2!$C78="","",Country_2!P78)</f>
        <v/>
      </c>
      <c r="Q177" s="16" t="str">
        <f>IF(Country_2!$C78="","",Country_2!Q78)</f>
        <v/>
      </c>
    </row>
    <row r="178" spans="1:17" x14ac:dyDescent="0.25">
      <c r="A178" s="16" t="str">
        <f>IF(Country_2!$C79="","",Country_2!A79)</f>
        <v/>
      </c>
      <c r="B178" s="16" t="str">
        <f>IF(Country_2!$C79="","",Country_2!B79)</f>
        <v/>
      </c>
      <c r="C178" s="16" t="str">
        <f>IF(Country_2!$C79="","",Country_2!C79)</f>
        <v/>
      </c>
      <c r="D178" s="16" t="str">
        <f>IF(Country_2!$C79="","",Country_2!D79)</f>
        <v/>
      </c>
      <c r="E178" s="16" t="str">
        <f>IF(Country_2!$C79="","",Country_2!E79)</f>
        <v/>
      </c>
      <c r="F178" s="16" t="str">
        <f>IF(Country_2!$C79="","",Country_2!F79)</f>
        <v/>
      </c>
      <c r="G178" s="17" t="str">
        <f>IF(Country_2!$C79="","",Country_2!G79)</f>
        <v/>
      </c>
      <c r="H178" s="17" t="str">
        <f>IF(Country_2!$C79="","",Country_2!H79)</f>
        <v/>
      </c>
      <c r="I178" s="16" t="str">
        <f>IF(Country_2!$C79="","",Country_2!I79)</f>
        <v/>
      </c>
      <c r="J178" s="16" t="str">
        <f>IF(Country_2!$C79="","",Country_2!J79)</f>
        <v/>
      </c>
      <c r="K178" s="18" t="str">
        <f>IF(Country_2!$C79="","",Country_2!K79)</f>
        <v/>
      </c>
      <c r="L178" s="18" t="str">
        <f>IF(Country_2!$C79="","",Country_2!L79)</f>
        <v/>
      </c>
      <c r="M178" s="19" t="str">
        <f>IF(Country_2!$C79="","",Country_2!M79)</f>
        <v/>
      </c>
      <c r="N178" s="16" t="str">
        <f>IF(Country_2!$C79="","",Country_2!N79)</f>
        <v/>
      </c>
      <c r="O178" s="16" t="str">
        <f>IF(Country_2!$C79="","",Country_2!O79)</f>
        <v/>
      </c>
      <c r="P178" s="16" t="str">
        <f>IF(Country_2!$C79="","",Country_2!P79)</f>
        <v/>
      </c>
      <c r="Q178" s="16" t="str">
        <f>IF(Country_2!$C79="","",Country_2!Q79)</f>
        <v/>
      </c>
    </row>
    <row r="179" spans="1:17" x14ac:dyDescent="0.25">
      <c r="A179" s="16" t="str">
        <f>IF(Country_2!$C80="","",Country_2!A80)</f>
        <v/>
      </c>
      <c r="B179" s="16" t="str">
        <f>IF(Country_2!$C80="","",Country_2!B80)</f>
        <v/>
      </c>
      <c r="C179" s="16" t="str">
        <f>IF(Country_2!$C80="","",Country_2!C80)</f>
        <v/>
      </c>
      <c r="D179" s="16" t="str">
        <f>IF(Country_2!$C80="","",Country_2!D80)</f>
        <v/>
      </c>
      <c r="E179" s="16" t="str">
        <f>IF(Country_2!$C80="","",Country_2!E80)</f>
        <v/>
      </c>
      <c r="F179" s="16" t="str">
        <f>IF(Country_2!$C80="","",Country_2!F80)</f>
        <v/>
      </c>
      <c r="G179" s="17" t="str">
        <f>IF(Country_2!$C80="","",Country_2!G80)</f>
        <v/>
      </c>
      <c r="H179" s="17" t="str">
        <f>IF(Country_2!$C80="","",Country_2!H80)</f>
        <v/>
      </c>
      <c r="I179" s="16" t="str">
        <f>IF(Country_2!$C80="","",Country_2!I80)</f>
        <v/>
      </c>
      <c r="J179" s="16" t="str">
        <f>IF(Country_2!$C80="","",Country_2!J80)</f>
        <v/>
      </c>
      <c r="K179" s="18" t="str">
        <f>IF(Country_2!$C80="","",Country_2!K80)</f>
        <v/>
      </c>
      <c r="L179" s="18" t="str">
        <f>IF(Country_2!$C80="","",Country_2!L80)</f>
        <v/>
      </c>
      <c r="M179" s="19" t="str">
        <f>IF(Country_2!$C80="","",Country_2!M80)</f>
        <v/>
      </c>
      <c r="N179" s="16" t="str">
        <f>IF(Country_2!$C80="","",Country_2!N80)</f>
        <v/>
      </c>
      <c r="O179" s="16" t="str">
        <f>IF(Country_2!$C80="","",Country_2!O80)</f>
        <v/>
      </c>
      <c r="P179" s="16" t="str">
        <f>IF(Country_2!$C80="","",Country_2!P80)</f>
        <v/>
      </c>
      <c r="Q179" s="16" t="str">
        <f>IF(Country_2!$C80="","",Country_2!Q80)</f>
        <v/>
      </c>
    </row>
    <row r="180" spans="1:17" x14ac:dyDescent="0.25">
      <c r="A180" s="16" t="str">
        <f>IF(Country_2!$C81="","",Country_2!A81)</f>
        <v/>
      </c>
      <c r="B180" s="16" t="str">
        <f>IF(Country_2!$C81="","",Country_2!B81)</f>
        <v/>
      </c>
      <c r="C180" s="16" t="str">
        <f>IF(Country_2!$C81="","",Country_2!C81)</f>
        <v/>
      </c>
      <c r="D180" s="16" t="str">
        <f>IF(Country_2!$C81="","",Country_2!D81)</f>
        <v/>
      </c>
      <c r="E180" s="16" t="str">
        <f>IF(Country_2!$C81="","",Country_2!E81)</f>
        <v/>
      </c>
      <c r="F180" s="16" t="str">
        <f>IF(Country_2!$C81="","",Country_2!F81)</f>
        <v/>
      </c>
      <c r="G180" s="17" t="str">
        <f>IF(Country_2!$C81="","",Country_2!G81)</f>
        <v/>
      </c>
      <c r="H180" s="17" t="str">
        <f>IF(Country_2!$C81="","",Country_2!H81)</f>
        <v/>
      </c>
      <c r="I180" s="16" t="str">
        <f>IF(Country_2!$C81="","",Country_2!I81)</f>
        <v/>
      </c>
      <c r="J180" s="16" t="str">
        <f>IF(Country_2!$C81="","",Country_2!J81)</f>
        <v/>
      </c>
      <c r="K180" s="18" t="str">
        <f>IF(Country_2!$C81="","",Country_2!K81)</f>
        <v/>
      </c>
      <c r="L180" s="18" t="str">
        <f>IF(Country_2!$C81="","",Country_2!L81)</f>
        <v/>
      </c>
      <c r="M180" s="19" t="str">
        <f>IF(Country_2!$C81="","",Country_2!M81)</f>
        <v/>
      </c>
      <c r="N180" s="16" t="str">
        <f>IF(Country_2!$C81="","",Country_2!N81)</f>
        <v/>
      </c>
      <c r="O180" s="16" t="str">
        <f>IF(Country_2!$C81="","",Country_2!O81)</f>
        <v/>
      </c>
      <c r="P180" s="16" t="str">
        <f>IF(Country_2!$C81="","",Country_2!P81)</f>
        <v/>
      </c>
      <c r="Q180" s="16" t="str">
        <f>IF(Country_2!$C81="","",Country_2!Q81)</f>
        <v/>
      </c>
    </row>
    <row r="181" spans="1:17" x14ac:dyDescent="0.25">
      <c r="A181" s="16" t="str">
        <f>IF(Country_2!$C82="","",Country_2!A82)</f>
        <v/>
      </c>
      <c r="B181" s="16" t="str">
        <f>IF(Country_2!$C82="","",Country_2!B82)</f>
        <v/>
      </c>
      <c r="C181" s="16" t="str">
        <f>IF(Country_2!$C82="","",Country_2!C82)</f>
        <v/>
      </c>
      <c r="D181" s="16" t="str">
        <f>IF(Country_2!$C82="","",Country_2!D82)</f>
        <v/>
      </c>
      <c r="E181" s="16" t="str">
        <f>IF(Country_2!$C82="","",Country_2!E82)</f>
        <v/>
      </c>
      <c r="F181" s="16" t="str">
        <f>IF(Country_2!$C82="","",Country_2!F82)</f>
        <v/>
      </c>
      <c r="G181" s="17" t="str">
        <f>IF(Country_2!$C82="","",Country_2!G82)</f>
        <v/>
      </c>
      <c r="H181" s="17" t="str">
        <f>IF(Country_2!$C82="","",Country_2!H82)</f>
        <v/>
      </c>
      <c r="I181" s="16" t="str">
        <f>IF(Country_2!$C82="","",Country_2!I82)</f>
        <v/>
      </c>
      <c r="J181" s="16" t="str">
        <f>IF(Country_2!$C82="","",Country_2!J82)</f>
        <v/>
      </c>
      <c r="K181" s="18" t="str">
        <f>IF(Country_2!$C82="","",Country_2!K82)</f>
        <v/>
      </c>
      <c r="L181" s="18" t="str">
        <f>IF(Country_2!$C82="","",Country_2!L82)</f>
        <v/>
      </c>
      <c r="M181" s="19" t="str">
        <f>IF(Country_2!$C82="","",Country_2!M82)</f>
        <v/>
      </c>
      <c r="N181" s="16" t="str">
        <f>IF(Country_2!$C82="","",Country_2!N82)</f>
        <v/>
      </c>
      <c r="O181" s="16" t="str">
        <f>IF(Country_2!$C82="","",Country_2!O82)</f>
        <v/>
      </c>
      <c r="P181" s="16" t="str">
        <f>IF(Country_2!$C82="","",Country_2!P82)</f>
        <v/>
      </c>
      <c r="Q181" s="16" t="str">
        <f>IF(Country_2!$C82="","",Country_2!Q82)</f>
        <v/>
      </c>
    </row>
    <row r="182" spans="1:17" x14ac:dyDescent="0.25">
      <c r="A182" s="16" t="str">
        <f>IF(Country_2!$C83="","",Country_2!A83)</f>
        <v/>
      </c>
      <c r="B182" s="16" t="str">
        <f>IF(Country_2!$C83="","",Country_2!B83)</f>
        <v/>
      </c>
      <c r="C182" s="16" t="str">
        <f>IF(Country_2!$C83="","",Country_2!C83)</f>
        <v/>
      </c>
      <c r="D182" s="16" t="str">
        <f>IF(Country_2!$C83="","",Country_2!D83)</f>
        <v/>
      </c>
      <c r="E182" s="16" t="str">
        <f>IF(Country_2!$C83="","",Country_2!E83)</f>
        <v/>
      </c>
      <c r="F182" s="16" t="str">
        <f>IF(Country_2!$C83="","",Country_2!F83)</f>
        <v/>
      </c>
      <c r="G182" s="17" t="str">
        <f>IF(Country_2!$C83="","",Country_2!G83)</f>
        <v/>
      </c>
      <c r="H182" s="17" t="str">
        <f>IF(Country_2!$C83="","",Country_2!H83)</f>
        <v/>
      </c>
      <c r="I182" s="16" t="str">
        <f>IF(Country_2!$C83="","",Country_2!I83)</f>
        <v/>
      </c>
      <c r="J182" s="16" t="str">
        <f>IF(Country_2!$C83="","",Country_2!J83)</f>
        <v/>
      </c>
      <c r="K182" s="18" t="str">
        <f>IF(Country_2!$C83="","",Country_2!K83)</f>
        <v/>
      </c>
      <c r="L182" s="18" t="str">
        <f>IF(Country_2!$C83="","",Country_2!L83)</f>
        <v/>
      </c>
      <c r="M182" s="19" t="str">
        <f>IF(Country_2!$C83="","",Country_2!M83)</f>
        <v/>
      </c>
      <c r="N182" s="16" t="str">
        <f>IF(Country_2!$C83="","",Country_2!N83)</f>
        <v/>
      </c>
      <c r="O182" s="16" t="str">
        <f>IF(Country_2!$C83="","",Country_2!O83)</f>
        <v/>
      </c>
      <c r="P182" s="16" t="str">
        <f>IF(Country_2!$C83="","",Country_2!P83)</f>
        <v/>
      </c>
      <c r="Q182" s="16" t="str">
        <f>IF(Country_2!$C83="","",Country_2!Q83)</f>
        <v/>
      </c>
    </row>
    <row r="183" spans="1:17" x14ac:dyDescent="0.25">
      <c r="A183" s="16" t="str">
        <f>IF(Country_2!$C84="","",Country_2!A84)</f>
        <v/>
      </c>
      <c r="B183" s="16" t="str">
        <f>IF(Country_2!$C84="","",Country_2!B84)</f>
        <v/>
      </c>
      <c r="C183" s="16" t="str">
        <f>IF(Country_2!$C84="","",Country_2!C84)</f>
        <v/>
      </c>
      <c r="D183" s="16" t="str">
        <f>IF(Country_2!$C84="","",Country_2!D84)</f>
        <v/>
      </c>
      <c r="E183" s="16" t="str">
        <f>IF(Country_2!$C84="","",Country_2!E84)</f>
        <v/>
      </c>
      <c r="F183" s="16" t="str">
        <f>IF(Country_2!$C84="","",Country_2!F84)</f>
        <v/>
      </c>
      <c r="G183" s="17" t="str">
        <f>IF(Country_2!$C84="","",Country_2!G84)</f>
        <v/>
      </c>
      <c r="H183" s="17" t="str">
        <f>IF(Country_2!$C84="","",Country_2!H84)</f>
        <v/>
      </c>
      <c r="I183" s="16" t="str">
        <f>IF(Country_2!$C84="","",Country_2!I84)</f>
        <v/>
      </c>
      <c r="J183" s="16" t="str">
        <f>IF(Country_2!$C84="","",Country_2!J84)</f>
        <v/>
      </c>
      <c r="K183" s="18" t="str">
        <f>IF(Country_2!$C84="","",Country_2!K84)</f>
        <v/>
      </c>
      <c r="L183" s="18" t="str">
        <f>IF(Country_2!$C84="","",Country_2!L84)</f>
        <v/>
      </c>
      <c r="M183" s="19" t="str">
        <f>IF(Country_2!$C84="","",Country_2!M84)</f>
        <v/>
      </c>
      <c r="N183" s="16" t="str">
        <f>IF(Country_2!$C84="","",Country_2!N84)</f>
        <v/>
      </c>
      <c r="O183" s="16" t="str">
        <f>IF(Country_2!$C84="","",Country_2!O84)</f>
        <v/>
      </c>
      <c r="P183" s="16" t="str">
        <f>IF(Country_2!$C84="","",Country_2!P84)</f>
        <v/>
      </c>
      <c r="Q183" s="16" t="str">
        <f>IF(Country_2!$C84="","",Country_2!Q84)</f>
        <v/>
      </c>
    </row>
    <row r="184" spans="1:17" x14ac:dyDescent="0.25">
      <c r="A184" s="16" t="str">
        <f>IF(Country_2!$C85="","",Country_2!A85)</f>
        <v/>
      </c>
      <c r="B184" s="16" t="str">
        <f>IF(Country_2!$C85="","",Country_2!B85)</f>
        <v/>
      </c>
      <c r="C184" s="16" t="str">
        <f>IF(Country_2!$C85="","",Country_2!C85)</f>
        <v/>
      </c>
      <c r="D184" s="16" t="str">
        <f>IF(Country_2!$C85="","",Country_2!D85)</f>
        <v/>
      </c>
      <c r="E184" s="16" t="str">
        <f>IF(Country_2!$C85="","",Country_2!E85)</f>
        <v/>
      </c>
      <c r="F184" s="16" t="str">
        <f>IF(Country_2!$C85="","",Country_2!F85)</f>
        <v/>
      </c>
      <c r="G184" s="17" t="str">
        <f>IF(Country_2!$C85="","",Country_2!G85)</f>
        <v/>
      </c>
      <c r="H184" s="17" t="str">
        <f>IF(Country_2!$C85="","",Country_2!H85)</f>
        <v/>
      </c>
      <c r="I184" s="16" t="str">
        <f>IF(Country_2!$C85="","",Country_2!I85)</f>
        <v/>
      </c>
      <c r="J184" s="16" t="str">
        <f>IF(Country_2!$C85="","",Country_2!J85)</f>
        <v/>
      </c>
      <c r="K184" s="18" t="str">
        <f>IF(Country_2!$C85="","",Country_2!K85)</f>
        <v/>
      </c>
      <c r="L184" s="18" t="str">
        <f>IF(Country_2!$C85="","",Country_2!L85)</f>
        <v/>
      </c>
      <c r="M184" s="19" t="str">
        <f>IF(Country_2!$C85="","",Country_2!M85)</f>
        <v/>
      </c>
      <c r="N184" s="16" t="str">
        <f>IF(Country_2!$C85="","",Country_2!N85)</f>
        <v/>
      </c>
      <c r="O184" s="16" t="str">
        <f>IF(Country_2!$C85="","",Country_2!O85)</f>
        <v/>
      </c>
      <c r="P184" s="16" t="str">
        <f>IF(Country_2!$C85="","",Country_2!P85)</f>
        <v/>
      </c>
      <c r="Q184" s="16" t="str">
        <f>IF(Country_2!$C85="","",Country_2!Q85)</f>
        <v/>
      </c>
    </row>
    <row r="185" spans="1:17" x14ac:dyDescent="0.25">
      <c r="A185" s="16" t="str">
        <f>IF(Country_2!$C86="","",Country_2!A86)</f>
        <v/>
      </c>
      <c r="B185" s="16" t="str">
        <f>IF(Country_2!$C86="","",Country_2!B86)</f>
        <v/>
      </c>
      <c r="C185" s="16" t="str">
        <f>IF(Country_2!$C86="","",Country_2!C86)</f>
        <v/>
      </c>
      <c r="D185" s="16" t="str">
        <f>IF(Country_2!$C86="","",Country_2!D86)</f>
        <v/>
      </c>
      <c r="E185" s="16" t="str">
        <f>IF(Country_2!$C86="","",Country_2!E86)</f>
        <v/>
      </c>
      <c r="F185" s="16" t="str">
        <f>IF(Country_2!$C86="","",Country_2!F86)</f>
        <v/>
      </c>
      <c r="G185" s="17" t="str">
        <f>IF(Country_2!$C86="","",Country_2!G86)</f>
        <v/>
      </c>
      <c r="H185" s="17" t="str">
        <f>IF(Country_2!$C86="","",Country_2!H86)</f>
        <v/>
      </c>
      <c r="I185" s="16" t="str">
        <f>IF(Country_2!$C86="","",Country_2!I86)</f>
        <v/>
      </c>
      <c r="J185" s="16" t="str">
        <f>IF(Country_2!$C86="","",Country_2!J86)</f>
        <v/>
      </c>
      <c r="K185" s="18" t="str">
        <f>IF(Country_2!$C86="","",Country_2!K86)</f>
        <v/>
      </c>
      <c r="L185" s="18" t="str">
        <f>IF(Country_2!$C86="","",Country_2!L86)</f>
        <v/>
      </c>
      <c r="M185" s="19" t="str">
        <f>IF(Country_2!$C86="","",Country_2!M86)</f>
        <v/>
      </c>
      <c r="N185" s="16" t="str">
        <f>IF(Country_2!$C86="","",Country_2!N86)</f>
        <v/>
      </c>
      <c r="O185" s="16" t="str">
        <f>IF(Country_2!$C86="","",Country_2!O86)</f>
        <v/>
      </c>
      <c r="P185" s="16" t="str">
        <f>IF(Country_2!$C86="","",Country_2!P86)</f>
        <v/>
      </c>
      <c r="Q185" s="16" t="str">
        <f>IF(Country_2!$C86="","",Country_2!Q86)</f>
        <v/>
      </c>
    </row>
    <row r="186" spans="1:17" x14ac:dyDescent="0.25">
      <c r="A186" s="16" t="str">
        <f>IF(Country_2!$C87="","",Country_2!A87)</f>
        <v/>
      </c>
      <c r="B186" s="16" t="str">
        <f>IF(Country_2!$C87="","",Country_2!B87)</f>
        <v/>
      </c>
      <c r="C186" s="16" t="str">
        <f>IF(Country_2!$C87="","",Country_2!C87)</f>
        <v/>
      </c>
      <c r="D186" s="16" t="str">
        <f>IF(Country_2!$C87="","",Country_2!D87)</f>
        <v/>
      </c>
      <c r="E186" s="16" t="str">
        <f>IF(Country_2!$C87="","",Country_2!E87)</f>
        <v/>
      </c>
      <c r="F186" s="16" t="str">
        <f>IF(Country_2!$C87="","",Country_2!F87)</f>
        <v/>
      </c>
      <c r="G186" s="17" t="str">
        <f>IF(Country_2!$C87="","",Country_2!G87)</f>
        <v/>
      </c>
      <c r="H186" s="17" t="str">
        <f>IF(Country_2!$C87="","",Country_2!H87)</f>
        <v/>
      </c>
      <c r="I186" s="16" t="str">
        <f>IF(Country_2!$C87="","",Country_2!I87)</f>
        <v/>
      </c>
      <c r="J186" s="16" t="str">
        <f>IF(Country_2!$C87="","",Country_2!J87)</f>
        <v/>
      </c>
      <c r="K186" s="18" t="str">
        <f>IF(Country_2!$C87="","",Country_2!K87)</f>
        <v/>
      </c>
      <c r="L186" s="18" t="str">
        <f>IF(Country_2!$C87="","",Country_2!L87)</f>
        <v/>
      </c>
      <c r="M186" s="19" t="str">
        <f>IF(Country_2!$C87="","",Country_2!M87)</f>
        <v/>
      </c>
      <c r="N186" s="16" t="str">
        <f>IF(Country_2!$C87="","",Country_2!N87)</f>
        <v/>
      </c>
      <c r="O186" s="16" t="str">
        <f>IF(Country_2!$C87="","",Country_2!O87)</f>
        <v/>
      </c>
      <c r="P186" s="16" t="str">
        <f>IF(Country_2!$C87="","",Country_2!P87)</f>
        <v/>
      </c>
      <c r="Q186" s="16" t="str">
        <f>IF(Country_2!$C87="","",Country_2!Q87)</f>
        <v/>
      </c>
    </row>
    <row r="187" spans="1:17" x14ac:dyDescent="0.25">
      <c r="A187" s="16" t="str">
        <f>IF(Country_2!$C88="","",Country_2!A88)</f>
        <v/>
      </c>
      <c r="B187" s="16" t="str">
        <f>IF(Country_2!$C88="","",Country_2!B88)</f>
        <v/>
      </c>
      <c r="C187" s="16" t="str">
        <f>IF(Country_2!$C88="","",Country_2!C88)</f>
        <v/>
      </c>
      <c r="D187" s="16" t="str">
        <f>IF(Country_2!$C88="","",Country_2!D88)</f>
        <v/>
      </c>
      <c r="E187" s="16" t="str">
        <f>IF(Country_2!$C88="","",Country_2!E88)</f>
        <v/>
      </c>
      <c r="F187" s="16" t="str">
        <f>IF(Country_2!$C88="","",Country_2!F88)</f>
        <v/>
      </c>
      <c r="G187" s="17" t="str">
        <f>IF(Country_2!$C88="","",Country_2!G88)</f>
        <v/>
      </c>
      <c r="H187" s="17" t="str">
        <f>IF(Country_2!$C88="","",Country_2!H88)</f>
        <v/>
      </c>
      <c r="I187" s="16" t="str">
        <f>IF(Country_2!$C88="","",Country_2!I88)</f>
        <v/>
      </c>
      <c r="J187" s="16" t="str">
        <f>IF(Country_2!$C88="","",Country_2!J88)</f>
        <v/>
      </c>
      <c r="K187" s="18" t="str">
        <f>IF(Country_2!$C88="","",Country_2!K88)</f>
        <v/>
      </c>
      <c r="L187" s="18" t="str">
        <f>IF(Country_2!$C88="","",Country_2!L88)</f>
        <v/>
      </c>
      <c r="M187" s="19" t="str">
        <f>IF(Country_2!$C88="","",Country_2!M88)</f>
        <v/>
      </c>
      <c r="N187" s="16" t="str">
        <f>IF(Country_2!$C88="","",Country_2!N88)</f>
        <v/>
      </c>
      <c r="O187" s="16" t="str">
        <f>IF(Country_2!$C88="","",Country_2!O88)</f>
        <v/>
      </c>
      <c r="P187" s="16" t="str">
        <f>IF(Country_2!$C88="","",Country_2!P88)</f>
        <v/>
      </c>
      <c r="Q187" s="16" t="str">
        <f>IF(Country_2!$C88="","",Country_2!Q88)</f>
        <v/>
      </c>
    </row>
    <row r="188" spans="1:17" x14ac:dyDescent="0.25">
      <c r="A188" s="16" t="str">
        <f>IF(Country_2!$C89="","",Country_2!A89)</f>
        <v/>
      </c>
      <c r="B188" s="16" t="str">
        <f>IF(Country_2!$C89="","",Country_2!B89)</f>
        <v/>
      </c>
      <c r="C188" s="16" t="str">
        <f>IF(Country_2!$C89="","",Country_2!C89)</f>
        <v/>
      </c>
      <c r="D188" s="16" t="str">
        <f>IF(Country_2!$C89="","",Country_2!D89)</f>
        <v/>
      </c>
      <c r="E188" s="16" t="str">
        <f>IF(Country_2!$C89="","",Country_2!E89)</f>
        <v/>
      </c>
      <c r="F188" s="16" t="str">
        <f>IF(Country_2!$C89="","",Country_2!F89)</f>
        <v/>
      </c>
      <c r="G188" s="17" t="str">
        <f>IF(Country_2!$C89="","",Country_2!G89)</f>
        <v/>
      </c>
      <c r="H188" s="17" t="str">
        <f>IF(Country_2!$C89="","",Country_2!H89)</f>
        <v/>
      </c>
      <c r="I188" s="16" t="str">
        <f>IF(Country_2!$C89="","",Country_2!I89)</f>
        <v/>
      </c>
      <c r="J188" s="16" t="str">
        <f>IF(Country_2!$C89="","",Country_2!J89)</f>
        <v/>
      </c>
      <c r="K188" s="18" t="str">
        <f>IF(Country_2!$C89="","",Country_2!K89)</f>
        <v/>
      </c>
      <c r="L188" s="18" t="str">
        <f>IF(Country_2!$C89="","",Country_2!L89)</f>
        <v/>
      </c>
      <c r="M188" s="19" t="str">
        <f>IF(Country_2!$C89="","",Country_2!M89)</f>
        <v/>
      </c>
      <c r="N188" s="16" t="str">
        <f>IF(Country_2!$C89="","",Country_2!N89)</f>
        <v/>
      </c>
      <c r="O188" s="16" t="str">
        <f>IF(Country_2!$C89="","",Country_2!O89)</f>
        <v/>
      </c>
      <c r="P188" s="16" t="str">
        <f>IF(Country_2!$C89="","",Country_2!P89)</f>
        <v/>
      </c>
      <c r="Q188" s="16" t="str">
        <f>IF(Country_2!$C89="","",Country_2!Q89)</f>
        <v/>
      </c>
    </row>
    <row r="189" spans="1:17" x14ac:dyDescent="0.25">
      <c r="A189" s="16" t="str">
        <f>IF(Country_2!$C90="","",Country_2!A90)</f>
        <v/>
      </c>
      <c r="B189" s="16" t="str">
        <f>IF(Country_2!$C90="","",Country_2!B90)</f>
        <v/>
      </c>
      <c r="C189" s="16" t="str">
        <f>IF(Country_2!$C90="","",Country_2!C90)</f>
        <v/>
      </c>
      <c r="D189" s="16" t="str">
        <f>IF(Country_2!$C90="","",Country_2!D90)</f>
        <v/>
      </c>
      <c r="E189" s="16" t="str">
        <f>IF(Country_2!$C90="","",Country_2!E90)</f>
        <v/>
      </c>
      <c r="F189" s="16" t="str">
        <f>IF(Country_2!$C90="","",Country_2!F90)</f>
        <v/>
      </c>
      <c r="G189" s="17" t="str">
        <f>IF(Country_2!$C90="","",Country_2!G90)</f>
        <v/>
      </c>
      <c r="H189" s="17" t="str">
        <f>IF(Country_2!$C90="","",Country_2!H90)</f>
        <v/>
      </c>
      <c r="I189" s="16" t="str">
        <f>IF(Country_2!$C90="","",Country_2!I90)</f>
        <v/>
      </c>
      <c r="J189" s="16" t="str">
        <f>IF(Country_2!$C90="","",Country_2!J90)</f>
        <v/>
      </c>
      <c r="K189" s="18" t="str">
        <f>IF(Country_2!$C90="","",Country_2!K90)</f>
        <v/>
      </c>
      <c r="L189" s="18" t="str">
        <f>IF(Country_2!$C90="","",Country_2!L90)</f>
        <v/>
      </c>
      <c r="M189" s="19" t="str">
        <f>IF(Country_2!$C90="","",Country_2!M90)</f>
        <v/>
      </c>
      <c r="N189" s="16" t="str">
        <f>IF(Country_2!$C90="","",Country_2!N90)</f>
        <v/>
      </c>
      <c r="O189" s="16" t="str">
        <f>IF(Country_2!$C90="","",Country_2!O90)</f>
        <v/>
      </c>
      <c r="P189" s="16" t="str">
        <f>IF(Country_2!$C90="","",Country_2!P90)</f>
        <v/>
      </c>
      <c r="Q189" s="16" t="str">
        <f>IF(Country_2!$C90="","",Country_2!Q90)</f>
        <v/>
      </c>
    </row>
    <row r="190" spans="1:17" x14ac:dyDescent="0.25">
      <c r="A190" s="16" t="str">
        <f>IF(Country_2!$C91="","",Country_2!A91)</f>
        <v/>
      </c>
      <c r="B190" s="16" t="str">
        <f>IF(Country_2!$C91="","",Country_2!B91)</f>
        <v/>
      </c>
      <c r="C190" s="16" t="str">
        <f>IF(Country_2!$C91="","",Country_2!C91)</f>
        <v/>
      </c>
      <c r="D190" s="16" t="str">
        <f>IF(Country_2!$C91="","",Country_2!D91)</f>
        <v/>
      </c>
      <c r="E190" s="16" t="str">
        <f>IF(Country_2!$C91="","",Country_2!E91)</f>
        <v/>
      </c>
      <c r="F190" s="16" t="str">
        <f>IF(Country_2!$C91="","",Country_2!F91)</f>
        <v/>
      </c>
      <c r="G190" s="17" t="str">
        <f>IF(Country_2!$C91="","",Country_2!G91)</f>
        <v/>
      </c>
      <c r="H190" s="17" t="str">
        <f>IF(Country_2!$C91="","",Country_2!H91)</f>
        <v/>
      </c>
      <c r="I190" s="16" t="str">
        <f>IF(Country_2!$C91="","",Country_2!I91)</f>
        <v/>
      </c>
      <c r="J190" s="16" t="str">
        <f>IF(Country_2!$C91="","",Country_2!J91)</f>
        <v/>
      </c>
      <c r="K190" s="18" t="str">
        <f>IF(Country_2!$C91="","",Country_2!K91)</f>
        <v/>
      </c>
      <c r="L190" s="18" t="str">
        <f>IF(Country_2!$C91="","",Country_2!L91)</f>
        <v/>
      </c>
      <c r="M190" s="19" t="str">
        <f>IF(Country_2!$C91="","",Country_2!M91)</f>
        <v/>
      </c>
      <c r="N190" s="16" t="str">
        <f>IF(Country_2!$C91="","",Country_2!N91)</f>
        <v/>
      </c>
      <c r="O190" s="16" t="str">
        <f>IF(Country_2!$C91="","",Country_2!O91)</f>
        <v/>
      </c>
      <c r="P190" s="16" t="str">
        <f>IF(Country_2!$C91="","",Country_2!P91)</f>
        <v/>
      </c>
      <c r="Q190" s="16" t="str">
        <f>IF(Country_2!$C91="","",Country_2!Q91)</f>
        <v/>
      </c>
    </row>
    <row r="191" spans="1:17" x14ac:dyDescent="0.25">
      <c r="A191" s="16" t="str">
        <f>IF(Country_2!$C92="","",Country_2!A92)</f>
        <v/>
      </c>
      <c r="B191" s="16" t="str">
        <f>IF(Country_2!$C92="","",Country_2!B92)</f>
        <v/>
      </c>
      <c r="C191" s="16" t="str">
        <f>IF(Country_2!$C92="","",Country_2!C92)</f>
        <v/>
      </c>
      <c r="D191" s="16" t="str">
        <f>IF(Country_2!$C92="","",Country_2!D92)</f>
        <v/>
      </c>
      <c r="E191" s="16" t="str">
        <f>IF(Country_2!$C92="","",Country_2!E92)</f>
        <v/>
      </c>
      <c r="F191" s="16" t="str">
        <f>IF(Country_2!$C92="","",Country_2!F92)</f>
        <v/>
      </c>
      <c r="G191" s="17" t="str">
        <f>IF(Country_2!$C92="","",Country_2!G92)</f>
        <v/>
      </c>
      <c r="H191" s="17" t="str">
        <f>IF(Country_2!$C92="","",Country_2!H92)</f>
        <v/>
      </c>
      <c r="I191" s="16" t="str">
        <f>IF(Country_2!$C92="","",Country_2!I92)</f>
        <v/>
      </c>
      <c r="J191" s="16" t="str">
        <f>IF(Country_2!$C92="","",Country_2!J92)</f>
        <v/>
      </c>
      <c r="K191" s="18" t="str">
        <f>IF(Country_2!$C92="","",Country_2!K92)</f>
        <v/>
      </c>
      <c r="L191" s="18" t="str">
        <f>IF(Country_2!$C92="","",Country_2!L92)</f>
        <v/>
      </c>
      <c r="M191" s="19" t="str">
        <f>IF(Country_2!$C92="","",Country_2!M92)</f>
        <v/>
      </c>
      <c r="N191" s="16" t="str">
        <f>IF(Country_2!$C92="","",Country_2!N92)</f>
        <v/>
      </c>
      <c r="O191" s="16" t="str">
        <f>IF(Country_2!$C92="","",Country_2!O92)</f>
        <v/>
      </c>
      <c r="P191" s="16" t="str">
        <f>IF(Country_2!$C92="","",Country_2!P92)</f>
        <v/>
      </c>
      <c r="Q191" s="16" t="str">
        <f>IF(Country_2!$C92="","",Country_2!Q92)</f>
        <v/>
      </c>
    </row>
    <row r="192" spans="1:17" x14ac:dyDescent="0.25">
      <c r="A192" s="16" t="str">
        <f>IF(Country_2!$C93="","",Country_2!A93)</f>
        <v/>
      </c>
      <c r="B192" s="16" t="str">
        <f>IF(Country_2!$C93="","",Country_2!B93)</f>
        <v/>
      </c>
      <c r="C192" s="16" t="str">
        <f>IF(Country_2!$C93="","",Country_2!C93)</f>
        <v/>
      </c>
      <c r="D192" s="16" t="str">
        <f>IF(Country_2!$C93="","",Country_2!D93)</f>
        <v/>
      </c>
      <c r="E192" s="16" t="str">
        <f>IF(Country_2!$C93="","",Country_2!E93)</f>
        <v/>
      </c>
      <c r="F192" s="16" t="str">
        <f>IF(Country_2!$C93="","",Country_2!F93)</f>
        <v/>
      </c>
      <c r="G192" s="17" t="str">
        <f>IF(Country_2!$C93="","",Country_2!G93)</f>
        <v/>
      </c>
      <c r="H192" s="17" t="str">
        <f>IF(Country_2!$C93="","",Country_2!H93)</f>
        <v/>
      </c>
      <c r="I192" s="16" t="str">
        <f>IF(Country_2!$C93="","",Country_2!I93)</f>
        <v/>
      </c>
      <c r="J192" s="16" t="str">
        <f>IF(Country_2!$C93="","",Country_2!J93)</f>
        <v/>
      </c>
      <c r="K192" s="18" t="str">
        <f>IF(Country_2!$C93="","",Country_2!K93)</f>
        <v/>
      </c>
      <c r="L192" s="18" t="str">
        <f>IF(Country_2!$C93="","",Country_2!L93)</f>
        <v/>
      </c>
      <c r="M192" s="19" t="str">
        <f>IF(Country_2!$C93="","",Country_2!M93)</f>
        <v/>
      </c>
      <c r="N192" s="16" t="str">
        <f>IF(Country_2!$C93="","",Country_2!N93)</f>
        <v/>
      </c>
      <c r="O192" s="16" t="str">
        <f>IF(Country_2!$C93="","",Country_2!O93)</f>
        <v/>
      </c>
      <c r="P192" s="16" t="str">
        <f>IF(Country_2!$C93="","",Country_2!P93)</f>
        <v/>
      </c>
      <c r="Q192" s="16" t="str">
        <f>IF(Country_2!$C93="","",Country_2!Q93)</f>
        <v/>
      </c>
    </row>
    <row r="193" spans="1:17" x14ac:dyDescent="0.25">
      <c r="A193" s="16" t="str">
        <f>IF(Country_2!$C94="","",Country_2!A94)</f>
        <v/>
      </c>
      <c r="B193" s="16" t="str">
        <f>IF(Country_2!$C94="","",Country_2!B94)</f>
        <v/>
      </c>
      <c r="C193" s="16" t="str">
        <f>IF(Country_2!$C94="","",Country_2!C94)</f>
        <v/>
      </c>
      <c r="D193" s="16" t="str">
        <f>IF(Country_2!$C94="","",Country_2!D94)</f>
        <v/>
      </c>
      <c r="E193" s="16" t="str">
        <f>IF(Country_2!$C94="","",Country_2!E94)</f>
        <v/>
      </c>
      <c r="F193" s="16" t="str">
        <f>IF(Country_2!$C94="","",Country_2!F94)</f>
        <v/>
      </c>
      <c r="G193" s="17" t="str">
        <f>IF(Country_2!$C94="","",Country_2!G94)</f>
        <v/>
      </c>
      <c r="H193" s="17" t="str">
        <f>IF(Country_2!$C94="","",Country_2!H94)</f>
        <v/>
      </c>
      <c r="I193" s="16" t="str">
        <f>IF(Country_2!$C94="","",Country_2!I94)</f>
        <v/>
      </c>
      <c r="J193" s="16" t="str">
        <f>IF(Country_2!$C94="","",Country_2!J94)</f>
        <v/>
      </c>
      <c r="K193" s="18" t="str">
        <f>IF(Country_2!$C94="","",Country_2!K94)</f>
        <v/>
      </c>
      <c r="L193" s="18" t="str">
        <f>IF(Country_2!$C94="","",Country_2!L94)</f>
        <v/>
      </c>
      <c r="M193" s="19" t="str">
        <f>IF(Country_2!$C94="","",Country_2!M94)</f>
        <v/>
      </c>
      <c r="N193" s="16" t="str">
        <f>IF(Country_2!$C94="","",Country_2!N94)</f>
        <v/>
      </c>
      <c r="O193" s="16" t="str">
        <f>IF(Country_2!$C94="","",Country_2!O94)</f>
        <v/>
      </c>
      <c r="P193" s="16" t="str">
        <f>IF(Country_2!$C94="","",Country_2!P94)</f>
        <v/>
      </c>
      <c r="Q193" s="16" t="str">
        <f>IF(Country_2!$C94="","",Country_2!Q94)</f>
        <v/>
      </c>
    </row>
    <row r="194" spans="1:17" x14ac:dyDescent="0.25">
      <c r="A194" s="16" t="str">
        <f>IF(Country_2!$C95="","",Country_2!A95)</f>
        <v/>
      </c>
      <c r="B194" s="16" t="str">
        <f>IF(Country_2!$C95="","",Country_2!B95)</f>
        <v/>
      </c>
      <c r="C194" s="16" t="str">
        <f>IF(Country_2!$C95="","",Country_2!C95)</f>
        <v/>
      </c>
      <c r="D194" s="16" t="str">
        <f>IF(Country_2!$C95="","",Country_2!D95)</f>
        <v/>
      </c>
      <c r="E194" s="16" t="str">
        <f>IF(Country_2!$C95="","",Country_2!E95)</f>
        <v/>
      </c>
      <c r="F194" s="16" t="str">
        <f>IF(Country_2!$C95="","",Country_2!F95)</f>
        <v/>
      </c>
      <c r="G194" s="17" t="str">
        <f>IF(Country_2!$C95="","",Country_2!G95)</f>
        <v/>
      </c>
      <c r="H194" s="17" t="str">
        <f>IF(Country_2!$C95="","",Country_2!H95)</f>
        <v/>
      </c>
      <c r="I194" s="16" t="str">
        <f>IF(Country_2!$C95="","",Country_2!I95)</f>
        <v/>
      </c>
      <c r="J194" s="16" t="str">
        <f>IF(Country_2!$C95="","",Country_2!J95)</f>
        <v/>
      </c>
      <c r="K194" s="18" t="str">
        <f>IF(Country_2!$C95="","",Country_2!K95)</f>
        <v/>
      </c>
      <c r="L194" s="18" t="str">
        <f>IF(Country_2!$C95="","",Country_2!L95)</f>
        <v/>
      </c>
      <c r="M194" s="19" t="str">
        <f>IF(Country_2!$C95="","",Country_2!M95)</f>
        <v/>
      </c>
      <c r="N194" s="16" t="str">
        <f>IF(Country_2!$C95="","",Country_2!N95)</f>
        <v/>
      </c>
      <c r="O194" s="16" t="str">
        <f>IF(Country_2!$C95="","",Country_2!O95)</f>
        <v/>
      </c>
      <c r="P194" s="16" t="str">
        <f>IF(Country_2!$C95="","",Country_2!P95)</f>
        <v/>
      </c>
      <c r="Q194" s="16" t="str">
        <f>IF(Country_2!$C95="","",Country_2!Q95)</f>
        <v/>
      </c>
    </row>
    <row r="195" spans="1:17" x14ac:dyDescent="0.25">
      <c r="A195" s="16" t="str">
        <f>IF(Country_2!$C96="","",Country_2!A96)</f>
        <v/>
      </c>
      <c r="B195" s="16" t="str">
        <f>IF(Country_2!$C96="","",Country_2!B96)</f>
        <v/>
      </c>
      <c r="C195" s="16" t="str">
        <f>IF(Country_2!$C96="","",Country_2!C96)</f>
        <v/>
      </c>
      <c r="D195" s="16" t="str">
        <f>IF(Country_2!$C96="","",Country_2!D96)</f>
        <v/>
      </c>
      <c r="E195" s="16" t="str">
        <f>IF(Country_2!$C96="","",Country_2!E96)</f>
        <v/>
      </c>
      <c r="F195" s="16" t="str">
        <f>IF(Country_2!$C96="","",Country_2!F96)</f>
        <v/>
      </c>
      <c r="G195" s="17" t="str">
        <f>IF(Country_2!$C96="","",Country_2!G96)</f>
        <v/>
      </c>
      <c r="H195" s="17" t="str">
        <f>IF(Country_2!$C96="","",Country_2!H96)</f>
        <v/>
      </c>
      <c r="I195" s="16" t="str">
        <f>IF(Country_2!$C96="","",Country_2!I96)</f>
        <v/>
      </c>
      <c r="J195" s="16" t="str">
        <f>IF(Country_2!$C96="","",Country_2!J96)</f>
        <v/>
      </c>
      <c r="K195" s="18" t="str">
        <f>IF(Country_2!$C96="","",Country_2!K96)</f>
        <v/>
      </c>
      <c r="L195" s="18" t="str">
        <f>IF(Country_2!$C96="","",Country_2!L96)</f>
        <v/>
      </c>
      <c r="M195" s="19" t="str">
        <f>IF(Country_2!$C96="","",Country_2!M96)</f>
        <v/>
      </c>
      <c r="N195" s="16" t="str">
        <f>IF(Country_2!$C96="","",Country_2!N96)</f>
        <v/>
      </c>
      <c r="O195" s="16" t="str">
        <f>IF(Country_2!$C96="","",Country_2!O96)</f>
        <v/>
      </c>
      <c r="P195" s="16" t="str">
        <f>IF(Country_2!$C96="","",Country_2!P96)</f>
        <v/>
      </c>
      <c r="Q195" s="16" t="str">
        <f>IF(Country_2!$C96="","",Country_2!Q96)</f>
        <v/>
      </c>
    </row>
    <row r="196" spans="1:17" x14ac:dyDescent="0.25">
      <c r="A196" s="16" t="str">
        <f>IF(Country_2!$C97="","",Country_2!A97)</f>
        <v/>
      </c>
      <c r="B196" s="16" t="str">
        <f>IF(Country_2!$C97="","",Country_2!B97)</f>
        <v/>
      </c>
      <c r="C196" s="16" t="str">
        <f>IF(Country_2!$C97="","",Country_2!C97)</f>
        <v/>
      </c>
      <c r="D196" s="16" t="str">
        <f>IF(Country_2!$C97="","",Country_2!D97)</f>
        <v/>
      </c>
      <c r="E196" s="16" t="str">
        <f>IF(Country_2!$C97="","",Country_2!E97)</f>
        <v/>
      </c>
      <c r="F196" s="16" t="str">
        <f>IF(Country_2!$C97="","",Country_2!F97)</f>
        <v/>
      </c>
      <c r="G196" s="17" t="str">
        <f>IF(Country_2!$C97="","",Country_2!G97)</f>
        <v/>
      </c>
      <c r="H196" s="17" t="str">
        <f>IF(Country_2!$C97="","",Country_2!H97)</f>
        <v/>
      </c>
      <c r="I196" s="16" t="str">
        <f>IF(Country_2!$C97="","",Country_2!I97)</f>
        <v/>
      </c>
      <c r="J196" s="16" t="str">
        <f>IF(Country_2!$C97="","",Country_2!J97)</f>
        <v/>
      </c>
      <c r="K196" s="18" t="str">
        <f>IF(Country_2!$C97="","",Country_2!K97)</f>
        <v/>
      </c>
      <c r="L196" s="18" t="str">
        <f>IF(Country_2!$C97="","",Country_2!L97)</f>
        <v/>
      </c>
      <c r="M196" s="19" t="str">
        <f>IF(Country_2!$C97="","",Country_2!M97)</f>
        <v/>
      </c>
      <c r="N196" s="16" t="str">
        <f>IF(Country_2!$C97="","",Country_2!N97)</f>
        <v/>
      </c>
      <c r="O196" s="16" t="str">
        <f>IF(Country_2!$C97="","",Country_2!O97)</f>
        <v/>
      </c>
      <c r="P196" s="16" t="str">
        <f>IF(Country_2!$C97="","",Country_2!P97)</f>
        <v/>
      </c>
      <c r="Q196" s="16" t="str">
        <f>IF(Country_2!$C97="","",Country_2!Q97)</f>
        <v/>
      </c>
    </row>
    <row r="197" spans="1:17" x14ac:dyDescent="0.25">
      <c r="A197" s="16" t="str">
        <f>IF(Country_2!$C98="","",Country_2!A98)</f>
        <v/>
      </c>
      <c r="B197" s="16" t="str">
        <f>IF(Country_2!$C98="","",Country_2!B98)</f>
        <v/>
      </c>
      <c r="C197" s="16" t="str">
        <f>IF(Country_2!$C98="","",Country_2!C98)</f>
        <v/>
      </c>
      <c r="D197" s="16" t="str">
        <f>IF(Country_2!$C98="","",Country_2!D98)</f>
        <v/>
      </c>
      <c r="E197" s="16" t="str">
        <f>IF(Country_2!$C98="","",Country_2!E98)</f>
        <v/>
      </c>
      <c r="F197" s="16" t="str">
        <f>IF(Country_2!$C98="","",Country_2!F98)</f>
        <v/>
      </c>
      <c r="G197" s="17" t="str">
        <f>IF(Country_2!$C98="","",Country_2!G98)</f>
        <v/>
      </c>
      <c r="H197" s="17" t="str">
        <f>IF(Country_2!$C98="","",Country_2!H98)</f>
        <v/>
      </c>
      <c r="I197" s="16" t="str">
        <f>IF(Country_2!$C98="","",Country_2!I98)</f>
        <v/>
      </c>
      <c r="J197" s="16" t="str">
        <f>IF(Country_2!$C98="","",Country_2!J98)</f>
        <v/>
      </c>
      <c r="K197" s="18" t="str">
        <f>IF(Country_2!$C98="","",Country_2!K98)</f>
        <v/>
      </c>
      <c r="L197" s="18" t="str">
        <f>IF(Country_2!$C98="","",Country_2!L98)</f>
        <v/>
      </c>
      <c r="M197" s="19" t="str">
        <f>IF(Country_2!$C98="","",Country_2!M98)</f>
        <v/>
      </c>
      <c r="N197" s="16" t="str">
        <f>IF(Country_2!$C98="","",Country_2!N98)</f>
        <v/>
      </c>
      <c r="O197" s="16" t="str">
        <f>IF(Country_2!$C98="","",Country_2!O98)</f>
        <v/>
      </c>
      <c r="P197" s="16" t="str">
        <f>IF(Country_2!$C98="","",Country_2!P98)</f>
        <v/>
      </c>
      <c r="Q197" s="16" t="str">
        <f>IF(Country_2!$C98="","",Country_2!Q98)</f>
        <v/>
      </c>
    </row>
    <row r="198" spans="1:17" x14ac:dyDescent="0.25">
      <c r="A198" s="16" t="str">
        <f>IF(Country_2!$C99="","",Country_2!A99)</f>
        <v/>
      </c>
      <c r="B198" s="16" t="str">
        <f>IF(Country_2!$C99="","",Country_2!B99)</f>
        <v/>
      </c>
      <c r="C198" s="16" t="str">
        <f>IF(Country_2!$C99="","",Country_2!C99)</f>
        <v/>
      </c>
      <c r="D198" s="16" t="str">
        <f>IF(Country_2!$C99="","",Country_2!D99)</f>
        <v/>
      </c>
      <c r="E198" s="16" t="str">
        <f>IF(Country_2!$C99="","",Country_2!E99)</f>
        <v/>
      </c>
      <c r="F198" s="16" t="str">
        <f>IF(Country_2!$C99="","",Country_2!F99)</f>
        <v/>
      </c>
      <c r="G198" s="17" t="str">
        <f>IF(Country_2!$C99="","",Country_2!G99)</f>
        <v/>
      </c>
      <c r="H198" s="17" t="str">
        <f>IF(Country_2!$C99="","",Country_2!H99)</f>
        <v/>
      </c>
      <c r="I198" s="16" t="str">
        <f>IF(Country_2!$C99="","",Country_2!I99)</f>
        <v/>
      </c>
      <c r="J198" s="16" t="str">
        <f>IF(Country_2!$C99="","",Country_2!J99)</f>
        <v/>
      </c>
      <c r="K198" s="18" t="str">
        <f>IF(Country_2!$C99="","",Country_2!K99)</f>
        <v/>
      </c>
      <c r="L198" s="18" t="str">
        <f>IF(Country_2!$C99="","",Country_2!L99)</f>
        <v/>
      </c>
      <c r="M198" s="19" t="str">
        <f>IF(Country_2!$C99="","",Country_2!M99)</f>
        <v/>
      </c>
      <c r="N198" s="16" t="str">
        <f>IF(Country_2!$C99="","",Country_2!N99)</f>
        <v/>
      </c>
      <c r="O198" s="16" t="str">
        <f>IF(Country_2!$C99="","",Country_2!O99)</f>
        <v/>
      </c>
      <c r="P198" s="16" t="str">
        <f>IF(Country_2!$C99="","",Country_2!P99)</f>
        <v/>
      </c>
      <c r="Q198" s="16" t="str">
        <f>IF(Country_2!$C99="","",Country_2!Q99)</f>
        <v/>
      </c>
    </row>
    <row r="199" spans="1:17" x14ac:dyDescent="0.25">
      <c r="A199" s="16" t="str">
        <f>IF(Country_2!$C100="","",Country_2!A100)</f>
        <v/>
      </c>
      <c r="B199" s="16" t="str">
        <f>IF(Country_2!$C100="","",Country_2!B100)</f>
        <v/>
      </c>
      <c r="C199" s="16" t="str">
        <f>IF(Country_2!$C100="","",Country_2!C100)</f>
        <v/>
      </c>
      <c r="D199" s="16" t="str">
        <f>IF(Country_2!$C100="","",Country_2!D100)</f>
        <v/>
      </c>
      <c r="E199" s="16" t="str">
        <f>IF(Country_2!$C100="","",Country_2!E100)</f>
        <v/>
      </c>
      <c r="F199" s="16" t="str">
        <f>IF(Country_2!$C100="","",Country_2!F100)</f>
        <v/>
      </c>
      <c r="G199" s="17" t="str">
        <f>IF(Country_2!$C100="","",Country_2!G100)</f>
        <v/>
      </c>
      <c r="H199" s="17" t="str">
        <f>IF(Country_2!$C100="","",Country_2!H100)</f>
        <v/>
      </c>
      <c r="I199" s="16" t="str">
        <f>IF(Country_2!$C100="","",Country_2!I100)</f>
        <v/>
      </c>
      <c r="J199" s="16" t="str">
        <f>IF(Country_2!$C100="","",Country_2!J100)</f>
        <v/>
      </c>
      <c r="K199" s="18" t="str">
        <f>IF(Country_2!$C100="","",Country_2!K100)</f>
        <v/>
      </c>
      <c r="L199" s="18" t="str">
        <f>IF(Country_2!$C100="","",Country_2!L100)</f>
        <v/>
      </c>
      <c r="M199" s="19" t="str">
        <f>IF(Country_2!$C100="","",Country_2!M100)</f>
        <v/>
      </c>
      <c r="N199" s="16" t="str">
        <f>IF(Country_2!$C100="","",Country_2!N100)</f>
        <v/>
      </c>
      <c r="O199" s="16" t="str">
        <f>IF(Country_2!$C100="","",Country_2!O100)</f>
        <v/>
      </c>
      <c r="P199" s="16" t="str">
        <f>IF(Country_2!$C100="","",Country_2!P100)</f>
        <v/>
      </c>
      <c r="Q199" s="16" t="str">
        <f>IF(Country_2!$C100="","",Country_2!Q100)</f>
        <v/>
      </c>
    </row>
    <row r="200" spans="1:17" x14ac:dyDescent="0.25">
      <c r="A200" s="16" t="str">
        <f>IF(Country_2!$C101="","",Country_2!A101)</f>
        <v/>
      </c>
      <c r="B200" s="16" t="str">
        <f>IF(Country_2!$C101="","",Country_2!B101)</f>
        <v/>
      </c>
      <c r="C200" s="16" t="str">
        <f>IF(Country_2!$C101="","",Country_2!C101)</f>
        <v/>
      </c>
      <c r="D200" s="16" t="str">
        <f>IF(Country_2!$C101="","",Country_2!D101)</f>
        <v/>
      </c>
      <c r="E200" s="16" t="str">
        <f>IF(Country_2!$C101="","",Country_2!E101)</f>
        <v/>
      </c>
      <c r="F200" s="16" t="str">
        <f>IF(Country_2!$C101="","",Country_2!F101)</f>
        <v/>
      </c>
      <c r="G200" s="17" t="str">
        <f>IF(Country_2!$C101="","",Country_2!G101)</f>
        <v/>
      </c>
      <c r="H200" s="17" t="str">
        <f>IF(Country_2!$C101="","",Country_2!H101)</f>
        <v/>
      </c>
      <c r="I200" s="16" t="str">
        <f>IF(Country_2!$C101="","",Country_2!I101)</f>
        <v/>
      </c>
      <c r="J200" s="16" t="str">
        <f>IF(Country_2!$C101="","",Country_2!J101)</f>
        <v/>
      </c>
      <c r="K200" s="18" t="str">
        <f>IF(Country_2!$C101="","",Country_2!K101)</f>
        <v/>
      </c>
      <c r="L200" s="18" t="str">
        <f>IF(Country_2!$C101="","",Country_2!L101)</f>
        <v/>
      </c>
      <c r="M200" s="19" t="str">
        <f>IF(Country_2!$C101="","",Country_2!M101)</f>
        <v/>
      </c>
      <c r="N200" s="16" t="str">
        <f>IF(Country_2!$C101="","",Country_2!N101)</f>
        <v/>
      </c>
      <c r="O200" s="16" t="str">
        <f>IF(Country_2!$C101="","",Country_2!O101)</f>
        <v/>
      </c>
      <c r="P200" s="16" t="str">
        <f>IF(Country_2!$C101="","",Country_2!P101)</f>
        <v/>
      </c>
      <c r="Q200" s="16" t="str">
        <f>IF(Country_2!$C101="","",Country_2!Q101)</f>
        <v/>
      </c>
    </row>
    <row r="201" spans="1:17" x14ac:dyDescent="0.25">
      <c r="A201" s="16" t="str">
        <f>IF(Country_2!$C102="","",Country_2!A102)</f>
        <v/>
      </c>
      <c r="B201" s="16" t="str">
        <f>IF(Country_2!$C102="","",Country_2!B102)</f>
        <v/>
      </c>
      <c r="C201" s="16" t="str">
        <f>IF(Country_2!$C102="","",Country_2!C102)</f>
        <v/>
      </c>
      <c r="D201" s="16" t="str">
        <f>IF(Country_2!$C102="","",Country_2!D102)</f>
        <v/>
      </c>
      <c r="E201" s="16" t="str">
        <f>IF(Country_2!$C102="","",Country_2!E102)</f>
        <v/>
      </c>
      <c r="F201" s="16" t="str">
        <f>IF(Country_2!$C102="","",Country_2!F102)</f>
        <v/>
      </c>
      <c r="G201" s="17" t="str">
        <f>IF(Country_2!$C102="","",Country_2!G102)</f>
        <v/>
      </c>
      <c r="H201" s="17" t="str">
        <f>IF(Country_2!$C102="","",Country_2!H102)</f>
        <v/>
      </c>
      <c r="I201" s="16" t="str">
        <f>IF(Country_2!$C102="","",Country_2!I102)</f>
        <v/>
      </c>
      <c r="J201" s="16" t="str">
        <f>IF(Country_2!$C102="","",Country_2!J102)</f>
        <v/>
      </c>
      <c r="K201" s="18" t="str">
        <f>IF(Country_2!$C102="","",Country_2!K102)</f>
        <v/>
      </c>
      <c r="L201" s="18" t="str">
        <f>IF(Country_2!$C102="","",Country_2!L102)</f>
        <v/>
      </c>
      <c r="M201" s="19" t="str">
        <f>IF(Country_2!$C102="","",Country_2!M102)</f>
        <v/>
      </c>
      <c r="N201" s="16" t="str">
        <f>IF(Country_2!$C102="","",Country_2!N102)</f>
        <v/>
      </c>
      <c r="O201" s="16" t="str">
        <f>IF(Country_2!$C102="","",Country_2!O102)</f>
        <v/>
      </c>
      <c r="P201" s="16" t="str">
        <f>IF(Country_2!$C102="","",Country_2!P102)</f>
        <v/>
      </c>
      <c r="Q201" s="16" t="str">
        <f>IF(Country_2!$C102="","",Country_2!Q102)</f>
        <v/>
      </c>
    </row>
    <row r="202" spans="1:17" x14ac:dyDescent="0.25">
      <c r="A202" s="16" t="str">
        <f>IF(Country_3!$C3="","",Country_3!A3)</f>
        <v>OI-103</v>
      </c>
      <c r="B202" s="16" t="str">
        <f>IF(Country_3!$C3="","",Country_3!B3)</f>
        <v>Supportive supervision visits conducted</v>
      </c>
      <c r="C202" s="16" t="str">
        <f>IF(Country_3!$C3="","",Country_3!C3)</f>
        <v>C3A001</v>
      </c>
      <c r="D202" s="16" t="str">
        <f>IF(Country_3!$C3="","",Country_3!D3)</f>
        <v>Supportive supervision visit 1</v>
      </c>
      <c r="E202" s="16" t="str">
        <f>IF(Country_3!$C3="","",Country_3!E3)</f>
        <v>Monitoring</v>
      </c>
      <c r="F202" s="16" t="str">
        <f>IF(Country_3!$C3="","",Country_3!F3)</f>
        <v>Country_3</v>
      </c>
      <c r="G202" s="17">
        <f>IF(Country_3!$C3="","",Country_3!G3)</f>
        <v>45292</v>
      </c>
      <c r="H202" s="17">
        <f>IF(Country_3!$C3="","",Country_3!H3)</f>
        <v>45382</v>
      </c>
      <c r="I202" s="16" t="str">
        <f>IF(Country_3!$C3="","",Country_3!I3)</f>
        <v>Year 1</v>
      </c>
      <c r="J202" s="16" t="str">
        <f>IF(Country_3!$C3="","",Country_3!J3)</f>
        <v>Y1Q1</v>
      </c>
      <c r="K202" s="18">
        <f>IF(Country_3!$C3="","",Country_3!K3)</f>
        <v>56</v>
      </c>
      <c r="L202" s="18">
        <f>IF(Country_3!$C3="","",Country_3!L3)</f>
        <v>51</v>
      </c>
      <c r="M202" s="19">
        <f>IF(Country_3!$C3="","",Country_3!M3)</f>
        <v>0.9107142857142857</v>
      </c>
      <c r="N202" s="16" t="str">
        <f>IF(Country_3!$C3="","",Country_3!N3)</f>
        <v>Supervision checklist; visit report</v>
      </c>
      <c r="O202" s="16" t="str">
        <f>IF(Country_3!$C3="","",Country_3!O3)</f>
        <v>No</v>
      </c>
      <c r="P202" s="16" t="str">
        <f>IF(Country_3!$C3="","",Country_3!P3)</f>
        <v>In progress</v>
      </c>
      <c r="Q202" s="16" t="str">
        <f>IF(Country_3!$C3="","",Country_3!Q3)</f>
        <v>Final attendance reconciliation pending.</v>
      </c>
    </row>
    <row r="203" spans="1:17" x14ac:dyDescent="0.25">
      <c r="A203" s="16" t="str">
        <f>IF(Country_3!$C4="","",Country_3!A4)</f>
        <v>OI-104</v>
      </c>
      <c r="B203" s="16" t="str">
        <f>IF(Country_3!$C4="","",Country_3!B4)</f>
        <v>Policy dialogues facilitated</v>
      </c>
      <c r="C203" s="16" t="str">
        <f>IF(Country_3!$C4="","",Country_3!C4)</f>
        <v>C3A002</v>
      </c>
      <c r="D203" s="16" t="str">
        <f>IF(Country_3!$C4="","",Country_3!D4)</f>
        <v>Policy dialogue 2</v>
      </c>
      <c r="E203" s="16" t="str">
        <f>IF(Country_3!$C4="","",Country_3!E4)</f>
        <v>Advocacy</v>
      </c>
      <c r="F203" s="16" t="str">
        <f>IF(Country_3!$C4="","",Country_3!F4)</f>
        <v>Country_3</v>
      </c>
      <c r="G203" s="17">
        <f>IF(Country_3!$C4="","",Country_3!G4)</f>
        <v>45383</v>
      </c>
      <c r="H203" s="17">
        <f>IF(Country_3!$C4="","",Country_3!H4)</f>
        <v>45473</v>
      </c>
      <c r="I203" s="16" t="str">
        <f>IF(Country_3!$C4="","",Country_3!I4)</f>
        <v>Year 1</v>
      </c>
      <c r="J203" s="16" t="str">
        <f>IF(Country_3!$C4="","",Country_3!J4)</f>
        <v>Y1Q2</v>
      </c>
      <c r="K203" s="18">
        <f>IF(Country_3!$C4="","",Country_3!K4)</f>
        <v>61</v>
      </c>
      <c r="L203" s="18">
        <f>IF(Country_3!$C4="","",Country_3!L4)</f>
        <v>52</v>
      </c>
      <c r="M203" s="19">
        <f>IF(Country_3!$C4="","",Country_3!M4)</f>
        <v>0.85245901639344257</v>
      </c>
      <c r="N203" s="16" t="str">
        <f>IF(Country_3!$C4="","",Country_3!N4)</f>
        <v>Meeting minutes; participant list</v>
      </c>
      <c r="O203" s="16" t="str">
        <f>IF(Country_3!$C4="","",Country_3!O4)</f>
        <v>No</v>
      </c>
      <c r="P203" s="16" t="str">
        <f>IF(Country_3!$C4="","",Country_3!P4)</f>
        <v>In progress</v>
      </c>
      <c r="Q203" s="16" t="str">
        <f>IF(Country_3!$C4="","",Country_3!Q4)</f>
        <v>Final attendance reconciliation pending.</v>
      </c>
    </row>
    <row r="204" spans="1:17" x14ac:dyDescent="0.25">
      <c r="A204" s="16" t="str">
        <f>IF(Country_3!$C5="","",Country_3!A5)</f>
        <v>OI-101</v>
      </c>
      <c r="B204" s="16" t="str">
        <f>IF(Country_3!$C5="","",Country_3!B5)</f>
        <v>People trained in targeted skills</v>
      </c>
      <c r="C204" s="16" t="str">
        <f>IF(Country_3!$C5="","",Country_3!C5)</f>
        <v>C3A003</v>
      </c>
      <c r="D204" s="16" t="str">
        <f>IF(Country_3!$C5="","",Country_3!D5)</f>
        <v>Training workshop 3</v>
      </c>
      <c r="E204" s="16" t="str">
        <f>IF(Country_3!$C5="","",Country_3!E5)</f>
        <v>Training</v>
      </c>
      <c r="F204" s="16" t="str">
        <f>IF(Country_3!$C5="","",Country_3!F5)</f>
        <v>Country_3</v>
      </c>
      <c r="G204" s="17">
        <f>IF(Country_3!$C5="","",Country_3!G5)</f>
        <v>45474</v>
      </c>
      <c r="H204" s="17">
        <f>IF(Country_3!$C5="","",Country_3!H5)</f>
        <v>45565</v>
      </c>
      <c r="I204" s="16" t="str">
        <f>IF(Country_3!$C5="","",Country_3!I5)</f>
        <v>Year 1</v>
      </c>
      <c r="J204" s="16" t="str">
        <f>IF(Country_3!$C5="","",Country_3!J5)</f>
        <v>Y1Q3</v>
      </c>
      <c r="K204" s="18">
        <f>IF(Country_3!$C5="","",Country_3!K5)</f>
        <v>66</v>
      </c>
      <c r="L204" s="18">
        <f>IF(Country_3!$C5="","",Country_3!L5)</f>
        <v>74</v>
      </c>
      <c r="M204" s="19">
        <f>IF(Country_3!$C5="","",Country_3!M5)</f>
        <v>1.1212121212121211</v>
      </c>
      <c r="N204" s="16" t="str">
        <f>IF(Country_3!$C5="","",Country_3!N5)</f>
        <v>Signed attendance sheet; pre/post test forms</v>
      </c>
      <c r="O204" s="16" t="str">
        <f>IF(Country_3!$C5="","",Country_3!O5)</f>
        <v>Yes</v>
      </c>
      <c r="P204" s="16" t="str">
        <f>IF(Country_3!$C5="","",Country_3!P5)</f>
        <v>Completed</v>
      </c>
      <c r="Q204" s="16" t="str">
        <f>IF(Country_3!$C5="","",Country_3!Q5)</f>
        <v>Completed as scheduled.</v>
      </c>
    </row>
    <row r="205" spans="1:17" x14ac:dyDescent="0.25">
      <c r="A205" s="16" t="str">
        <f>IF(Country_3!$C6="","",Country_3!A6)</f>
        <v>OI-102</v>
      </c>
      <c r="B205" s="16" t="str">
        <f>IF(Country_3!$C6="","",Country_3!B6)</f>
        <v>Community outreach events delivered</v>
      </c>
      <c r="C205" s="16" t="str">
        <f>IF(Country_3!$C6="","",Country_3!C6)</f>
        <v>C3A004</v>
      </c>
      <c r="D205" s="16" t="str">
        <f>IF(Country_3!$C6="","",Country_3!D6)</f>
        <v>Community outreach campaign 4</v>
      </c>
      <c r="E205" s="16" t="str">
        <f>IF(Country_3!$C6="","",Country_3!E6)</f>
        <v>Outreach</v>
      </c>
      <c r="F205" s="16" t="str">
        <f>IF(Country_3!$C6="","",Country_3!F6)</f>
        <v>Country_3</v>
      </c>
      <c r="G205" s="17">
        <f>IF(Country_3!$C6="","",Country_3!G6)</f>
        <v>45566</v>
      </c>
      <c r="H205" s="17">
        <f>IF(Country_3!$C6="","",Country_3!H6)</f>
        <v>45657</v>
      </c>
      <c r="I205" s="16" t="str">
        <f>IF(Country_3!$C6="","",Country_3!I6)</f>
        <v>Year 1</v>
      </c>
      <c r="J205" s="16" t="str">
        <f>IF(Country_3!$C6="","",Country_3!J6)</f>
        <v>Y1Q4</v>
      </c>
      <c r="K205" s="18">
        <f>IF(Country_3!$C6="","",Country_3!K6)</f>
        <v>71</v>
      </c>
      <c r="L205" s="18">
        <f>IF(Country_3!$C6="","",Country_3!L6)</f>
        <v>75</v>
      </c>
      <c r="M205" s="19">
        <f>IF(Country_3!$C6="","",Country_3!M6)</f>
        <v>1.056338028169014</v>
      </c>
      <c r="N205" s="16" t="str">
        <f>IF(Country_3!$C6="","",Country_3!N6)</f>
        <v>Activity report; photo log</v>
      </c>
      <c r="O205" s="16" t="str">
        <f>IF(Country_3!$C6="","",Country_3!O6)</f>
        <v>No</v>
      </c>
      <c r="P205" s="16" t="str">
        <f>IF(Country_3!$C6="","",Country_3!P6)</f>
        <v>Completed</v>
      </c>
      <c r="Q205" s="16" t="str">
        <f>IF(Country_3!$C6="","",Country_3!Q6)</f>
        <v>Completed as scheduled.</v>
      </c>
    </row>
    <row r="206" spans="1:17" x14ac:dyDescent="0.25">
      <c r="A206" s="16" t="str">
        <f>IF(Country_3!$C7="","",Country_3!A7)</f>
        <v>OI-103</v>
      </c>
      <c r="B206" s="16" t="str">
        <f>IF(Country_3!$C7="","",Country_3!B7)</f>
        <v>Supportive supervision visits conducted</v>
      </c>
      <c r="C206" s="16" t="str">
        <f>IF(Country_3!$C7="","",Country_3!C7)</f>
        <v>C3A005</v>
      </c>
      <c r="D206" s="16" t="str">
        <f>IF(Country_3!$C7="","",Country_3!D7)</f>
        <v>Supportive supervision visit 5</v>
      </c>
      <c r="E206" s="16" t="str">
        <f>IF(Country_3!$C7="","",Country_3!E7)</f>
        <v>Monitoring</v>
      </c>
      <c r="F206" s="16" t="str">
        <f>IF(Country_3!$C7="","",Country_3!F7)</f>
        <v>Country_3</v>
      </c>
      <c r="G206" s="17">
        <f>IF(Country_3!$C7="","",Country_3!G7)</f>
        <v>45658</v>
      </c>
      <c r="H206" s="17">
        <f>IF(Country_3!$C7="","",Country_3!H7)</f>
        <v>45747</v>
      </c>
      <c r="I206" s="16" t="str">
        <f>IF(Country_3!$C7="","",Country_3!I7)</f>
        <v>Year 2</v>
      </c>
      <c r="J206" s="16" t="str">
        <f>IF(Country_3!$C7="","",Country_3!J7)</f>
        <v>Y2Q1</v>
      </c>
      <c r="K206" s="18">
        <f>IF(Country_3!$C7="","",Country_3!K7)</f>
        <v>76</v>
      </c>
      <c r="L206" s="18">
        <f>IF(Country_3!$C7="","",Country_3!L7)</f>
        <v>76</v>
      </c>
      <c r="M206" s="19">
        <f>IF(Country_3!$C7="","",Country_3!M7)</f>
        <v>1</v>
      </c>
      <c r="N206" s="16" t="str">
        <f>IF(Country_3!$C7="","",Country_3!N7)</f>
        <v>Supervision checklist; visit report</v>
      </c>
      <c r="O206" s="16" t="str">
        <f>IF(Country_3!$C7="","",Country_3!O7)</f>
        <v>No</v>
      </c>
      <c r="P206" s="16" t="str">
        <f>IF(Country_3!$C7="","",Country_3!P7)</f>
        <v>Completed</v>
      </c>
      <c r="Q206" s="16" t="str">
        <f>IF(Country_3!$C7="","",Country_3!Q7)</f>
        <v>Completed as scheduled.</v>
      </c>
    </row>
    <row r="207" spans="1:17" x14ac:dyDescent="0.25">
      <c r="A207" s="16" t="str">
        <f>IF(Country_3!$C8="","",Country_3!A8)</f>
        <v>OI-104</v>
      </c>
      <c r="B207" s="16" t="str">
        <f>IF(Country_3!$C8="","",Country_3!B8)</f>
        <v>Policy dialogues facilitated</v>
      </c>
      <c r="C207" s="16" t="str">
        <f>IF(Country_3!$C8="","",Country_3!C8)</f>
        <v>C3A006</v>
      </c>
      <c r="D207" s="16" t="str">
        <f>IF(Country_3!$C8="","",Country_3!D8)</f>
        <v>Policy dialogue 6</v>
      </c>
      <c r="E207" s="16" t="str">
        <f>IF(Country_3!$C8="","",Country_3!E8)</f>
        <v>Advocacy</v>
      </c>
      <c r="F207" s="16" t="str">
        <f>IF(Country_3!$C8="","",Country_3!F8)</f>
        <v>Country_3</v>
      </c>
      <c r="G207" s="17">
        <f>IF(Country_3!$C8="","",Country_3!G8)</f>
        <v>45748</v>
      </c>
      <c r="H207" s="17">
        <f>IF(Country_3!$C8="","",Country_3!H8)</f>
        <v>45838</v>
      </c>
      <c r="I207" s="16" t="str">
        <f>IF(Country_3!$C8="","",Country_3!I8)</f>
        <v>Year 2</v>
      </c>
      <c r="J207" s="16" t="str">
        <f>IF(Country_3!$C8="","",Country_3!J8)</f>
        <v>Y2Q2</v>
      </c>
      <c r="K207" s="18">
        <f>IF(Country_3!$C8="","",Country_3!K8)</f>
        <v>31</v>
      </c>
      <c r="L207" s="18">
        <f>IF(Country_3!$C8="","",Country_3!L8)</f>
        <v>27</v>
      </c>
      <c r="M207" s="19">
        <f>IF(Country_3!$C8="","",Country_3!M8)</f>
        <v>0.87096774193548387</v>
      </c>
      <c r="N207" s="16" t="str">
        <f>IF(Country_3!$C8="","",Country_3!N8)</f>
        <v>Meeting minutes; participant list</v>
      </c>
      <c r="O207" s="16" t="str">
        <f>IF(Country_3!$C8="","",Country_3!O8)</f>
        <v>Yes</v>
      </c>
      <c r="P207" s="16" t="str">
        <f>IF(Country_3!$C8="","",Country_3!P8)</f>
        <v>In progress</v>
      </c>
      <c r="Q207" s="16" t="str">
        <f>IF(Country_3!$C8="","",Country_3!Q8)</f>
        <v>Final attendance reconciliation pending.</v>
      </c>
    </row>
    <row r="208" spans="1:17" x14ac:dyDescent="0.25">
      <c r="A208" s="16" t="str">
        <f>IF(Country_3!$C9="","",Country_3!A9)</f>
        <v/>
      </c>
      <c r="B208" s="16" t="str">
        <f>IF(Country_3!$C9="","",Country_3!B9)</f>
        <v/>
      </c>
      <c r="C208" s="16" t="str">
        <f>IF(Country_3!$C9="","",Country_3!C9)</f>
        <v/>
      </c>
      <c r="D208" s="16" t="str">
        <f>IF(Country_3!$C9="","",Country_3!D9)</f>
        <v/>
      </c>
      <c r="E208" s="16" t="str">
        <f>IF(Country_3!$C9="","",Country_3!E9)</f>
        <v/>
      </c>
      <c r="F208" s="16" t="str">
        <f>IF(Country_3!$C9="","",Country_3!F9)</f>
        <v/>
      </c>
      <c r="G208" s="17" t="str">
        <f>IF(Country_3!$C9="","",Country_3!G9)</f>
        <v/>
      </c>
      <c r="H208" s="17" t="str">
        <f>IF(Country_3!$C9="","",Country_3!H9)</f>
        <v/>
      </c>
      <c r="I208" s="16" t="str">
        <f>IF(Country_3!$C9="","",Country_3!I9)</f>
        <v/>
      </c>
      <c r="J208" s="16" t="str">
        <f>IF(Country_3!$C9="","",Country_3!J9)</f>
        <v/>
      </c>
      <c r="K208" s="18" t="str">
        <f>IF(Country_3!$C9="","",Country_3!K9)</f>
        <v/>
      </c>
      <c r="L208" s="18" t="str">
        <f>IF(Country_3!$C9="","",Country_3!L9)</f>
        <v/>
      </c>
      <c r="M208" s="19" t="str">
        <f>IF(Country_3!$C9="","",Country_3!M9)</f>
        <v/>
      </c>
      <c r="N208" s="16" t="str">
        <f>IF(Country_3!$C9="","",Country_3!N9)</f>
        <v/>
      </c>
      <c r="O208" s="16" t="str">
        <f>IF(Country_3!$C9="","",Country_3!O9)</f>
        <v/>
      </c>
      <c r="P208" s="16" t="str">
        <f>IF(Country_3!$C9="","",Country_3!P9)</f>
        <v/>
      </c>
      <c r="Q208" s="16" t="str">
        <f>IF(Country_3!$C9="","",Country_3!Q9)</f>
        <v/>
      </c>
    </row>
    <row r="209" spans="1:17" x14ac:dyDescent="0.25">
      <c r="A209" s="16" t="str">
        <f>IF(Country_3!$C10="","",Country_3!A10)</f>
        <v/>
      </c>
      <c r="B209" s="16" t="str">
        <f>IF(Country_3!$C10="","",Country_3!B10)</f>
        <v/>
      </c>
      <c r="C209" s="16" t="str">
        <f>IF(Country_3!$C10="","",Country_3!C10)</f>
        <v/>
      </c>
      <c r="D209" s="16" t="str">
        <f>IF(Country_3!$C10="","",Country_3!D10)</f>
        <v/>
      </c>
      <c r="E209" s="16" t="str">
        <f>IF(Country_3!$C10="","",Country_3!E10)</f>
        <v/>
      </c>
      <c r="F209" s="16" t="str">
        <f>IF(Country_3!$C10="","",Country_3!F10)</f>
        <v/>
      </c>
      <c r="G209" s="17" t="str">
        <f>IF(Country_3!$C10="","",Country_3!G10)</f>
        <v/>
      </c>
      <c r="H209" s="17" t="str">
        <f>IF(Country_3!$C10="","",Country_3!H10)</f>
        <v/>
      </c>
      <c r="I209" s="16" t="str">
        <f>IF(Country_3!$C10="","",Country_3!I10)</f>
        <v/>
      </c>
      <c r="J209" s="16" t="str">
        <f>IF(Country_3!$C10="","",Country_3!J10)</f>
        <v/>
      </c>
      <c r="K209" s="18" t="str">
        <f>IF(Country_3!$C10="","",Country_3!K10)</f>
        <v/>
      </c>
      <c r="L209" s="18" t="str">
        <f>IF(Country_3!$C10="","",Country_3!L10)</f>
        <v/>
      </c>
      <c r="M209" s="19" t="str">
        <f>IF(Country_3!$C10="","",Country_3!M10)</f>
        <v/>
      </c>
      <c r="N209" s="16" t="str">
        <f>IF(Country_3!$C10="","",Country_3!N10)</f>
        <v/>
      </c>
      <c r="O209" s="16" t="str">
        <f>IF(Country_3!$C10="","",Country_3!O10)</f>
        <v/>
      </c>
      <c r="P209" s="16" t="str">
        <f>IF(Country_3!$C10="","",Country_3!P10)</f>
        <v/>
      </c>
      <c r="Q209" s="16" t="str">
        <f>IF(Country_3!$C10="","",Country_3!Q10)</f>
        <v/>
      </c>
    </row>
    <row r="210" spans="1:17" x14ac:dyDescent="0.25">
      <c r="A210" s="16" t="str">
        <f>IF(Country_3!$C11="","",Country_3!A11)</f>
        <v/>
      </c>
      <c r="B210" s="16" t="str">
        <f>IF(Country_3!$C11="","",Country_3!B11)</f>
        <v/>
      </c>
      <c r="C210" s="16" t="str">
        <f>IF(Country_3!$C11="","",Country_3!C11)</f>
        <v/>
      </c>
      <c r="D210" s="16" t="str">
        <f>IF(Country_3!$C11="","",Country_3!D11)</f>
        <v/>
      </c>
      <c r="E210" s="16" t="str">
        <f>IF(Country_3!$C11="","",Country_3!E11)</f>
        <v/>
      </c>
      <c r="F210" s="16" t="str">
        <f>IF(Country_3!$C11="","",Country_3!F11)</f>
        <v/>
      </c>
      <c r="G210" s="17" t="str">
        <f>IF(Country_3!$C11="","",Country_3!G11)</f>
        <v/>
      </c>
      <c r="H210" s="17" t="str">
        <f>IF(Country_3!$C11="","",Country_3!H11)</f>
        <v/>
      </c>
      <c r="I210" s="16" t="str">
        <f>IF(Country_3!$C11="","",Country_3!I11)</f>
        <v/>
      </c>
      <c r="J210" s="16" t="str">
        <f>IF(Country_3!$C11="","",Country_3!J11)</f>
        <v/>
      </c>
      <c r="K210" s="18" t="str">
        <f>IF(Country_3!$C11="","",Country_3!K11)</f>
        <v/>
      </c>
      <c r="L210" s="18" t="str">
        <f>IF(Country_3!$C11="","",Country_3!L11)</f>
        <v/>
      </c>
      <c r="M210" s="19" t="str">
        <f>IF(Country_3!$C11="","",Country_3!M11)</f>
        <v/>
      </c>
      <c r="N210" s="16" t="str">
        <f>IF(Country_3!$C11="","",Country_3!N11)</f>
        <v/>
      </c>
      <c r="O210" s="16" t="str">
        <f>IF(Country_3!$C11="","",Country_3!O11)</f>
        <v/>
      </c>
      <c r="P210" s="16" t="str">
        <f>IF(Country_3!$C11="","",Country_3!P11)</f>
        <v/>
      </c>
      <c r="Q210" s="16" t="str">
        <f>IF(Country_3!$C11="","",Country_3!Q11)</f>
        <v/>
      </c>
    </row>
    <row r="211" spans="1:17" x14ac:dyDescent="0.25">
      <c r="A211" s="16" t="str">
        <f>IF(Country_3!$C12="","",Country_3!A12)</f>
        <v/>
      </c>
      <c r="B211" s="16" t="str">
        <f>IF(Country_3!$C12="","",Country_3!B12)</f>
        <v/>
      </c>
      <c r="C211" s="16" t="str">
        <f>IF(Country_3!$C12="","",Country_3!C12)</f>
        <v/>
      </c>
      <c r="D211" s="16" t="str">
        <f>IF(Country_3!$C12="","",Country_3!D12)</f>
        <v/>
      </c>
      <c r="E211" s="16" t="str">
        <f>IF(Country_3!$C12="","",Country_3!E12)</f>
        <v/>
      </c>
      <c r="F211" s="16" t="str">
        <f>IF(Country_3!$C12="","",Country_3!F12)</f>
        <v/>
      </c>
      <c r="G211" s="17" t="str">
        <f>IF(Country_3!$C12="","",Country_3!G12)</f>
        <v/>
      </c>
      <c r="H211" s="17" t="str">
        <f>IF(Country_3!$C12="","",Country_3!H12)</f>
        <v/>
      </c>
      <c r="I211" s="16" t="str">
        <f>IF(Country_3!$C12="","",Country_3!I12)</f>
        <v/>
      </c>
      <c r="J211" s="16" t="str">
        <f>IF(Country_3!$C12="","",Country_3!J12)</f>
        <v/>
      </c>
      <c r="K211" s="18" t="str">
        <f>IF(Country_3!$C12="","",Country_3!K12)</f>
        <v/>
      </c>
      <c r="L211" s="18" t="str">
        <f>IF(Country_3!$C12="","",Country_3!L12)</f>
        <v/>
      </c>
      <c r="M211" s="19" t="str">
        <f>IF(Country_3!$C12="","",Country_3!M12)</f>
        <v/>
      </c>
      <c r="N211" s="16" t="str">
        <f>IF(Country_3!$C12="","",Country_3!N12)</f>
        <v/>
      </c>
      <c r="O211" s="16" t="str">
        <f>IF(Country_3!$C12="","",Country_3!O12)</f>
        <v/>
      </c>
      <c r="P211" s="16" t="str">
        <f>IF(Country_3!$C12="","",Country_3!P12)</f>
        <v/>
      </c>
      <c r="Q211" s="16" t="str">
        <f>IF(Country_3!$C12="","",Country_3!Q12)</f>
        <v/>
      </c>
    </row>
    <row r="212" spans="1:17" x14ac:dyDescent="0.25">
      <c r="A212" s="16" t="str">
        <f>IF(Country_3!$C13="","",Country_3!A13)</f>
        <v/>
      </c>
      <c r="B212" s="16" t="str">
        <f>IF(Country_3!$C13="","",Country_3!B13)</f>
        <v/>
      </c>
      <c r="C212" s="16" t="str">
        <f>IF(Country_3!$C13="","",Country_3!C13)</f>
        <v/>
      </c>
      <c r="D212" s="16" t="str">
        <f>IF(Country_3!$C13="","",Country_3!D13)</f>
        <v/>
      </c>
      <c r="E212" s="16" t="str">
        <f>IF(Country_3!$C13="","",Country_3!E13)</f>
        <v/>
      </c>
      <c r="F212" s="16" t="str">
        <f>IF(Country_3!$C13="","",Country_3!F13)</f>
        <v/>
      </c>
      <c r="G212" s="17" t="str">
        <f>IF(Country_3!$C13="","",Country_3!G13)</f>
        <v/>
      </c>
      <c r="H212" s="17" t="str">
        <f>IF(Country_3!$C13="","",Country_3!H13)</f>
        <v/>
      </c>
      <c r="I212" s="16" t="str">
        <f>IF(Country_3!$C13="","",Country_3!I13)</f>
        <v/>
      </c>
      <c r="J212" s="16" t="str">
        <f>IF(Country_3!$C13="","",Country_3!J13)</f>
        <v/>
      </c>
      <c r="K212" s="18" t="str">
        <f>IF(Country_3!$C13="","",Country_3!K13)</f>
        <v/>
      </c>
      <c r="L212" s="18" t="str">
        <f>IF(Country_3!$C13="","",Country_3!L13)</f>
        <v/>
      </c>
      <c r="M212" s="19" t="str">
        <f>IF(Country_3!$C13="","",Country_3!M13)</f>
        <v/>
      </c>
      <c r="N212" s="16" t="str">
        <f>IF(Country_3!$C13="","",Country_3!N13)</f>
        <v/>
      </c>
      <c r="O212" s="16" t="str">
        <f>IF(Country_3!$C13="","",Country_3!O13)</f>
        <v/>
      </c>
      <c r="P212" s="16" t="str">
        <f>IF(Country_3!$C13="","",Country_3!P13)</f>
        <v/>
      </c>
      <c r="Q212" s="16" t="str">
        <f>IF(Country_3!$C13="","",Country_3!Q13)</f>
        <v/>
      </c>
    </row>
    <row r="213" spans="1:17" x14ac:dyDescent="0.25">
      <c r="A213" s="16" t="str">
        <f>IF(Country_3!$C14="","",Country_3!A14)</f>
        <v/>
      </c>
      <c r="B213" s="16" t="str">
        <f>IF(Country_3!$C14="","",Country_3!B14)</f>
        <v/>
      </c>
      <c r="C213" s="16" t="str">
        <f>IF(Country_3!$C14="","",Country_3!C14)</f>
        <v/>
      </c>
      <c r="D213" s="16" t="str">
        <f>IF(Country_3!$C14="","",Country_3!D14)</f>
        <v/>
      </c>
      <c r="E213" s="16" t="str">
        <f>IF(Country_3!$C14="","",Country_3!E14)</f>
        <v/>
      </c>
      <c r="F213" s="16" t="str">
        <f>IF(Country_3!$C14="","",Country_3!F14)</f>
        <v/>
      </c>
      <c r="G213" s="17" t="str">
        <f>IF(Country_3!$C14="","",Country_3!G14)</f>
        <v/>
      </c>
      <c r="H213" s="17" t="str">
        <f>IF(Country_3!$C14="","",Country_3!H14)</f>
        <v/>
      </c>
      <c r="I213" s="16" t="str">
        <f>IF(Country_3!$C14="","",Country_3!I14)</f>
        <v/>
      </c>
      <c r="J213" s="16" t="str">
        <f>IF(Country_3!$C14="","",Country_3!J14)</f>
        <v/>
      </c>
      <c r="K213" s="18" t="str">
        <f>IF(Country_3!$C14="","",Country_3!K14)</f>
        <v/>
      </c>
      <c r="L213" s="18" t="str">
        <f>IF(Country_3!$C14="","",Country_3!L14)</f>
        <v/>
      </c>
      <c r="M213" s="19" t="str">
        <f>IF(Country_3!$C14="","",Country_3!M14)</f>
        <v/>
      </c>
      <c r="N213" s="16" t="str">
        <f>IF(Country_3!$C14="","",Country_3!N14)</f>
        <v/>
      </c>
      <c r="O213" s="16" t="str">
        <f>IF(Country_3!$C14="","",Country_3!O14)</f>
        <v/>
      </c>
      <c r="P213" s="16" t="str">
        <f>IF(Country_3!$C14="","",Country_3!P14)</f>
        <v/>
      </c>
      <c r="Q213" s="16" t="str">
        <f>IF(Country_3!$C14="","",Country_3!Q14)</f>
        <v/>
      </c>
    </row>
    <row r="214" spans="1:17" x14ac:dyDescent="0.25">
      <c r="A214" s="16" t="str">
        <f>IF(Country_3!$C15="","",Country_3!A15)</f>
        <v/>
      </c>
      <c r="B214" s="16" t="str">
        <f>IF(Country_3!$C15="","",Country_3!B15)</f>
        <v/>
      </c>
      <c r="C214" s="16" t="str">
        <f>IF(Country_3!$C15="","",Country_3!C15)</f>
        <v/>
      </c>
      <c r="D214" s="16" t="str">
        <f>IF(Country_3!$C15="","",Country_3!D15)</f>
        <v/>
      </c>
      <c r="E214" s="16" t="str">
        <f>IF(Country_3!$C15="","",Country_3!E15)</f>
        <v/>
      </c>
      <c r="F214" s="16" t="str">
        <f>IF(Country_3!$C15="","",Country_3!F15)</f>
        <v/>
      </c>
      <c r="G214" s="17" t="str">
        <f>IF(Country_3!$C15="","",Country_3!G15)</f>
        <v/>
      </c>
      <c r="H214" s="17" t="str">
        <f>IF(Country_3!$C15="","",Country_3!H15)</f>
        <v/>
      </c>
      <c r="I214" s="16" t="str">
        <f>IF(Country_3!$C15="","",Country_3!I15)</f>
        <v/>
      </c>
      <c r="J214" s="16" t="str">
        <f>IF(Country_3!$C15="","",Country_3!J15)</f>
        <v/>
      </c>
      <c r="K214" s="18" t="str">
        <f>IF(Country_3!$C15="","",Country_3!K15)</f>
        <v/>
      </c>
      <c r="L214" s="18" t="str">
        <f>IF(Country_3!$C15="","",Country_3!L15)</f>
        <v/>
      </c>
      <c r="M214" s="19" t="str">
        <f>IF(Country_3!$C15="","",Country_3!M15)</f>
        <v/>
      </c>
      <c r="N214" s="16" t="str">
        <f>IF(Country_3!$C15="","",Country_3!N15)</f>
        <v/>
      </c>
      <c r="O214" s="16" t="str">
        <f>IF(Country_3!$C15="","",Country_3!O15)</f>
        <v/>
      </c>
      <c r="P214" s="16" t="str">
        <f>IF(Country_3!$C15="","",Country_3!P15)</f>
        <v/>
      </c>
      <c r="Q214" s="16" t="str">
        <f>IF(Country_3!$C15="","",Country_3!Q15)</f>
        <v/>
      </c>
    </row>
    <row r="215" spans="1:17" x14ac:dyDescent="0.25">
      <c r="A215" s="16" t="str">
        <f>IF(Country_3!$C16="","",Country_3!A16)</f>
        <v/>
      </c>
      <c r="B215" s="16" t="str">
        <f>IF(Country_3!$C16="","",Country_3!B16)</f>
        <v/>
      </c>
      <c r="C215" s="16" t="str">
        <f>IF(Country_3!$C16="","",Country_3!C16)</f>
        <v/>
      </c>
      <c r="D215" s="16" t="str">
        <f>IF(Country_3!$C16="","",Country_3!D16)</f>
        <v/>
      </c>
      <c r="E215" s="16" t="str">
        <f>IF(Country_3!$C16="","",Country_3!E16)</f>
        <v/>
      </c>
      <c r="F215" s="16" t="str">
        <f>IF(Country_3!$C16="","",Country_3!F16)</f>
        <v/>
      </c>
      <c r="G215" s="17" t="str">
        <f>IF(Country_3!$C16="","",Country_3!G16)</f>
        <v/>
      </c>
      <c r="H215" s="17" t="str">
        <f>IF(Country_3!$C16="","",Country_3!H16)</f>
        <v/>
      </c>
      <c r="I215" s="16" t="str">
        <f>IF(Country_3!$C16="","",Country_3!I16)</f>
        <v/>
      </c>
      <c r="J215" s="16" t="str">
        <f>IF(Country_3!$C16="","",Country_3!J16)</f>
        <v/>
      </c>
      <c r="K215" s="18" t="str">
        <f>IF(Country_3!$C16="","",Country_3!K16)</f>
        <v/>
      </c>
      <c r="L215" s="18" t="str">
        <f>IF(Country_3!$C16="","",Country_3!L16)</f>
        <v/>
      </c>
      <c r="M215" s="19" t="str">
        <f>IF(Country_3!$C16="","",Country_3!M16)</f>
        <v/>
      </c>
      <c r="N215" s="16" t="str">
        <f>IF(Country_3!$C16="","",Country_3!N16)</f>
        <v/>
      </c>
      <c r="O215" s="16" t="str">
        <f>IF(Country_3!$C16="","",Country_3!O16)</f>
        <v/>
      </c>
      <c r="P215" s="16" t="str">
        <f>IF(Country_3!$C16="","",Country_3!P16)</f>
        <v/>
      </c>
      <c r="Q215" s="16" t="str">
        <f>IF(Country_3!$C16="","",Country_3!Q16)</f>
        <v/>
      </c>
    </row>
    <row r="216" spans="1:17" x14ac:dyDescent="0.25">
      <c r="A216" s="16" t="str">
        <f>IF(Country_3!$C17="","",Country_3!A17)</f>
        <v/>
      </c>
      <c r="B216" s="16" t="str">
        <f>IF(Country_3!$C17="","",Country_3!B17)</f>
        <v/>
      </c>
      <c r="C216" s="16" t="str">
        <f>IF(Country_3!$C17="","",Country_3!C17)</f>
        <v/>
      </c>
      <c r="D216" s="16" t="str">
        <f>IF(Country_3!$C17="","",Country_3!D17)</f>
        <v/>
      </c>
      <c r="E216" s="16" t="str">
        <f>IF(Country_3!$C17="","",Country_3!E17)</f>
        <v/>
      </c>
      <c r="F216" s="16" t="str">
        <f>IF(Country_3!$C17="","",Country_3!F17)</f>
        <v/>
      </c>
      <c r="G216" s="17" t="str">
        <f>IF(Country_3!$C17="","",Country_3!G17)</f>
        <v/>
      </c>
      <c r="H216" s="17" t="str">
        <f>IF(Country_3!$C17="","",Country_3!H17)</f>
        <v/>
      </c>
      <c r="I216" s="16" t="str">
        <f>IF(Country_3!$C17="","",Country_3!I17)</f>
        <v/>
      </c>
      <c r="J216" s="16" t="str">
        <f>IF(Country_3!$C17="","",Country_3!J17)</f>
        <v/>
      </c>
      <c r="K216" s="18" t="str">
        <f>IF(Country_3!$C17="","",Country_3!K17)</f>
        <v/>
      </c>
      <c r="L216" s="18" t="str">
        <f>IF(Country_3!$C17="","",Country_3!L17)</f>
        <v/>
      </c>
      <c r="M216" s="19" t="str">
        <f>IF(Country_3!$C17="","",Country_3!M17)</f>
        <v/>
      </c>
      <c r="N216" s="16" t="str">
        <f>IF(Country_3!$C17="","",Country_3!N17)</f>
        <v/>
      </c>
      <c r="O216" s="16" t="str">
        <f>IF(Country_3!$C17="","",Country_3!O17)</f>
        <v/>
      </c>
      <c r="P216" s="16" t="str">
        <f>IF(Country_3!$C17="","",Country_3!P17)</f>
        <v/>
      </c>
      <c r="Q216" s="16" t="str">
        <f>IF(Country_3!$C17="","",Country_3!Q17)</f>
        <v/>
      </c>
    </row>
    <row r="217" spans="1:17" x14ac:dyDescent="0.25">
      <c r="A217" s="16" t="str">
        <f>IF(Country_3!$C18="","",Country_3!A18)</f>
        <v/>
      </c>
      <c r="B217" s="16" t="str">
        <f>IF(Country_3!$C18="","",Country_3!B18)</f>
        <v/>
      </c>
      <c r="C217" s="16" t="str">
        <f>IF(Country_3!$C18="","",Country_3!C18)</f>
        <v/>
      </c>
      <c r="D217" s="16" t="str">
        <f>IF(Country_3!$C18="","",Country_3!D18)</f>
        <v/>
      </c>
      <c r="E217" s="16" t="str">
        <f>IF(Country_3!$C18="","",Country_3!E18)</f>
        <v/>
      </c>
      <c r="F217" s="16" t="str">
        <f>IF(Country_3!$C18="","",Country_3!F18)</f>
        <v/>
      </c>
      <c r="G217" s="17" t="str">
        <f>IF(Country_3!$C18="","",Country_3!G18)</f>
        <v/>
      </c>
      <c r="H217" s="17" t="str">
        <f>IF(Country_3!$C18="","",Country_3!H18)</f>
        <v/>
      </c>
      <c r="I217" s="16" t="str">
        <f>IF(Country_3!$C18="","",Country_3!I18)</f>
        <v/>
      </c>
      <c r="J217" s="16" t="str">
        <f>IF(Country_3!$C18="","",Country_3!J18)</f>
        <v/>
      </c>
      <c r="K217" s="18" t="str">
        <f>IF(Country_3!$C18="","",Country_3!K18)</f>
        <v/>
      </c>
      <c r="L217" s="18" t="str">
        <f>IF(Country_3!$C18="","",Country_3!L18)</f>
        <v/>
      </c>
      <c r="M217" s="19" t="str">
        <f>IF(Country_3!$C18="","",Country_3!M18)</f>
        <v/>
      </c>
      <c r="N217" s="16" t="str">
        <f>IF(Country_3!$C18="","",Country_3!N18)</f>
        <v/>
      </c>
      <c r="O217" s="16" t="str">
        <f>IF(Country_3!$C18="","",Country_3!O18)</f>
        <v/>
      </c>
      <c r="P217" s="16" t="str">
        <f>IF(Country_3!$C18="","",Country_3!P18)</f>
        <v/>
      </c>
      <c r="Q217" s="16" t="str">
        <f>IF(Country_3!$C18="","",Country_3!Q18)</f>
        <v/>
      </c>
    </row>
    <row r="218" spans="1:17" x14ac:dyDescent="0.25">
      <c r="A218" s="16" t="str">
        <f>IF(Country_3!$C19="","",Country_3!A19)</f>
        <v/>
      </c>
      <c r="B218" s="16" t="str">
        <f>IF(Country_3!$C19="","",Country_3!B19)</f>
        <v/>
      </c>
      <c r="C218" s="16" t="str">
        <f>IF(Country_3!$C19="","",Country_3!C19)</f>
        <v/>
      </c>
      <c r="D218" s="16" t="str">
        <f>IF(Country_3!$C19="","",Country_3!D19)</f>
        <v/>
      </c>
      <c r="E218" s="16" t="str">
        <f>IF(Country_3!$C19="","",Country_3!E19)</f>
        <v/>
      </c>
      <c r="F218" s="16" t="str">
        <f>IF(Country_3!$C19="","",Country_3!F19)</f>
        <v/>
      </c>
      <c r="G218" s="17" t="str">
        <f>IF(Country_3!$C19="","",Country_3!G19)</f>
        <v/>
      </c>
      <c r="H218" s="17" t="str">
        <f>IF(Country_3!$C19="","",Country_3!H19)</f>
        <v/>
      </c>
      <c r="I218" s="16" t="str">
        <f>IF(Country_3!$C19="","",Country_3!I19)</f>
        <v/>
      </c>
      <c r="J218" s="16" t="str">
        <f>IF(Country_3!$C19="","",Country_3!J19)</f>
        <v/>
      </c>
      <c r="K218" s="18" t="str">
        <f>IF(Country_3!$C19="","",Country_3!K19)</f>
        <v/>
      </c>
      <c r="L218" s="18" t="str">
        <f>IF(Country_3!$C19="","",Country_3!L19)</f>
        <v/>
      </c>
      <c r="M218" s="19" t="str">
        <f>IF(Country_3!$C19="","",Country_3!M19)</f>
        <v/>
      </c>
      <c r="N218" s="16" t="str">
        <f>IF(Country_3!$C19="","",Country_3!N19)</f>
        <v/>
      </c>
      <c r="O218" s="16" t="str">
        <f>IF(Country_3!$C19="","",Country_3!O19)</f>
        <v/>
      </c>
      <c r="P218" s="16" t="str">
        <f>IF(Country_3!$C19="","",Country_3!P19)</f>
        <v/>
      </c>
      <c r="Q218" s="16" t="str">
        <f>IF(Country_3!$C19="","",Country_3!Q19)</f>
        <v/>
      </c>
    </row>
    <row r="219" spans="1:17" x14ac:dyDescent="0.25">
      <c r="A219" s="16" t="str">
        <f>IF(Country_3!$C20="","",Country_3!A20)</f>
        <v/>
      </c>
      <c r="B219" s="16" t="str">
        <f>IF(Country_3!$C20="","",Country_3!B20)</f>
        <v/>
      </c>
      <c r="C219" s="16" t="str">
        <f>IF(Country_3!$C20="","",Country_3!C20)</f>
        <v/>
      </c>
      <c r="D219" s="16" t="str">
        <f>IF(Country_3!$C20="","",Country_3!D20)</f>
        <v/>
      </c>
      <c r="E219" s="16" t="str">
        <f>IF(Country_3!$C20="","",Country_3!E20)</f>
        <v/>
      </c>
      <c r="F219" s="16" t="str">
        <f>IF(Country_3!$C20="","",Country_3!F20)</f>
        <v/>
      </c>
      <c r="G219" s="17" t="str">
        <f>IF(Country_3!$C20="","",Country_3!G20)</f>
        <v/>
      </c>
      <c r="H219" s="17" t="str">
        <f>IF(Country_3!$C20="","",Country_3!H20)</f>
        <v/>
      </c>
      <c r="I219" s="16" t="str">
        <f>IF(Country_3!$C20="","",Country_3!I20)</f>
        <v/>
      </c>
      <c r="J219" s="16" t="str">
        <f>IF(Country_3!$C20="","",Country_3!J20)</f>
        <v/>
      </c>
      <c r="K219" s="18" t="str">
        <f>IF(Country_3!$C20="","",Country_3!K20)</f>
        <v/>
      </c>
      <c r="L219" s="18" t="str">
        <f>IF(Country_3!$C20="","",Country_3!L20)</f>
        <v/>
      </c>
      <c r="M219" s="19" t="str">
        <f>IF(Country_3!$C20="","",Country_3!M20)</f>
        <v/>
      </c>
      <c r="N219" s="16" t="str">
        <f>IF(Country_3!$C20="","",Country_3!N20)</f>
        <v/>
      </c>
      <c r="O219" s="16" t="str">
        <f>IF(Country_3!$C20="","",Country_3!O20)</f>
        <v/>
      </c>
      <c r="P219" s="16" t="str">
        <f>IF(Country_3!$C20="","",Country_3!P20)</f>
        <v/>
      </c>
      <c r="Q219" s="16" t="str">
        <f>IF(Country_3!$C20="","",Country_3!Q20)</f>
        <v/>
      </c>
    </row>
    <row r="220" spans="1:17" x14ac:dyDescent="0.25">
      <c r="A220" s="16" t="str">
        <f>IF(Country_3!$C21="","",Country_3!A21)</f>
        <v/>
      </c>
      <c r="B220" s="16" t="str">
        <f>IF(Country_3!$C21="","",Country_3!B21)</f>
        <v/>
      </c>
      <c r="C220" s="16" t="str">
        <f>IF(Country_3!$C21="","",Country_3!C21)</f>
        <v/>
      </c>
      <c r="D220" s="16" t="str">
        <f>IF(Country_3!$C21="","",Country_3!D21)</f>
        <v/>
      </c>
      <c r="E220" s="16" t="str">
        <f>IF(Country_3!$C21="","",Country_3!E21)</f>
        <v/>
      </c>
      <c r="F220" s="16" t="str">
        <f>IF(Country_3!$C21="","",Country_3!F21)</f>
        <v/>
      </c>
      <c r="G220" s="17" t="str">
        <f>IF(Country_3!$C21="","",Country_3!G21)</f>
        <v/>
      </c>
      <c r="H220" s="17" t="str">
        <f>IF(Country_3!$C21="","",Country_3!H21)</f>
        <v/>
      </c>
      <c r="I220" s="16" t="str">
        <f>IF(Country_3!$C21="","",Country_3!I21)</f>
        <v/>
      </c>
      <c r="J220" s="16" t="str">
        <f>IF(Country_3!$C21="","",Country_3!J21)</f>
        <v/>
      </c>
      <c r="K220" s="18" t="str">
        <f>IF(Country_3!$C21="","",Country_3!K21)</f>
        <v/>
      </c>
      <c r="L220" s="18" t="str">
        <f>IF(Country_3!$C21="","",Country_3!L21)</f>
        <v/>
      </c>
      <c r="M220" s="19" t="str">
        <f>IF(Country_3!$C21="","",Country_3!M21)</f>
        <v/>
      </c>
      <c r="N220" s="16" t="str">
        <f>IF(Country_3!$C21="","",Country_3!N21)</f>
        <v/>
      </c>
      <c r="O220" s="16" t="str">
        <f>IF(Country_3!$C21="","",Country_3!O21)</f>
        <v/>
      </c>
      <c r="P220" s="16" t="str">
        <f>IF(Country_3!$C21="","",Country_3!P21)</f>
        <v/>
      </c>
      <c r="Q220" s="16" t="str">
        <f>IF(Country_3!$C21="","",Country_3!Q21)</f>
        <v/>
      </c>
    </row>
    <row r="221" spans="1:17" x14ac:dyDescent="0.25">
      <c r="A221" s="16" t="str">
        <f>IF(Country_3!$C22="","",Country_3!A22)</f>
        <v/>
      </c>
      <c r="B221" s="16" t="str">
        <f>IF(Country_3!$C22="","",Country_3!B22)</f>
        <v/>
      </c>
      <c r="C221" s="16" t="str">
        <f>IF(Country_3!$C22="","",Country_3!C22)</f>
        <v/>
      </c>
      <c r="D221" s="16" t="str">
        <f>IF(Country_3!$C22="","",Country_3!D22)</f>
        <v/>
      </c>
      <c r="E221" s="16" t="str">
        <f>IF(Country_3!$C22="","",Country_3!E22)</f>
        <v/>
      </c>
      <c r="F221" s="16" t="str">
        <f>IF(Country_3!$C22="","",Country_3!F22)</f>
        <v/>
      </c>
      <c r="G221" s="17" t="str">
        <f>IF(Country_3!$C22="","",Country_3!G22)</f>
        <v/>
      </c>
      <c r="H221" s="17" t="str">
        <f>IF(Country_3!$C22="","",Country_3!H22)</f>
        <v/>
      </c>
      <c r="I221" s="16" t="str">
        <f>IF(Country_3!$C22="","",Country_3!I22)</f>
        <v/>
      </c>
      <c r="J221" s="16" t="str">
        <f>IF(Country_3!$C22="","",Country_3!J22)</f>
        <v/>
      </c>
      <c r="K221" s="18" t="str">
        <f>IF(Country_3!$C22="","",Country_3!K22)</f>
        <v/>
      </c>
      <c r="L221" s="18" t="str">
        <f>IF(Country_3!$C22="","",Country_3!L22)</f>
        <v/>
      </c>
      <c r="M221" s="19" t="str">
        <f>IF(Country_3!$C22="","",Country_3!M22)</f>
        <v/>
      </c>
      <c r="N221" s="16" t="str">
        <f>IF(Country_3!$C22="","",Country_3!N22)</f>
        <v/>
      </c>
      <c r="O221" s="16" t="str">
        <f>IF(Country_3!$C22="","",Country_3!O22)</f>
        <v/>
      </c>
      <c r="P221" s="16" t="str">
        <f>IF(Country_3!$C22="","",Country_3!P22)</f>
        <v/>
      </c>
      <c r="Q221" s="16" t="str">
        <f>IF(Country_3!$C22="","",Country_3!Q22)</f>
        <v/>
      </c>
    </row>
    <row r="222" spans="1:17" x14ac:dyDescent="0.25">
      <c r="A222" s="16" t="str">
        <f>IF(Country_3!$C23="","",Country_3!A23)</f>
        <v/>
      </c>
      <c r="B222" s="16" t="str">
        <f>IF(Country_3!$C23="","",Country_3!B23)</f>
        <v/>
      </c>
      <c r="C222" s="16" t="str">
        <f>IF(Country_3!$C23="","",Country_3!C23)</f>
        <v/>
      </c>
      <c r="D222" s="16" t="str">
        <f>IF(Country_3!$C23="","",Country_3!D23)</f>
        <v/>
      </c>
      <c r="E222" s="16" t="str">
        <f>IF(Country_3!$C23="","",Country_3!E23)</f>
        <v/>
      </c>
      <c r="F222" s="16" t="str">
        <f>IF(Country_3!$C23="","",Country_3!F23)</f>
        <v/>
      </c>
      <c r="G222" s="17" t="str">
        <f>IF(Country_3!$C23="","",Country_3!G23)</f>
        <v/>
      </c>
      <c r="H222" s="17" t="str">
        <f>IF(Country_3!$C23="","",Country_3!H23)</f>
        <v/>
      </c>
      <c r="I222" s="16" t="str">
        <f>IF(Country_3!$C23="","",Country_3!I23)</f>
        <v/>
      </c>
      <c r="J222" s="16" t="str">
        <f>IF(Country_3!$C23="","",Country_3!J23)</f>
        <v/>
      </c>
      <c r="K222" s="18" t="str">
        <f>IF(Country_3!$C23="","",Country_3!K23)</f>
        <v/>
      </c>
      <c r="L222" s="18" t="str">
        <f>IF(Country_3!$C23="","",Country_3!L23)</f>
        <v/>
      </c>
      <c r="M222" s="19" t="str">
        <f>IF(Country_3!$C23="","",Country_3!M23)</f>
        <v/>
      </c>
      <c r="N222" s="16" t="str">
        <f>IF(Country_3!$C23="","",Country_3!N23)</f>
        <v/>
      </c>
      <c r="O222" s="16" t="str">
        <f>IF(Country_3!$C23="","",Country_3!O23)</f>
        <v/>
      </c>
      <c r="P222" s="16" t="str">
        <f>IF(Country_3!$C23="","",Country_3!P23)</f>
        <v/>
      </c>
      <c r="Q222" s="16" t="str">
        <f>IF(Country_3!$C23="","",Country_3!Q23)</f>
        <v/>
      </c>
    </row>
    <row r="223" spans="1:17" x14ac:dyDescent="0.25">
      <c r="A223" s="16" t="str">
        <f>IF(Country_3!$C24="","",Country_3!A24)</f>
        <v/>
      </c>
      <c r="B223" s="16" t="str">
        <f>IF(Country_3!$C24="","",Country_3!B24)</f>
        <v/>
      </c>
      <c r="C223" s="16" t="str">
        <f>IF(Country_3!$C24="","",Country_3!C24)</f>
        <v/>
      </c>
      <c r="D223" s="16" t="str">
        <f>IF(Country_3!$C24="","",Country_3!D24)</f>
        <v/>
      </c>
      <c r="E223" s="16" t="str">
        <f>IF(Country_3!$C24="","",Country_3!E24)</f>
        <v/>
      </c>
      <c r="F223" s="16" t="str">
        <f>IF(Country_3!$C24="","",Country_3!F24)</f>
        <v/>
      </c>
      <c r="G223" s="17" t="str">
        <f>IF(Country_3!$C24="","",Country_3!G24)</f>
        <v/>
      </c>
      <c r="H223" s="17" t="str">
        <f>IF(Country_3!$C24="","",Country_3!H24)</f>
        <v/>
      </c>
      <c r="I223" s="16" t="str">
        <f>IF(Country_3!$C24="","",Country_3!I24)</f>
        <v/>
      </c>
      <c r="J223" s="16" t="str">
        <f>IF(Country_3!$C24="","",Country_3!J24)</f>
        <v/>
      </c>
      <c r="K223" s="18" t="str">
        <f>IF(Country_3!$C24="","",Country_3!K24)</f>
        <v/>
      </c>
      <c r="L223" s="18" t="str">
        <f>IF(Country_3!$C24="","",Country_3!L24)</f>
        <v/>
      </c>
      <c r="M223" s="19" t="str">
        <f>IF(Country_3!$C24="","",Country_3!M24)</f>
        <v/>
      </c>
      <c r="N223" s="16" t="str">
        <f>IF(Country_3!$C24="","",Country_3!N24)</f>
        <v/>
      </c>
      <c r="O223" s="16" t="str">
        <f>IF(Country_3!$C24="","",Country_3!O24)</f>
        <v/>
      </c>
      <c r="P223" s="16" t="str">
        <f>IF(Country_3!$C24="","",Country_3!P24)</f>
        <v/>
      </c>
      <c r="Q223" s="16" t="str">
        <f>IF(Country_3!$C24="","",Country_3!Q24)</f>
        <v/>
      </c>
    </row>
    <row r="224" spans="1:17" x14ac:dyDescent="0.25">
      <c r="A224" s="16" t="str">
        <f>IF(Country_3!$C25="","",Country_3!A25)</f>
        <v/>
      </c>
      <c r="B224" s="16" t="str">
        <f>IF(Country_3!$C25="","",Country_3!B25)</f>
        <v/>
      </c>
      <c r="C224" s="16" t="str">
        <f>IF(Country_3!$C25="","",Country_3!C25)</f>
        <v/>
      </c>
      <c r="D224" s="16" t="str">
        <f>IF(Country_3!$C25="","",Country_3!D25)</f>
        <v/>
      </c>
      <c r="E224" s="16" t="str">
        <f>IF(Country_3!$C25="","",Country_3!E25)</f>
        <v/>
      </c>
      <c r="F224" s="16" t="str">
        <f>IF(Country_3!$C25="","",Country_3!F25)</f>
        <v/>
      </c>
      <c r="G224" s="17" t="str">
        <f>IF(Country_3!$C25="","",Country_3!G25)</f>
        <v/>
      </c>
      <c r="H224" s="17" t="str">
        <f>IF(Country_3!$C25="","",Country_3!H25)</f>
        <v/>
      </c>
      <c r="I224" s="16" t="str">
        <f>IF(Country_3!$C25="","",Country_3!I25)</f>
        <v/>
      </c>
      <c r="J224" s="16" t="str">
        <f>IF(Country_3!$C25="","",Country_3!J25)</f>
        <v/>
      </c>
      <c r="K224" s="18" t="str">
        <f>IF(Country_3!$C25="","",Country_3!K25)</f>
        <v/>
      </c>
      <c r="L224" s="18" t="str">
        <f>IF(Country_3!$C25="","",Country_3!L25)</f>
        <v/>
      </c>
      <c r="M224" s="19" t="str">
        <f>IF(Country_3!$C25="","",Country_3!M25)</f>
        <v/>
      </c>
      <c r="N224" s="16" t="str">
        <f>IF(Country_3!$C25="","",Country_3!N25)</f>
        <v/>
      </c>
      <c r="O224" s="16" t="str">
        <f>IF(Country_3!$C25="","",Country_3!O25)</f>
        <v/>
      </c>
      <c r="P224" s="16" t="str">
        <f>IF(Country_3!$C25="","",Country_3!P25)</f>
        <v/>
      </c>
      <c r="Q224" s="16" t="str">
        <f>IF(Country_3!$C25="","",Country_3!Q25)</f>
        <v/>
      </c>
    </row>
    <row r="225" spans="1:17" x14ac:dyDescent="0.25">
      <c r="A225" s="16" t="str">
        <f>IF(Country_3!$C26="","",Country_3!A26)</f>
        <v/>
      </c>
      <c r="B225" s="16" t="str">
        <f>IF(Country_3!$C26="","",Country_3!B26)</f>
        <v/>
      </c>
      <c r="C225" s="16" t="str">
        <f>IF(Country_3!$C26="","",Country_3!C26)</f>
        <v/>
      </c>
      <c r="D225" s="16" t="str">
        <f>IF(Country_3!$C26="","",Country_3!D26)</f>
        <v/>
      </c>
      <c r="E225" s="16" t="str">
        <f>IF(Country_3!$C26="","",Country_3!E26)</f>
        <v/>
      </c>
      <c r="F225" s="16" t="str">
        <f>IF(Country_3!$C26="","",Country_3!F26)</f>
        <v/>
      </c>
      <c r="G225" s="17" t="str">
        <f>IF(Country_3!$C26="","",Country_3!G26)</f>
        <v/>
      </c>
      <c r="H225" s="17" t="str">
        <f>IF(Country_3!$C26="","",Country_3!H26)</f>
        <v/>
      </c>
      <c r="I225" s="16" t="str">
        <f>IF(Country_3!$C26="","",Country_3!I26)</f>
        <v/>
      </c>
      <c r="J225" s="16" t="str">
        <f>IF(Country_3!$C26="","",Country_3!J26)</f>
        <v/>
      </c>
      <c r="K225" s="18" t="str">
        <f>IF(Country_3!$C26="","",Country_3!K26)</f>
        <v/>
      </c>
      <c r="L225" s="18" t="str">
        <f>IF(Country_3!$C26="","",Country_3!L26)</f>
        <v/>
      </c>
      <c r="M225" s="19" t="str">
        <f>IF(Country_3!$C26="","",Country_3!M26)</f>
        <v/>
      </c>
      <c r="N225" s="16" t="str">
        <f>IF(Country_3!$C26="","",Country_3!N26)</f>
        <v/>
      </c>
      <c r="O225" s="16" t="str">
        <f>IF(Country_3!$C26="","",Country_3!O26)</f>
        <v/>
      </c>
      <c r="P225" s="16" t="str">
        <f>IF(Country_3!$C26="","",Country_3!P26)</f>
        <v/>
      </c>
      <c r="Q225" s="16" t="str">
        <f>IF(Country_3!$C26="","",Country_3!Q26)</f>
        <v/>
      </c>
    </row>
    <row r="226" spans="1:17" x14ac:dyDescent="0.25">
      <c r="A226" s="16" t="str">
        <f>IF(Country_3!$C27="","",Country_3!A27)</f>
        <v/>
      </c>
      <c r="B226" s="16" t="str">
        <f>IF(Country_3!$C27="","",Country_3!B27)</f>
        <v/>
      </c>
      <c r="C226" s="16" t="str">
        <f>IF(Country_3!$C27="","",Country_3!C27)</f>
        <v/>
      </c>
      <c r="D226" s="16" t="str">
        <f>IF(Country_3!$C27="","",Country_3!D27)</f>
        <v/>
      </c>
      <c r="E226" s="16" t="str">
        <f>IF(Country_3!$C27="","",Country_3!E27)</f>
        <v/>
      </c>
      <c r="F226" s="16" t="str">
        <f>IF(Country_3!$C27="","",Country_3!F27)</f>
        <v/>
      </c>
      <c r="G226" s="17" t="str">
        <f>IF(Country_3!$C27="","",Country_3!G27)</f>
        <v/>
      </c>
      <c r="H226" s="17" t="str">
        <f>IF(Country_3!$C27="","",Country_3!H27)</f>
        <v/>
      </c>
      <c r="I226" s="16" t="str">
        <f>IF(Country_3!$C27="","",Country_3!I27)</f>
        <v/>
      </c>
      <c r="J226" s="16" t="str">
        <f>IF(Country_3!$C27="","",Country_3!J27)</f>
        <v/>
      </c>
      <c r="K226" s="18" t="str">
        <f>IF(Country_3!$C27="","",Country_3!K27)</f>
        <v/>
      </c>
      <c r="L226" s="18" t="str">
        <f>IF(Country_3!$C27="","",Country_3!L27)</f>
        <v/>
      </c>
      <c r="M226" s="19" t="str">
        <f>IF(Country_3!$C27="","",Country_3!M27)</f>
        <v/>
      </c>
      <c r="N226" s="16" t="str">
        <f>IF(Country_3!$C27="","",Country_3!N27)</f>
        <v/>
      </c>
      <c r="O226" s="16" t="str">
        <f>IF(Country_3!$C27="","",Country_3!O27)</f>
        <v/>
      </c>
      <c r="P226" s="16" t="str">
        <f>IF(Country_3!$C27="","",Country_3!P27)</f>
        <v/>
      </c>
      <c r="Q226" s="16" t="str">
        <f>IF(Country_3!$C27="","",Country_3!Q27)</f>
        <v/>
      </c>
    </row>
    <row r="227" spans="1:17" x14ac:dyDescent="0.25">
      <c r="A227" s="16" t="str">
        <f>IF(Country_3!$C28="","",Country_3!A28)</f>
        <v/>
      </c>
      <c r="B227" s="16" t="str">
        <f>IF(Country_3!$C28="","",Country_3!B28)</f>
        <v/>
      </c>
      <c r="C227" s="16" t="str">
        <f>IF(Country_3!$C28="","",Country_3!C28)</f>
        <v/>
      </c>
      <c r="D227" s="16" t="str">
        <f>IF(Country_3!$C28="","",Country_3!D28)</f>
        <v/>
      </c>
      <c r="E227" s="16" t="str">
        <f>IF(Country_3!$C28="","",Country_3!E28)</f>
        <v/>
      </c>
      <c r="F227" s="16" t="str">
        <f>IF(Country_3!$C28="","",Country_3!F28)</f>
        <v/>
      </c>
      <c r="G227" s="17" t="str">
        <f>IF(Country_3!$C28="","",Country_3!G28)</f>
        <v/>
      </c>
      <c r="H227" s="17" t="str">
        <f>IF(Country_3!$C28="","",Country_3!H28)</f>
        <v/>
      </c>
      <c r="I227" s="16" t="str">
        <f>IF(Country_3!$C28="","",Country_3!I28)</f>
        <v/>
      </c>
      <c r="J227" s="16" t="str">
        <f>IF(Country_3!$C28="","",Country_3!J28)</f>
        <v/>
      </c>
      <c r="K227" s="18" t="str">
        <f>IF(Country_3!$C28="","",Country_3!K28)</f>
        <v/>
      </c>
      <c r="L227" s="18" t="str">
        <f>IF(Country_3!$C28="","",Country_3!L28)</f>
        <v/>
      </c>
      <c r="M227" s="19" t="str">
        <f>IF(Country_3!$C28="","",Country_3!M28)</f>
        <v/>
      </c>
      <c r="N227" s="16" t="str">
        <f>IF(Country_3!$C28="","",Country_3!N28)</f>
        <v/>
      </c>
      <c r="O227" s="16" t="str">
        <f>IF(Country_3!$C28="","",Country_3!O28)</f>
        <v/>
      </c>
      <c r="P227" s="16" t="str">
        <f>IF(Country_3!$C28="","",Country_3!P28)</f>
        <v/>
      </c>
      <c r="Q227" s="16" t="str">
        <f>IF(Country_3!$C28="","",Country_3!Q28)</f>
        <v/>
      </c>
    </row>
    <row r="228" spans="1:17" x14ac:dyDescent="0.25">
      <c r="A228" s="16" t="str">
        <f>IF(Country_3!$C29="","",Country_3!A29)</f>
        <v/>
      </c>
      <c r="B228" s="16" t="str">
        <f>IF(Country_3!$C29="","",Country_3!B29)</f>
        <v/>
      </c>
      <c r="C228" s="16" t="str">
        <f>IF(Country_3!$C29="","",Country_3!C29)</f>
        <v/>
      </c>
      <c r="D228" s="16" t="str">
        <f>IF(Country_3!$C29="","",Country_3!D29)</f>
        <v/>
      </c>
      <c r="E228" s="16" t="str">
        <f>IF(Country_3!$C29="","",Country_3!E29)</f>
        <v/>
      </c>
      <c r="F228" s="16" t="str">
        <f>IF(Country_3!$C29="","",Country_3!F29)</f>
        <v/>
      </c>
      <c r="G228" s="17" t="str">
        <f>IF(Country_3!$C29="","",Country_3!G29)</f>
        <v/>
      </c>
      <c r="H228" s="17" t="str">
        <f>IF(Country_3!$C29="","",Country_3!H29)</f>
        <v/>
      </c>
      <c r="I228" s="16" t="str">
        <f>IF(Country_3!$C29="","",Country_3!I29)</f>
        <v/>
      </c>
      <c r="J228" s="16" t="str">
        <f>IF(Country_3!$C29="","",Country_3!J29)</f>
        <v/>
      </c>
      <c r="K228" s="18" t="str">
        <f>IF(Country_3!$C29="","",Country_3!K29)</f>
        <v/>
      </c>
      <c r="L228" s="18" t="str">
        <f>IF(Country_3!$C29="","",Country_3!L29)</f>
        <v/>
      </c>
      <c r="M228" s="19" t="str">
        <f>IF(Country_3!$C29="","",Country_3!M29)</f>
        <v/>
      </c>
      <c r="N228" s="16" t="str">
        <f>IF(Country_3!$C29="","",Country_3!N29)</f>
        <v/>
      </c>
      <c r="O228" s="16" t="str">
        <f>IF(Country_3!$C29="","",Country_3!O29)</f>
        <v/>
      </c>
      <c r="P228" s="16" t="str">
        <f>IF(Country_3!$C29="","",Country_3!P29)</f>
        <v/>
      </c>
      <c r="Q228" s="16" t="str">
        <f>IF(Country_3!$C29="","",Country_3!Q29)</f>
        <v/>
      </c>
    </row>
    <row r="229" spans="1:17" x14ac:dyDescent="0.25">
      <c r="A229" s="16" t="str">
        <f>IF(Country_3!$C30="","",Country_3!A30)</f>
        <v/>
      </c>
      <c r="B229" s="16" t="str">
        <f>IF(Country_3!$C30="","",Country_3!B30)</f>
        <v/>
      </c>
      <c r="C229" s="16" t="str">
        <f>IF(Country_3!$C30="","",Country_3!C30)</f>
        <v/>
      </c>
      <c r="D229" s="16" t="str">
        <f>IF(Country_3!$C30="","",Country_3!D30)</f>
        <v/>
      </c>
      <c r="E229" s="16" t="str">
        <f>IF(Country_3!$C30="","",Country_3!E30)</f>
        <v/>
      </c>
      <c r="F229" s="16" t="str">
        <f>IF(Country_3!$C30="","",Country_3!F30)</f>
        <v/>
      </c>
      <c r="G229" s="17" t="str">
        <f>IF(Country_3!$C30="","",Country_3!G30)</f>
        <v/>
      </c>
      <c r="H229" s="17" t="str">
        <f>IF(Country_3!$C30="","",Country_3!H30)</f>
        <v/>
      </c>
      <c r="I229" s="16" t="str">
        <f>IF(Country_3!$C30="","",Country_3!I30)</f>
        <v/>
      </c>
      <c r="J229" s="16" t="str">
        <f>IF(Country_3!$C30="","",Country_3!J30)</f>
        <v/>
      </c>
      <c r="K229" s="18" t="str">
        <f>IF(Country_3!$C30="","",Country_3!K30)</f>
        <v/>
      </c>
      <c r="L229" s="18" t="str">
        <f>IF(Country_3!$C30="","",Country_3!L30)</f>
        <v/>
      </c>
      <c r="M229" s="19" t="str">
        <f>IF(Country_3!$C30="","",Country_3!M30)</f>
        <v/>
      </c>
      <c r="N229" s="16" t="str">
        <f>IF(Country_3!$C30="","",Country_3!N30)</f>
        <v/>
      </c>
      <c r="O229" s="16" t="str">
        <f>IF(Country_3!$C30="","",Country_3!O30)</f>
        <v/>
      </c>
      <c r="P229" s="16" t="str">
        <f>IF(Country_3!$C30="","",Country_3!P30)</f>
        <v/>
      </c>
      <c r="Q229" s="16" t="str">
        <f>IF(Country_3!$C30="","",Country_3!Q30)</f>
        <v/>
      </c>
    </row>
    <row r="230" spans="1:17" x14ac:dyDescent="0.25">
      <c r="A230" s="16" t="str">
        <f>IF(Country_3!$C31="","",Country_3!A31)</f>
        <v/>
      </c>
      <c r="B230" s="16" t="str">
        <f>IF(Country_3!$C31="","",Country_3!B31)</f>
        <v/>
      </c>
      <c r="C230" s="16" t="str">
        <f>IF(Country_3!$C31="","",Country_3!C31)</f>
        <v/>
      </c>
      <c r="D230" s="16" t="str">
        <f>IF(Country_3!$C31="","",Country_3!D31)</f>
        <v/>
      </c>
      <c r="E230" s="16" t="str">
        <f>IF(Country_3!$C31="","",Country_3!E31)</f>
        <v/>
      </c>
      <c r="F230" s="16" t="str">
        <f>IF(Country_3!$C31="","",Country_3!F31)</f>
        <v/>
      </c>
      <c r="G230" s="17" t="str">
        <f>IF(Country_3!$C31="","",Country_3!G31)</f>
        <v/>
      </c>
      <c r="H230" s="17" t="str">
        <f>IF(Country_3!$C31="","",Country_3!H31)</f>
        <v/>
      </c>
      <c r="I230" s="16" t="str">
        <f>IF(Country_3!$C31="","",Country_3!I31)</f>
        <v/>
      </c>
      <c r="J230" s="16" t="str">
        <f>IF(Country_3!$C31="","",Country_3!J31)</f>
        <v/>
      </c>
      <c r="K230" s="18" t="str">
        <f>IF(Country_3!$C31="","",Country_3!K31)</f>
        <v/>
      </c>
      <c r="L230" s="18" t="str">
        <f>IF(Country_3!$C31="","",Country_3!L31)</f>
        <v/>
      </c>
      <c r="M230" s="19" t="str">
        <f>IF(Country_3!$C31="","",Country_3!M31)</f>
        <v/>
      </c>
      <c r="N230" s="16" t="str">
        <f>IF(Country_3!$C31="","",Country_3!N31)</f>
        <v/>
      </c>
      <c r="O230" s="16" t="str">
        <f>IF(Country_3!$C31="","",Country_3!O31)</f>
        <v/>
      </c>
      <c r="P230" s="16" t="str">
        <f>IF(Country_3!$C31="","",Country_3!P31)</f>
        <v/>
      </c>
      <c r="Q230" s="16" t="str">
        <f>IF(Country_3!$C31="","",Country_3!Q31)</f>
        <v/>
      </c>
    </row>
    <row r="231" spans="1:17" x14ac:dyDescent="0.25">
      <c r="A231" s="16" t="str">
        <f>IF(Country_3!$C32="","",Country_3!A32)</f>
        <v/>
      </c>
      <c r="B231" s="16" t="str">
        <f>IF(Country_3!$C32="","",Country_3!B32)</f>
        <v/>
      </c>
      <c r="C231" s="16" t="str">
        <f>IF(Country_3!$C32="","",Country_3!C32)</f>
        <v/>
      </c>
      <c r="D231" s="16" t="str">
        <f>IF(Country_3!$C32="","",Country_3!D32)</f>
        <v/>
      </c>
      <c r="E231" s="16" t="str">
        <f>IF(Country_3!$C32="","",Country_3!E32)</f>
        <v/>
      </c>
      <c r="F231" s="16" t="str">
        <f>IF(Country_3!$C32="","",Country_3!F32)</f>
        <v/>
      </c>
      <c r="G231" s="17" t="str">
        <f>IF(Country_3!$C32="","",Country_3!G32)</f>
        <v/>
      </c>
      <c r="H231" s="17" t="str">
        <f>IF(Country_3!$C32="","",Country_3!H32)</f>
        <v/>
      </c>
      <c r="I231" s="16" t="str">
        <f>IF(Country_3!$C32="","",Country_3!I32)</f>
        <v/>
      </c>
      <c r="J231" s="16" t="str">
        <f>IF(Country_3!$C32="","",Country_3!J32)</f>
        <v/>
      </c>
      <c r="K231" s="18" t="str">
        <f>IF(Country_3!$C32="","",Country_3!K32)</f>
        <v/>
      </c>
      <c r="L231" s="18" t="str">
        <f>IF(Country_3!$C32="","",Country_3!L32)</f>
        <v/>
      </c>
      <c r="M231" s="19" t="str">
        <f>IF(Country_3!$C32="","",Country_3!M32)</f>
        <v/>
      </c>
      <c r="N231" s="16" t="str">
        <f>IF(Country_3!$C32="","",Country_3!N32)</f>
        <v/>
      </c>
      <c r="O231" s="16" t="str">
        <f>IF(Country_3!$C32="","",Country_3!O32)</f>
        <v/>
      </c>
      <c r="P231" s="16" t="str">
        <f>IF(Country_3!$C32="","",Country_3!P32)</f>
        <v/>
      </c>
      <c r="Q231" s="16" t="str">
        <f>IF(Country_3!$C32="","",Country_3!Q32)</f>
        <v/>
      </c>
    </row>
    <row r="232" spans="1:17" x14ac:dyDescent="0.25">
      <c r="A232" s="16" t="str">
        <f>IF(Country_3!$C33="","",Country_3!A33)</f>
        <v/>
      </c>
      <c r="B232" s="16" t="str">
        <f>IF(Country_3!$C33="","",Country_3!B33)</f>
        <v/>
      </c>
      <c r="C232" s="16" t="str">
        <f>IF(Country_3!$C33="","",Country_3!C33)</f>
        <v/>
      </c>
      <c r="D232" s="16" t="str">
        <f>IF(Country_3!$C33="","",Country_3!D33)</f>
        <v/>
      </c>
      <c r="E232" s="16" t="str">
        <f>IF(Country_3!$C33="","",Country_3!E33)</f>
        <v/>
      </c>
      <c r="F232" s="16" t="str">
        <f>IF(Country_3!$C33="","",Country_3!F33)</f>
        <v/>
      </c>
      <c r="G232" s="17" t="str">
        <f>IF(Country_3!$C33="","",Country_3!G33)</f>
        <v/>
      </c>
      <c r="H232" s="17" t="str">
        <f>IF(Country_3!$C33="","",Country_3!H33)</f>
        <v/>
      </c>
      <c r="I232" s="16" t="str">
        <f>IF(Country_3!$C33="","",Country_3!I33)</f>
        <v/>
      </c>
      <c r="J232" s="16" t="str">
        <f>IF(Country_3!$C33="","",Country_3!J33)</f>
        <v/>
      </c>
      <c r="K232" s="18" t="str">
        <f>IF(Country_3!$C33="","",Country_3!K33)</f>
        <v/>
      </c>
      <c r="L232" s="18" t="str">
        <f>IF(Country_3!$C33="","",Country_3!L33)</f>
        <v/>
      </c>
      <c r="M232" s="19" t="str">
        <f>IF(Country_3!$C33="","",Country_3!M33)</f>
        <v/>
      </c>
      <c r="N232" s="16" t="str">
        <f>IF(Country_3!$C33="","",Country_3!N33)</f>
        <v/>
      </c>
      <c r="O232" s="16" t="str">
        <f>IF(Country_3!$C33="","",Country_3!O33)</f>
        <v/>
      </c>
      <c r="P232" s="16" t="str">
        <f>IF(Country_3!$C33="","",Country_3!P33)</f>
        <v/>
      </c>
      <c r="Q232" s="16" t="str">
        <f>IF(Country_3!$C33="","",Country_3!Q33)</f>
        <v/>
      </c>
    </row>
    <row r="233" spans="1:17" x14ac:dyDescent="0.25">
      <c r="A233" s="16" t="str">
        <f>IF(Country_3!$C34="","",Country_3!A34)</f>
        <v/>
      </c>
      <c r="B233" s="16" t="str">
        <f>IF(Country_3!$C34="","",Country_3!B34)</f>
        <v/>
      </c>
      <c r="C233" s="16" t="str">
        <f>IF(Country_3!$C34="","",Country_3!C34)</f>
        <v/>
      </c>
      <c r="D233" s="16" t="str">
        <f>IF(Country_3!$C34="","",Country_3!D34)</f>
        <v/>
      </c>
      <c r="E233" s="16" t="str">
        <f>IF(Country_3!$C34="","",Country_3!E34)</f>
        <v/>
      </c>
      <c r="F233" s="16" t="str">
        <f>IF(Country_3!$C34="","",Country_3!F34)</f>
        <v/>
      </c>
      <c r="G233" s="17" t="str">
        <f>IF(Country_3!$C34="","",Country_3!G34)</f>
        <v/>
      </c>
      <c r="H233" s="17" t="str">
        <f>IF(Country_3!$C34="","",Country_3!H34)</f>
        <v/>
      </c>
      <c r="I233" s="16" t="str">
        <f>IF(Country_3!$C34="","",Country_3!I34)</f>
        <v/>
      </c>
      <c r="J233" s="16" t="str">
        <f>IF(Country_3!$C34="","",Country_3!J34)</f>
        <v/>
      </c>
      <c r="K233" s="18" t="str">
        <f>IF(Country_3!$C34="","",Country_3!K34)</f>
        <v/>
      </c>
      <c r="L233" s="18" t="str">
        <f>IF(Country_3!$C34="","",Country_3!L34)</f>
        <v/>
      </c>
      <c r="M233" s="19" t="str">
        <f>IF(Country_3!$C34="","",Country_3!M34)</f>
        <v/>
      </c>
      <c r="N233" s="16" t="str">
        <f>IF(Country_3!$C34="","",Country_3!N34)</f>
        <v/>
      </c>
      <c r="O233" s="16" t="str">
        <f>IF(Country_3!$C34="","",Country_3!O34)</f>
        <v/>
      </c>
      <c r="P233" s="16" t="str">
        <f>IF(Country_3!$C34="","",Country_3!P34)</f>
        <v/>
      </c>
      <c r="Q233" s="16" t="str">
        <f>IF(Country_3!$C34="","",Country_3!Q34)</f>
        <v/>
      </c>
    </row>
    <row r="234" spans="1:17" x14ac:dyDescent="0.25">
      <c r="A234" s="16" t="str">
        <f>IF(Country_3!$C35="","",Country_3!A35)</f>
        <v/>
      </c>
      <c r="B234" s="16" t="str">
        <f>IF(Country_3!$C35="","",Country_3!B35)</f>
        <v/>
      </c>
      <c r="C234" s="16" t="str">
        <f>IF(Country_3!$C35="","",Country_3!C35)</f>
        <v/>
      </c>
      <c r="D234" s="16" t="str">
        <f>IF(Country_3!$C35="","",Country_3!D35)</f>
        <v/>
      </c>
      <c r="E234" s="16" t="str">
        <f>IF(Country_3!$C35="","",Country_3!E35)</f>
        <v/>
      </c>
      <c r="F234" s="16" t="str">
        <f>IF(Country_3!$C35="","",Country_3!F35)</f>
        <v/>
      </c>
      <c r="G234" s="17" t="str">
        <f>IF(Country_3!$C35="","",Country_3!G35)</f>
        <v/>
      </c>
      <c r="H234" s="17" t="str">
        <f>IF(Country_3!$C35="","",Country_3!H35)</f>
        <v/>
      </c>
      <c r="I234" s="16" t="str">
        <f>IF(Country_3!$C35="","",Country_3!I35)</f>
        <v/>
      </c>
      <c r="J234" s="16" t="str">
        <f>IF(Country_3!$C35="","",Country_3!J35)</f>
        <v/>
      </c>
      <c r="K234" s="18" t="str">
        <f>IF(Country_3!$C35="","",Country_3!K35)</f>
        <v/>
      </c>
      <c r="L234" s="18" t="str">
        <f>IF(Country_3!$C35="","",Country_3!L35)</f>
        <v/>
      </c>
      <c r="M234" s="19" t="str">
        <f>IF(Country_3!$C35="","",Country_3!M35)</f>
        <v/>
      </c>
      <c r="N234" s="16" t="str">
        <f>IF(Country_3!$C35="","",Country_3!N35)</f>
        <v/>
      </c>
      <c r="O234" s="16" t="str">
        <f>IF(Country_3!$C35="","",Country_3!O35)</f>
        <v/>
      </c>
      <c r="P234" s="16" t="str">
        <f>IF(Country_3!$C35="","",Country_3!P35)</f>
        <v/>
      </c>
      <c r="Q234" s="16" t="str">
        <f>IF(Country_3!$C35="","",Country_3!Q35)</f>
        <v/>
      </c>
    </row>
    <row r="235" spans="1:17" x14ac:dyDescent="0.25">
      <c r="A235" s="16" t="str">
        <f>IF(Country_3!$C36="","",Country_3!A36)</f>
        <v/>
      </c>
      <c r="B235" s="16" t="str">
        <f>IF(Country_3!$C36="","",Country_3!B36)</f>
        <v/>
      </c>
      <c r="C235" s="16" t="str">
        <f>IF(Country_3!$C36="","",Country_3!C36)</f>
        <v/>
      </c>
      <c r="D235" s="16" t="str">
        <f>IF(Country_3!$C36="","",Country_3!D36)</f>
        <v/>
      </c>
      <c r="E235" s="16" t="str">
        <f>IF(Country_3!$C36="","",Country_3!E36)</f>
        <v/>
      </c>
      <c r="F235" s="16" t="str">
        <f>IF(Country_3!$C36="","",Country_3!F36)</f>
        <v/>
      </c>
      <c r="G235" s="17" t="str">
        <f>IF(Country_3!$C36="","",Country_3!G36)</f>
        <v/>
      </c>
      <c r="H235" s="17" t="str">
        <f>IF(Country_3!$C36="","",Country_3!H36)</f>
        <v/>
      </c>
      <c r="I235" s="16" t="str">
        <f>IF(Country_3!$C36="","",Country_3!I36)</f>
        <v/>
      </c>
      <c r="J235" s="16" t="str">
        <f>IF(Country_3!$C36="","",Country_3!J36)</f>
        <v/>
      </c>
      <c r="K235" s="18" t="str">
        <f>IF(Country_3!$C36="","",Country_3!K36)</f>
        <v/>
      </c>
      <c r="L235" s="18" t="str">
        <f>IF(Country_3!$C36="","",Country_3!L36)</f>
        <v/>
      </c>
      <c r="M235" s="19" t="str">
        <f>IF(Country_3!$C36="","",Country_3!M36)</f>
        <v/>
      </c>
      <c r="N235" s="16" t="str">
        <f>IF(Country_3!$C36="","",Country_3!N36)</f>
        <v/>
      </c>
      <c r="O235" s="16" t="str">
        <f>IF(Country_3!$C36="","",Country_3!O36)</f>
        <v/>
      </c>
      <c r="P235" s="16" t="str">
        <f>IF(Country_3!$C36="","",Country_3!P36)</f>
        <v/>
      </c>
      <c r="Q235" s="16" t="str">
        <f>IF(Country_3!$C36="","",Country_3!Q36)</f>
        <v/>
      </c>
    </row>
    <row r="236" spans="1:17" x14ac:dyDescent="0.25">
      <c r="A236" s="16" t="str">
        <f>IF(Country_3!$C37="","",Country_3!A37)</f>
        <v/>
      </c>
      <c r="B236" s="16" t="str">
        <f>IF(Country_3!$C37="","",Country_3!B37)</f>
        <v/>
      </c>
      <c r="C236" s="16" t="str">
        <f>IF(Country_3!$C37="","",Country_3!C37)</f>
        <v/>
      </c>
      <c r="D236" s="16" t="str">
        <f>IF(Country_3!$C37="","",Country_3!D37)</f>
        <v/>
      </c>
      <c r="E236" s="16" t="str">
        <f>IF(Country_3!$C37="","",Country_3!E37)</f>
        <v/>
      </c>
      <c r="F236" s="16" t="str">
        <f>IF(Country_3!$C37="","",Country_3!F37)</f>
        <v/>
      </c>
      <c r="G236" s="17" t="str">
        <f>IF(Country_3!$C37="","",Country_3!G37)</f>
        <v/>
      </c>
      <c r="H236" s="17" t="str">
        <f>IF(Country_3!$C37="","",Country_3!H37)</f>
        <v/>
      </c>
      <c r="I236" s="16" t="str">
        <f>IF(Country_3!$C37="","",Country_3!I37)</f>
        <v/>
      </c>
      <c r="J236" s="16" t="str">
        <f>IF(Country_3!$C37="","",Country_3!J37)</f>
        <v/>
      </c>
      <c r="K236" s="18" t="str">
        <f>IF(Country_3!$C37="","",Country_3!K37)</f>
        <v/>
      </c>
      <c r="L236" s="18" t="str">
        <f>IF(Country_3!$C37="","",Country_3!L37)</f>
        <v/>
      </c>
      <c r="M236" s="19" t="str">
        <f>IF(Country_3!$C37="","",Country_3!M37)</f>
        <v/>
      </c>
      <c r="N236" s="16" t="str">
        <f>IF(Country_3!$C37="","",Country_3!N37)</f>
        <v/>
      </c>
      <c r="O236" s="16" t="str">
        <f>IF(Country_3!$C37="","",Country_3!O37)</f>
        <v/>
      </c>
      <c r="P236" s="16" t="str">
        <f>IF(Country_3!$C37="","",Country_3!P37)</f>
        <v/>
      </c>
      <c r="Q236" s="16" t="str">
        <f>IF(Country_3!$C37="","",Country_3!Q37)</f>
        <v/>
      </c>
    </row>
    <row r="237" spans="1:17" x14ac:dyDescent="0.25">
      <c r="A237" s="16" t="str">
        <f>IF(Country_3!$C38="","",Country_3!A38)</f>
        <v/>
      </c>
      <c r="B237" s="16" t="str">
        <f>IF(Country_3!$C38="","",Country_3!B38)</f>
        <v/>
      </c>
      <c r="C237" s="16" t="str">
        <f>IF(Country_3!$C38="","",Country_3!C38)</f>
        <v/>
      </c>
      <c r="D237" s="16" t="str">
        <f>IF(Country_3!$C38="","",Country_3!D38)</f>
        <v/>
      </c>
      <c r="E237" s="16" t="str">
        <f>IF(Country_3!$C38="","",Country_3!E38)</f>
        <v/>
      </c>
      <c r="F237" s="16" t="str">
        <f>IF(Country_3!$C38="","",Country_3!F38)</f>
        <v/>
      </c>
      <c r="G237" s="17" t="str">
        <f>IF(Country_3!$C38="","",Country_3!G38)</f>
        <v/>
      </c>
      <c r="H237" s="17" t="str">
        <f>IF(Country_3!$C38="","",Country_3!H38)</f>
        <v/>
      </c>
      <c r="I237" s="16" t="str">
        <f>IF(Country_3!$C38="","",Country_3!I38)</f>
        <v/>
      </c>
      <c r="J237" s="16" t="str">
        <f>IF(Country_3!$C38="","",Country_3!J38)</f>
        <v/>
      </c>
      <c r="K237" s="18" t="str">
        <f>IF(Country_3!$C38="","",Country_3!K38)</f>
        <v/>
      </c>
      <c r="L237" s="18" t="str">
        <f>IF(Country_3!$C38="","",Country_3!L38)</f>
        <v/>
      </c>
      <c r="M237" s="19" t="str">
        <f>IF(Country_3!$C38="","",Country_3!M38)</f>
        <v/>
      </c>
      <c r="N237" s="16" t="str">
        <f>IF(Country_3!$C38="","",Country_3!N38)</f>
        <v/>
      </c>
      <c r="O237" s="16" t="str">
        <f>IF(Country_3!$C38="","",Country_3!O38)</f>
        <v/>
      </c>
      <c r="P237" s="16" t="str">
        <f>IF(Country_3!$C38="","",Country_3!P38)</f>
        <v/>
      </c>
      <c r="Q237" s="16" t="str">
        <f>IF(Country_3!$C38="","",Country_3!Q38)</f>
        <v/>
      </c>
    </row>
    <row r="238" spans="1:17" x14ac:dyDescent="0.25">
      <c r="A238" s="16" t="str">
        <f>IF(Country_3!$C39="","",Country_3!A39)</f>
        <v/>
      </c>
      <c r="B238" s="16" t="str">
        <f>IF(Country_3!$C39="","",Country_3!B39)</f>
        <v/>
      </c>
      <c r="C238" s="16" t="str">
        <f>IF(Country_3!$C39="","",Country_3!C39)</f>
        <v/>
      </c>
      <c r="D238" s="16" t="str">
        <f>IF(Country_3!$C39="","",Country_3!D39)</f>
        <v/>
      </c>
      <c r="E238" s="16" t="str">
        <f>IF(Country_3!$C39="","",Country_3!E39)</f>
        <v/>
      </c>
      <c r="F238" s="16" t="str">
        <f>IF(Country_3!$C39="","",Country_3!F39)</f>
        <v/>
      </c>
      <c r="G238" s="17" t="str">
        <f>IF(Country_3!$C39="","",Country_3!G39)</f>
        <v/>
      </c>
      <c r="H238" s="17" t="str">
        <f>IF(Country_3!$C39="","",Country_3!H39)</f>
        <v/>
      </c>
      <c r="I238" s="16" t="str">
        <f>IF(Country_3!$C39="","",Country_3!I39)</f>
        <v/>
      </c>
      <c r="J238" s="16" t="str">
        <f>IF(Country_3!$C39="","",Country_3!J39)</f>
        <v/>
      </c>
      <c r="K238" s="18" t="str">
        <f>IF(Country_3!$C39="","",Country_3!K39)</f>
        <v/>
      </c>
      <c r="L238" s="18" t="str">
        <f>IF(Country_3!$C39="","",Country_3!L39)</f>
        <v/>
      </c>
      <c r="M238" s="19" t="str">
        <f>IF(Country_3!$C39="","",Country_3!M39)</f>
        <v/>
      </c>
      <c r="N238" s="16" t="str">
        <f>IF(Country_3!$C39="","",Country_3!N39)</f>
        <v/>
      </c>
      <c r="O238" s="16" t="str">
        <f>IF(Country_3!$C39="","",Country_3!O39)</f>
        <v/>
      </c>
      <c r="P238" s="16" t="str">
        <f>IF(Country_3!$C39="","",Country_3!P39)</f>
        <v/>
      </c>
      <c r="Q238" s="16" t="str">
        <f>IF(Country_3!$C39="","",Country_3!Q39)</f>
        <v/>
      </c>
    </row>
    <row r="239" spans="1:17" x14ac:dyDescent="0.25">
      <c r="A239" s="16" t="str">
        <f>IF(Country_3!$C40="","",Country_3!A40)</f>
        <v/>
      </c>
      <c r="B239" s="16" t="str">
        <f>IF(Country_3!$C40="","",Country_3!B40)</f>
        <v/>
      </c>
      <c r="C239" s="16" t="str">
        <f>IF(Country_3!$C40="","",Country_3!C40)</f>
        <v/>
      </c>
      <c r="D239" s="16" t="str">
        <f>IF(Country_3!$C40="","",Country_3!D40)</f>
        <v/>
      </c>
      <c r="E239" s="16" t="str">
        <f>IF(Country_3!$C40="","",Country_3!E40)</f>
        <v/>
      </c>
      <c r="F239" s="16" t="str">
        <f>IF(Country_3!$C40="","",Country_3!F40)</f>
        <v/>
      </c>
      <c r="G239" s="17" t="str">
        <f>IF(Country_3!$C40="","",Country_3!G40)</f>
        <v/>
      </c>
      <c r="H239" s="17" t="str">
        <f>IF(Country_3!$C40="","",Country_3!H40)</f>
        <v/>
      </c>
      <c r="I239" s="16" t="str">
        <f>IF(Country_3!$C40="","",Country_3!I40)</f>
        <v/>
      </c>
      <c r="J239" s="16" t="str">
        <f>IF(Country_3!$C40="","",Country_3!J40)</f>
        <v/>
      </c>
      <c r="K239" s="18" t="str">
        <f>IF(Country_3!$C40="","",Country_3!K40)</f>
        <v/>
      </c>
      <c r="L239" s="18" t="str">
        <f>IF(Country_3!$C40="","",Country_3!L40)</f>
        <v/>
      </c>
      <c r="M239" s="19" t="str">
        <f>IF(Country_3!$C40="","",Country_3!M40)</f>
        <v/>
      </c>
      <c r="N239" s="16" t="str">
        <f>IF(Country_3!$C40="","",Country_3!N40)</f>
        <v/>
      </c>
      <c r="O239" s="16" t="str">
        <f>IF(Country_3!$C40="","",Country_3!O40)</f>
        <v/>
      </c>
      <c r="P239" s="16" t="str">
        <f>IF(Country_3!$C40="","",Country_3!P40)</f>
        <v/>
      </c>
      <c r="Q239" s="16" t="str">
        <f>IF(Country_3!$C40="","",Country_3!Q40)</f>
        <v/>
      </c>
    </row>
    <row r="240" spans="1:17" x14ac:dyDescent="0.25">
      <c r="A240" s="16" t="str">
        <f>IF(Country_3!$C41="","",Country_3!A41)</f>
        <v/>
      </c>
      <c r="B240" s="16" t="str">
        <f>IF(Country_3!$C41="","",Country_3!B41)</f>
        <v/>
      </c>
      <c r="C240" s="16" t="str">
        <f>IF(Country_3!$C41="","",Country_3!C41)</f>
        <v/>
      </c>
      <c r="D240" s="16" t="str">
        <f>IF(Country_3!$C41="","",Country_3!D41)</f>
        <v/>
      </c>
      <c r="E240" s="16" t="str">
        <f>IF(Country_3!$C41="","",Country_3!E41)</f>
        <v/>
      </c>
      <c r="F240" s="16" t="str">
        <f>IF(Country_3!$C41="","",Country_3!F41)</f>
        <v/>
      </c>
      <c r="G240" s="17" t="str">
        <f>IF(Country_3!$C41="","",Country_3!G41)</f>
        <v/>
      </c>
      <c r="H240" s="17" t="str">
        <f>IF(Country_3!$C41="","",Country_3!H41)</f>
        <v/>
      </c>
      <c r="I240" s="16" t="str">
        <f>IF(Country_3!$C41="","",Country_3!I41)</f>
        <v/>
      </c>
      <c r="J240" s="16" t="str">
        <f>IF(Country_3!$C41="","",Country_3!J41)</f>
        <v/>
      </c>
      <c r="K240" s="18" t="str">
        <f>IF(Country_3!$C41="","",Country_3!K41)</f>
        <v/>
      </c>
      <c r="L240" s="18" t="str">
        <f>IF(Country_3!$C41="","",Country_3!L41)</f>
        <v/>
      </c>
      <c r="M240" s="19" t="str">
        <f>IF(Country_3!$C41="","",Country_3!M41)</f>
        <v/>
      </c>
      <c r="N240" s="16" t="str">
        <f>IF(Country_3!$C41="","",Country_3!N41)</f>
        <v/>
      </c>
      <c r="O240" s="16" t="str">
        <f>IF(Country_3!$C41="","",Country_3!O41)</f>
        <v/>
      </c>
      <c r="P240" s="16" t="str">
        <f>IF(Country_3!$C41="","",Country_3!P41)</f>
        <v/>
      </c>
      <c r="Q240" s="16" t="str">
        <f>IF(Country_3!$C41="","",Country_3!Q41)</f>
        <v/>
      </c>
    </row>
    <row r="241" spans="1:17" x14ac:dyDescent="0.25">
      <c r="A241" s="16" t="str">
        <f>IF(Country_3!$C42="","",Country_3!A42)</f>
        <v/>
      </c>
      <c r="B241" s="16" t="str">
        <f>IF(Country_3!$C42="","",Country_3!B42)</f>
        <v/>
      </c>
      <c r="C241" s="16" t="str">
        <f>IF(Country_3!$C42="","",Country_3!C42)</f>
        <v/>
      </c>
      <c r="D241" s="16" t="str">
        <f>IF(Country_3!$C42="","",Country_3!D42)</f>
        <v/>
      </c>
      <c r="E241" s="16" t="str">
        <f>IF(Country_3!$C42="","",Country_3!E42)</f>
        <v/>
      </c>
      <c r="F241" s="16" t="str">
        <f>IF(Country_3!$C42="","",Country_3!F42)</f>
        <v/>
      </c>
      <c r="G241" s="17" t="str">
        <f>IF(Country_3!$C42="","",Country_3!G42)</f>
        <v/>
      </c>
      <c r="H241" s="17" t="str">
        <f>IF(Country_3!$C42="","",Country_3!H42)</f>
        <v/>
      </c>
      <c r="I241" s="16" t="str">
        <f>IF(Country_3!$C42="","",Country_3!I42)</f>
        <v/>
      </c>
      <c r="J241" s="16" t="str">
        <f>IF(Country_3!$C42="","",Country_3!J42)</f>
        <v/>
      </c>
      <c r="K241" s="18" t="str">
        <f>IF(Country_3!$C42="","",Country_3!K42)</f>
        <v/>
      </c>
      <c r="L241" s="18" t="str">
        <f>IF(Country_3!$C42="","",Country_3!L42)</f>
        <v/>
      </c>
      <c r="M241" s="19" t="str">
        <f>IF(Country_3!$C42="","",Country_3!M42)</f>
        <v/>
      </c>
      <c r="N241" s="16" t="str">
        <f>IF(Country_3!$C42="","",Country_3!N42)</f>
        <v/>
      </c>
      <c r="O241" s="16" t="str">
        <f>IF(Country_3!$C42="","",Country_3!O42)</f>
        <v/>
      </c>
      <c r="P241" s="16" t="str">
        <f>IF(Country_3!$C42="","",Country_3!P42)</f>
        <v/>
      </c>
      <c r="Q241" s="16" t="str">
        <f>IF(Country_3!$C42="","",Country_3!Q42)</f>
        <v/>
      </c>
    </row>
    <row r="242" spans="1:17" x14ac:dyDescent="0.25">
      <c r="A242" s="16" t="str">
        <f>IF(Country_3!$C43="","",Country_3!A43)</f>
        <v/>
      </c>
      <c r="B242" s="16" t="str">
        <f>IF(Country_3!$C43="","",Country_3!B43)</f>
        <v/>
      </c>
      <c r="C242" s="16" t="str">
        <f>IF(Country_3!$C43="","",Country_3!C43)</f>
        <v/>
      </c>
      <c r="D242" s="16" t="str">
        <f>IF(Country_3!$C43="","",Country_3!D43)</f>
        <v/>
      </c>
      <c r="E242" s="16" t="str">
        <f>IF(Country_3!$C43="","",Country_3!E43)</f>
        <v/>
      </c>
      <c r="F242" s="16" t="str">
        <f>IF(Country_3!$C43="","",Country_3!F43)</f>
        <v/>
      </c>
      <c r="G242" s="17" t="str">
        <f>IF(Country_3!$C43="","",Country_3!G43)</f>
        <v/>
      </c>
      <c r="H242" s="17" t="str">
        <f>IF(Country_3!$C43="","",Country_3!H43)</f>
        <v/>
      </c>
      <c r="I242" s="16" t="str">
        <f>IF(Country_3!$C43="","",Country_3!I43)</f>
        <v/>
      </c>
      <c r="J242" s="16" t="str">
        <f>IF(Country_3!$C43="","",Country_3!J43)</f>
        <v/>
      </c>
      <c r="K242" s="18" t="str">
        <f>IF(Country_3!$C43="","",Country_3!K43)</f>
        <v/>
      </c>
      <c r="L242" s="18" t="str">
        <f>IF(Country_3!$C43="","",Country_3!L43)</f>
        <v/>
      </c>
      <c r="M242" s="19" t="str">
        <f>IF(Country_3!$C43="","",Country_3!M43)</f>
        <v/>
      </c>
      <c r="N242" s="16" t="str">
        <f>IF(Country_3!$C43="","",Country_3!N43)</f>
        <v/>
      </c>
      <c r="O242" s="16" t="str">
        <f>IF(Country_3!$C43="","",Country_3!O43)</f>
        <v/>
      </c>
      <c r="P242" s="16" t="str">
        <f>IF(Country_3!$C43="","",Country_3!P43)</f>
        <v/>
      </c>
      <c r="Q242" s="16" t="str">
        <f>IF(Country_3!$C43="","",Country_3!Q43)</f>
        <v/>
      </c>
    </row>
    <row r="243" spans="1:17" x14ac:dyDescent="0.25">
      <c r="A243" s="16" t="str">
        <f>IF(Country_3!$C44="","",Country_3!A44)</f>
        <v/>
      </c>
      <c r="B243" s="16" t="str">
        <f>IF(Country_3!$C44="","",Country_3!B44)</f>
        <v/>
      </c>
      <c r="C243" s="16" t="str">
        <f>IF(Country_3!$C44="","",Country_3!C44)</f>
        <v/>
      </c>
      <c r="D243" s="16" t="str">
        <f>IF(Country_3!$C44="","",Country_3!D44)</f>
        <v/>
      </c>
      <c r="E243" s="16" t="str">
        <f>IF(Country_3!$C44="","",Country_3!E44)</f>
        <v/>
      </c>
      <c r="F243" s="16" t="str">
        <f>IF(Country_3!$C44="","",Country_3!F44)</f>
        <v/>
      </c>
      <c r="G243" s="17" t="str">
        <f>IF(Country_3!$C44="","",Country_3!G44)</f>
        <v/>
      </c>
      <c r="H243" s="17" t="str">
        <f>IF(Country_3!$C44="","",Country_3!H44)</f>
        <v/>
      </c>
      <c r="I243" s="16" t="str">
        <f>IF(Country_3!$C44="","",Country_3!I44)</f>
        <v/>
      </c>
      <c r="J243" s="16" t="str">
        <f>IF(Country_3!$C44="","",Country_3!J44)</f>
        <v/>
      </c>
      <c r="K243" s="18" t="str">
        <f>IF(Country_3!$C44="","",Country_3!K44)</f>
        <v/>
      </c>
      <c r="L243" s="18" t="str">
        <f>IF(Country_3!$C44="","",Country_3!L44)</f>
        <v/>
      </c>
      <c r="M243" s="19" t="str">
        <f>IF(Country_3!$C44="","",Country_3!M44)</f>
        <v/>
      </c>
      <c r="N243" s="16" t="str">
        <f>IF(Country_3!$C44="","",Country_3!N44)</f>
        <v/>
      </c>
      <c r="O243" s="16" t="str">
        <f>IF(Country_3!$C44="","",Country_3!O44)</f>
        <v/>
      </c>
      <c r="P243" s="16" t="str">
        <f>IF(Country_3!$C44="","",Country_3!P44)</f>
        <v/>
      </c>
      <c r="Q243" s="16" t="str">
        <f>IF(Country_3!$C44="","",Country_3!Q44)</f>
        <v/>
      </c>
    </row>
    <row r="244" spans="1:17" x14ac:dyDescent="0.25">
      <c r="A244" s="16" t="str">
        <f>IF(Country_3!$C45="","",Country_3!A45)</f>
        <v/>
      </c>
      <c r="B244" s="16" t="str">
        <f>IF(Country_3!$C45="","",Country_3!B45)</f>
        <v/>
      </c>
      <c r="C244" s="16" t="str">
        <f>IF(Country_3!$C45="","",Country_3!C45)</f>
        <v/>
      </c>
      <c r="D244" s="16" t="str">
        <f>IF(Country_3!$C45="","",Country_3!D45)</f>
        <v/>
      </c>
      <c r="E244" s="16" t="str">
        <f>IF(Country_3!$C45="","",Country_3!E45)</f>
        <v/>
      </c>
      <c r="F244" s="16" t="str">
        <f>IF(Country_3!$C45="","",Country_3!F45)</f>
        <v/>
      </c>
      <c r="G244" s="17" t="str">
        <f>IF(Country_3!$C45="","",Country_3!G45)</f>
        <v/>
      </c>
      <c r="H244" s="17" t="str">
        <f>IF(Country_3!$C45="","",Country_3!H45)</f>
        <v/>
      </c>
      <c r="I244" s="16" t="str">
        <f>IF(Country_3!$C45="","",Country_3!I45)</f>
        <v/>
      </c>
      <c r="J244" s="16" t="str">
        <f>IF(Country_3!$C45="","",Country_3!J45)</f>
        <v/>
      </c>
      <c r="K244" s="18" t="str">
        <f>IF(Country_3!$C45="","",Country_3!K45)</f>
        <v/>
      </c>
      <c r="L244" s="18" t="str">
        <f>IF(Country_3!$C45="","",Country_3!L45)</f>
        <v/>
      </c>
      <c r="M244" s="19" t="str">
        <f>IF(Country_3!$C45="","",Country_3!M45)</f>
        <v/>
      </c>
      <c r="N244" s="16" t="str">
        <f>IF(Country_3!$C45="","",Country_3!N45)</f>
        <v/>
      </c>
      <c r="O244" s="16" t="str">
        <f>IF(Country_3!$C45="","",Country_3!O45)</f>
        <v/>
      </c>
      <c r="P244" s="16" t="str">
        <f>IF(Country_3!$C45="","",Country_3!P45)</f>
        <v/>
      </c>
      <c r="Q244" s="16" t="str">
        <f>IF(Country_3!$C45="","",Country_3!Q45)</f>
        <v/>
      </c>
    </row>
    <row r="245" spans="1:17" x14ac:dyDescent="0.25">
      <c r="A245" s="16" t="str">
        <f>IF(Country_3!$C46="","",Country_3!A46)</f>
        <v/>
      </c>
      <c r="B245" s="16" t="str">
        <f>IF(Country_3!$C46="","",Country_3!B46)</f>
        <v/>
      </c>
      <c r="C245" s="16" t="str">
        <f>IF(Country_3!$C46="","",Country_3!C46)</f>
        <v/>
      </c>
      <c r="D245" s="16" t="str">
        <f>IF(Country_3!$C46="","",Country_3!D46)</f>
        <v/>
      </c>
      <c r="E245" s="16" t="str">
        <f>IF(Country_3!$C46="","",Country_3!E46)</f>
        <v/>
      </c>
      <c r="F245" s="16" t="str">
        <f>IF(Country_3!$C46="","",Country_3!F46)</f>
        <v/>
      </c>
      <c r="G245" s="17" t="str">
        <f>IF(Country_3!$C46="","",Country_3!G46)</f>
        <v/>
      </c>
      <c r="H245" s="17" t="str">
        <f>IF(Country_3!$C46="","",Country_3!H46)</f>
        <v/>
      </c>
      <c r="I245" s="16" t="str">
        <f>IF(Country_3!$C46="","",Country_3!I46)</f>
        <v/>
      </c>
      <c r="J245" s="16" t="str">
        <f>IF(Country_3!$C46="","",Country_3!J46)</f>
        <v/>
      </c>
      <c r="K245" s="18" t="str">
        <f>IF(Country_3!$C46="","",Country_3!K46)</f>
        <v/>
      </c>
      <c r="L245" s="18" t="str">
        <f>IF(Country_3!$C46="","",Country_3!L46)</f>
        <v/>
      </c>
      <c r="M245" s="19" t="str">
        <f>IF(Country_3!$C46="","",Country_3!M46)</f>
        <v/>
      </c>
      <c r="N245" s="16" t="str">
        <f>IF(Country_3!$C46="","",Country_3!N46)</f>
        <v/>
      </c>
      <c r="O245" s="16" t="str">
        <f>IF(Country_3!$C46="","",Country_3!O46)</f>
        <v/>
      </c>
      <c r="P245" s="16" t="str">
        <f>IF(Country_3!$C46="","",Country_3!P46)</f>
        <v/>
      </c>
      <c r="Q245" s="16" t="str">
        <f>IF(Country_3!$C46="","",Country_3!Q46)</f>
        <v/>
      </c>
    </row>
    <row r="246" spans="1:17" x14ac:dyDescent="0.25">
      <c r="A246" s="16" t="str">
        <f>IF(Country_3!$C47="","",Country_3!A47)</f>
        <v/>
      </c>
      <c r="B246" s="16" t="str">
        <f>IF(Country_3!$C47="","",Country_3!B47)</f>
        <v/>
      </c>
      <c r="C246" s="16" t="str">
        <f>IF(Country_3!$C47="","",Country_3!C47)</f>
        <v/>
      </c>
      <c r="D246" s="16" t="str">
        <f>IF(Country_3!$C47="","",Country_3!D47)</f>
        <v/>
      </c>
      <c r="E246" s="16" t="str">
        <f>IF(Country_3!$C47="","",Country_3!E47)</f>
        <v/>
      </c>
      <c r="F246" s="16" t="str">
        <f>IF(Country_3!$C47="","",Country_3!F47)</f>
        <v/>
      </c>
      <c r="G246" s="17" t="str">
        <f>IF(Country_3!$C47="","",Country_3!G47)</f>
        <v/>
      </c>
      <c r="H246" s="17" t="str">
        <f>IF(Country_3!$C47="","",Country_3!H47)</f>
        <v/>
      </c>
      <c r="I246" s="16" t="str">
        <f>IF(Country_3!$C47="","",Country_3!I47)</f>
        <v/>
      </c>
      <c r="J246" s="16" t="str">
        <f>IF(Country_3!$C47="","",Country_3!J47)</f>
        <v/>
      </c>
      <c r="K246" s="18" t="str">
        <f>IF(Country_3!$C47="","",Country_3!K47)</f>
        <v/>
      </c>
      <c r="L246" s="18" t="str">
        <f>IF(Country_3!$C47="","",Country_3!L47)</f>
        <v/>
      </c>
      <c r="M246" s="19" t="str">
        <f>IF(Country_3!$C47="","",Country_3!M47)</f>
        <v/>
      </c>
      <c r="N246" s="16" t="str">
        <f>IF(Country_3!$C47="","",Country_3!N47)</f>
        <v/>
      </c>
      <c r="O246" s="16" t="str">
        <f>IF(Country_3!$C47="","",Country_3!O47)</f>
        <v/>
      </c>
      <c r="P246" s="16" t="str">
        <f>IF(Country_3!$C47="","",Country_3!P47)</f>
        <v/>
      </c>
      <c r="Q246" s="16" t="str">
        <f>IF(Country_3!$C47="","",Country_3!Q47)</f>
        <v/>
      </c>
    </row>
    <row r="247" spans="1:17" x14ac:dyDescent="0.25">
      <c r="A247" s="16" t="str">
        <f>IF(Country_3!$C48="","",Country_3!A48)</f>
        <v/>
      </c>
      <c r="B247" s="16" t="str">
        <f>IF(Country_3!$C48="","",Country_3!B48)</f>
        <v/>
      </c>
      <c r="C247" s="16" t="str">
        <f>IF(Country_3!$C48="","",Country_3!C48)</f>
        <v/>
      </c>
      <c r="D247" s="16" t="str">
        <f>IF(Country_3!$C48="","",Country_3!D48)</f>
        <v/>
      </c>
      <c r="E247" s="16" t="str">
        <f>IF(Country_3!$C48="","",Country_3!E48)</f>
        <v/>
      </c>
      <c r="F247" s="16" t="str">
        <f>IF(Country_3!$C48="","",Country_3!F48)</f>
        <v/>
      </c>
      <c r="G247" s="17" t="str">
        <f>IF(Country_3!$C48="","",Country_3!G48)</f>
        <v/>
      </c>
      <c r="H247" s="17" t="str">
        <f>IF(Country_3!$C48="","",Country_3!H48)</f>
        <v/>
      </c>
      <c r="I247" s="16" t="str">
        <f>IF(Country_3!$C48="","",Country_3!I48)</f>
        <v/>
      </c>
      <c r="J247" s="16" t="str">
        <f>IF(Country_3!$C48="","",Country_3!J48)</f>
        <v/>
      </c>
      <c r="K247" s="18" t="str">
        <f>IF(Country_3!$C48="","",Country_3!K48)</f>
        <v/>
      </c>
      <c r="L247" s="18" t="str">
        <f>IF(Country_3!$C48="","",Country_3!L48)</f>
        <v/>
      </c>
      <c r="M247" s="19" t="str">
        <f>IF(Country_3!$C48="","",Country_3!M48)</f>
        <v/>
      </c>
      <c r="N247" s="16" t="str">
        <f>IF(Country_3!$C48="","",Country_3!N48)</f>
        <v/>
      </c>
      <c r="O247" s="16" t="str">
        <f>IF(Country_3!$C48="","",Country_3!O48)</f>
        <v/>
      </c>
      <c r="P247" s="16" t="str">
        <f>IF(Country_3!$C48="","",Country_3!P48)</f>
        <v/>
      </c>
      <c r="Q247" s="16" t="str">
        <f>IF(Country_3!$C48="","",Country_3!Q48)</f>
        <v/>
      </c>
    </row>
    <row r="248" spans="1:17" x14ac:dyDescent="0.25">
      <c r="A248" s="16" t="str">
        <f>IF(Country_3!$C49="","",Country_3!A49)</f>
        <v/>
      </c>
      <c r="B248" s="16" t="str">
        <f>IF(Country_3!$C49="","",Country_3!B49)</f>
        <v/>
      </c>
      <c r="C248" s="16" t="str">
        <f>IF(Country_3!$C49="","",Country_3!C49)</f>
        <v/>
      </c>
      <c r="D248" s="16" t="str">
        <f>IF(Country_3!$C49="","",Country_3!D49)</f>
        <v/>
      </c>
      <c r="E248" s="16" t="str">
        <f>IF(Country_3!$C49="","",Country_3!E49)</f>
        <v/>
      </c>
      <c r="F248" s="16" t="str">
        <f>IF(Country_3!$C49="","",Country_3!F49)</f>
        <v/>
      </c>
      <c r="G248" s="17" t="str">
        <f>IF(Country_3!$C49="","",Country_3!G49)</f>
        <v/>
      </c>
      <c r="H248" s="17" t="str">
        <f>IF(Country_3!$C49="","",Country_3!H49)</f>
        <v/>
      </c>
      <c r="I248" s="16" t="str">
        <f>IF(Country_3!$C49="","",Country_3!I49)</f>
        <v/>
      </c>
      <c r="J248" s="16" t="str">
        <f>IF(Country_3!$C49="","",Country_3!J49)</f>
        <v/>
      </c>
      <c r="K248" s="18" t="str">
        <f>IF(Country_3!$C49="","",Country_3!K49)</f>
        <v/>
      </c>
      <c r="L248" s="18" t="str">
        <f>IF(Country_3!$C49="","",Country_3!L49)</f>
        <v/>
      </c>
      <c r="M248" s="19" t="str">
        <f>IF(Country_3!$C49="","",Country_3!M49)</f>
        <v/>
      </c>
      <c r="N248" s="16" t="str">
        <f>IF(Country_3!$C49="","",Country_3!N49)</f>
        <v/>
      </c>
      <c r="O248" s="16" t="str">
        <f>IF(Country_3!$C49="","",Country_3!O49)</f>
        <v/>
      </c>
      <c r="P248" s="16" t="str">
        <f>IF(Country_3!$C49="","",Country_3!P49)</f>
        <v/>
      </c>
      <c r="Q248" s="16" t="str">
        <f>IF(Country_3!$C49="","",Country_3!Q49)</f>
        <v/>
      </c>
    </row>
    <row r="249" spans="1:17" x14ac:dyDescent="0.25">
      <c r="A249" s="16" t="str">
        <f>IF(Country_3!$C50="","",Country_3!A50)</f>
        <v/>
      </c>
      <c r="B249" s="16" t="str">
        <f>IF(Country_3!$C50="","",Country_3!B50)</f>
        <v/>
      </c>
      <c r="C249" s="16" t="str">
        <f>IF(Country_3!$C50="","",Country_3!C50)</f>
        <v/>
      </c>
      <c r="D249" s="16" t="str">
        <f>IF(Country_3!$C50="","",Country_3!D50)</f>
        <v/>
      </c>
      <c r="E249" s="16" t="str">
        <f>IF(Country_3!$C50="","",Country_3!E50)</f>
        <v/>
      </c>
      <c r="F249" s="16" t="str">
        <f>IF(Country_3!$C50="","",Country_3!F50)</f>
        <v/>
      </c>
      <c r="G249" s="17" t="str">
        <f>IF(Country_3!$C50="","",Country_3!G50)</f>
        <v/>
      </c>
      <c r="H249" s="17" t="str">
        <f>IF(Country_3!$C50="","",Country_3!H50)</f>
        <v/>
      </c>
      <c r="I249" s="16" t="str">
        <f>IF(Country_3!$C50="","",Country_3!I50)</f>
        <v/>
      </c>
      <c r="J249" s="16" t="str">
        <f>IF(Country_3!$C50="","",Country_3!J50)</f>
        <v/>
      </c>
      <c r="K249" s="18" t="str">
        <f>IF(Country_3!$C50="","",Country_3!K50)</f>
        <v/>
      </c>
      <c r="L249" s="18" t="str">
        <f>IF(Country_3!$C50="","",Country_3!L50)</f>
        <v/>
      </c>
      <c r="M249" s="19" t="str">
        <f>IF(Country_3!$C50="","",Country_3!M50)</f>
        <v/>
      </c>
      <c r="N249" s="16" t="str">
        <f>IF(Country_3!$C50="","",Country_3!N50)</f>
        <v/>
      </c>
      <c r="O249" s="16" t="str">
        <f>IF(Country_3!$C50="","",Country_3!O50)</f>
        <v/>
      </c>
      <c r="P249" s="16" t="str">
        <f>IF(Country_3!$C50="","",Country_3!P50)</f>
        <v/>
      </c>
      <c r="Q249" s="16" t="str">
        <f>IF(Country_3!$C50="","",Country_3!Q50)</f>
        <v/>
      </c>
    </row>
    <row r="250" spans="1:17" x14ac:dyDescent="0.25">
      <c r="A250" s="16" t="str">
        <f>IF(Country_3!$C51="","",Country_3!A51)</f>
        <v/>
      </c>
      <c r="B250" s="16" t="str">
        <f>IF(Country_3!$C51="","",Country_3!B51)</f>
        <v/>
      </c>
      <c r="C250" s="16" t="str">
        <f>IF(Country_3!$C51="","",Country_3!C51)</f>
        <v/>
      </c>
      <c r="D250" s="16" t="str">
        <f>IF(Country_3!$C51="","",Country_3!D51)</f>
        <v/>
      </c>
      <c r="E250" s="16" t="str">
        <f>IF(Country_3!$C51="","",Country_3!E51)</f>
        <v/>
      </c>
      <c r="F250" s="16" t="str">
        <f>IF(Country_3!$C51="","",Country_3!F51)</f>
        <v/>
      </c>
      <c r="G250" s="17" t="str">
        <f>IF(Country_3!$C51="","",Country_3!G51)</f>
        <v/>
      </c>
      <c r="H250" s="17" t="str">
        <f>IF(Country_3!$C51="","",Country_3!H51)</f>
        <v/>
      </c>
      <c r="I250" s="16" t="str">
        <f>IF(Country_3!$C51="","",Country_3!I51)</f>
        <v/>
      </c>
      <c r="J250" s="16" t="str">
        <f>IF(Country_3!$C51="","",Country_3!J51)</f>
        <v/>
      </c>
      <c r="K250" s="18" t="str">
        <f>IF(Country_3!$C51="","",Country_3!K51)</f>
        <v/>
      </c>
      <c r="L250" s="18" t="str">
        <f>IF(Country_3!$C51="","",Country_3!L51)</f>
        <v/>
      </c>
      <c r="M250" s="19" t="str">
        <f>IF(Country_3!$C51="","",Country_3!M51)</f>
        <v/>
      </c>
      <c r="N250" s="16" t="str">
        <f>IF(Country_3!$C51="","",Country_3!N51)</f>
        <v/>
      </c>
      <c r="O250" s="16" t="str">
        <f>IF(Country_3!$C51="","",Country_3!O51)</f>
        <v/>
      </c>
      <c r="P250" s="16" t="str">
        <f>IF(Country_3!$C51="","",Country_3!P51)</f>
        <v/>
      </c>
      <c r="Q250" s="16" t="str">
        <f>IF(Country_3!$C51="","",Country_3!Q51)</f>
        <v/>
      </c>
    </row>
    <row r="251" spans="1:17" x14ac:dyDescent="0.25">
      <c r="A251" s="16" t="str">
        <f>IF(Country_3!$C52="","",Country_3!A52)</f>
        <v/>
      </c>
      <c r="B251" s="16" t="str">
        <f>IF(Country_3!$C52="","",Country_3!B52)</f>
        <v/>
      </c>
      <c r="C251" s="16" t="str">
        <f>IF(Country_3!$C52="","",Country_3!C52)</f>
        <v/>
      </c>
      <c r="D251" s="16" t="str">
        <f>IF(Country_3!$C52="","",Country_3!D52)</f>
        <v/>
      </c>
      <c r="E251" s="16" t="str">
        <f>IF(Country_3!$C52="","",Country_3!E52)</f>
        <v/>
      </c>
      <c r="F251" s="16" t="str">
        <f>IF(Country_3!$C52="","",Country_3!F52)</f>
        <v/>
      </c>
      <c r="G251" s="17" t="str">
        <f>IF(Country_3!$C52="","",Country_3!G52)</f>
        <v/>
      </c>
      <c r="H251" s="17" t="str">
        <f>IF(Country_3!$C52="","",Country_3!H52)</f>
        <v/>
      </c>
      <c r="I251" s="16" t="str">
        <f>IF(Country_3!$C52="","",Country_3!I52)</f>
        <v/>
      </c>
      <c r="J251" s="16" t="str">
        <f>IF(Country_3!$C52="","",Country_3!J52)</f>
        <v/>
      </c>
      <c r="K251" s="18" t="str">
        <f>IF(Country_3!$C52="","",Country_3!K52)</f>
        <v/>
      </c>
      <c r="L251" s="18" t="str">
        <f>IF(Country_3!$C52="","",Country_3!L52)</f>
        <v/>
      </c>
      <c r="M251" s="19" t="str">
        <f>IF(Country_3!$C52="","",Country_3!M52)</f>
        <v/>
      </c>
      <c r="N251" s="16" t="str">
        <f>IF(Country_3!$C52="","",Country_3!N52)</f>
        <v/>
      </c>
      <c r="O251" s="16" t="str">
        <f>IF(Country_3!$C52="","",Country_3!O52)</f>
        <v/>
      </c>
      <c r="P251" s="16" t="str">
        <f>IF(Country_3!$C52="","",Country_3!P52)</f>
        <v/>
      </c>
      <c r="Q251" s="16" t="str">
        <f>IF(Country_3!$C52="","",Country_3!Q52)</f>
        <v/>
      </c>
    </row>
    <row r="252" spans="1:17" x14ac:dyDescent="0.25">
      <c r="A252" s="16" t="str">
        <f>IF(Country_3!$C53="","",Country_3!A53)</f>
        <v/>
      </c>
      <c r="B252" s="16" t="str">
        <f>IF(Country_3!$C53="","",Country_3!B53)</f>
        <v/>
      </c>
      <c r="C252" s="16" t="str">
        <f>IF(Country_3!$C53="","",Country_3!C53)</f>
        <v/>
      </c>
      <c r="D252" s="16" t="str">
        <f>IF(Country_3!$C53="","",Country_3!D53)</f>
        <v/>
      </c>
      <c r="E252" s="16" t="str">
        <f>IF(Country_3!$C53="","",Country_3!E53)</f>
        <v/>
      </c>
      <c r="F252" s="16" t="str">
        <f>IF(Country_3!$C53="","",Country_3!F53)</f>
        <v/>
      </c>
      <c r="G252" s="17" t="str">
        <f>IF(Country_3!$C53="","",Country_3!G53)</f>
        <v/>
      </c>
      <c r="H252" s="17" t="str">
        <f>IF(Country_3!$C53="","",Country_3!H53)</f>
        <v/>
      </c>
      <c r="I252" s="16" t="str">
        <f>IF(Country_3!$C53="","",Country_3!I53)</f>
        <v/>
      </c>
      <c r="J252" s="16" t="str">
        <f>IF(Country_3!$C53="","",Country_3!J53)</f>
        <v/>
      </c>
      <c r="K252" s="18" t="str">
        <f>IF(Country_3!$C53="","",Country_3!K53)</f>
        <v/>
      </c>
      <c r="L252" s="18" t="str">
        <f>IF(Country_3!$C53="","",Country_3!L53)</f>
        <v/>
      </c>
      <c r="M252" s="19" t="str">
        <f>IF(Country_3!$C53="","",Country_3!M53)</f>
        <v/>
      </c>
      <c r="N252" s="16" t="str">
        <f>IF(Country_3!$C53="","",Country_3!N53)</f>
        <v/>
      </c>
      <c r="O252" s="16" t="str">
        <f>IF(Country_3!$C53="","",Country_3!O53)</f>
        <v/>
      </c>
      <c r="P252" s="16" t="str">
        <f>IF(Country_3!$C53="","",Country_3!P53)</f>
        <v/>
      </c>
      <c r="Q252" s="16" t="str">
        <f>IF(Country_3!$C53="","",Country_3!Q53)</f>
        <v/>
      </c>
    </row>
    <row r="253" spans="1:17" x14ac:dyDescent="0.25">
      <c r="A253" s="16" t="str">
        <f>IF(Country_3!$C54="","",Country_3!A54)</f>
        <v/>
      </c>
      <c r="B253" s="16" t="str">
        <f>IF(Country_3!$C54="","",Country_3!B54)</f>
        <v/>
      </c>
      <c r="C253" s="16" t="str">
        <f>IF(Country_3!$C54="","",Country_3!C54)</f>
        <v/>
      </c>
      <c r="D253" s="16" t="str">
        <f>IF(Country_3!$C54="","",Country_3!D54)</f>
        <v/>
      </c>
      <c r="E253" s="16" t="str">
        <f>IF(Country_3!$C54="","",Country_3!E54)</f>
        <v/>
      </c>
      <c r="F253" s="16" t="str">
        <f>IF(Country_3!$C54="","",Country_3!F54)</f>
        <v/>
      </c>
      <c r="G253" s="17" t="str">
        <f>IF(Country_3!$C54="","",Country_3!G54)</f>
        <v/>
      </c>
      <c r="H253" s="17" t="str">
        <f>IF(Country_3!$C54="","",Country_3!H54)</f>
        <v/>
      </c>
      <c r="I253" s="16" t="str">
        <f>IF(Country_3!$C54="","",Country_3!I54)</f>
        <v/>
      </c>
      <c r="J253" s="16" t="str">
        <f>IF(Country_3!$C54="","",Country_3!J54)</f>
        <v/>
      </c>
      <c r="K253" s="18" t="str">
        <f>IF(Country_3!$C54="","",Country_3!K54)</f>
        <v/>
      </c>
      <c r="L253" s="18" t="str">
        <f>IF(Country_3!$C54="","",Country_3!L54)</f>
        <v/>
      </c>
      <c r="M253" s="19" t="str">
        <f>IF(Country_3!$C54="","",Country_3!M54)</f>
        <v/>
      </c>
      <c r="N253" s="16" t="str">
        <f>IF(Country_3!$C54="","",Country_3!N54)</f>
        <v/>
      </c>
      <c r="O253" s="16" t="str">
        <f>IF(Country_3!$C54="","",Country_3!O54)</f>
        <v/>
      </c>
      <c r="P253" s="16" t="str">
        <f>IF(Country_3!$C54="","",Country_3!P54)</f>
        <v/>
      </c>
      <c r="Q253" s="16" t="str">
        <f>IF(Country_3!$C54="","",Country_3!Q54)</f>
        <v/>
      </c>
    </row>
    <row r="254" spans="1:17" x14ac:dyDescent="0.25">
      <c r="A254" s="16" t="str">
        <f>IF(Country_3!$C55="","",Country_3!A55)</f>
        <v/>
      </c>
      <c r="B254" s="16" t="str">
        <f>IF(Country_3!$C55="","",Country_3!B55)</f>
        <v/>
      </c>
      <c r="C254" s="16" t="str">
        <f>IF(Country_3!$C55="","",Country_3!C55)</f>
        <v/>
      </c>
      <c r="D254" s="16" t="str">
        <f>IF(Country_3!$C55="","",Country_3!D55)</f>
        <v/>
      </c>
      <c r="E254" s="16" t="str">
        <f>IF(Country_3!$C55="","",Country_3!E55)</f>
        <v/>
      </c>
      <c r="F254" s="16" t="str">
        <f>IF(Country_3!$C55="","",Country_3!F55)</f>
        <v/>
      </c>
      <c r="G254" s="17" t="str">
        <f>IF(Country_3!$C55="","",Country_3!G55)</f>
        <v/>
      </c>
      <c r="H254" s="17" t="str">
        <f>IF(Country_3!$C55="","",Country_3!H55)</f>
        <v/>
      </c>
      <c r="I254" s="16" t="str">
        <f>IF(Country_3!$C55="","",Country_3!I55)</f>
        <v/>
      </c>
      <c r="J254" s="16" t="str">
        <f>IF(Country_3!$C55="","",Country_3!J55)</f>
        <v/>
      </c>
      <c r="K254" s="18" t="str">
        <f>IF(Country_3!$C55="","",Country_3!K55)</f>
        <v/>
      </c>
      <c r="L254" s="18" t="str">
        <f>IF(Country_3!$C55="","",Country_3!L55)</f>
        <v/>
      </c>
      <c r="M254" s="19" t="str">
        <f>IF(Country_3!$C55="","",Country_3!M55)</f>
        <v/>
      </c>
      <c r="N254" s="16" t="str">
        <f>IF(Country_3!$C55="","",Country_3!N55)</f>
        <v/>
      </c>
      <c r="O254" s="16" t="str">
        <f>IF(Country_3!$C55="","",Country_3!O55)</f>
        <v/>
      </c>
      <c r="P254" s="16" t="str">
        <f>IF(Country_3!$C55="","",Country_3!P55)</f>
        <v/>
      </c>
      <c r="Q254" s="16" t="str">
        <f>IF(Country_3!$C55="","",Country_3!Q55)</f>
        <v/>
      </c>
    </row>
    <row r="255" spans="1:17" x14ac:dyDescent="0.25">
      <c r="A255" s="16" t="str">
        <f>IF(Country_3!$C56="","",Country_3!A56)</f>
        <v/>
      </c>
      <c r="B255" s="16" t="str">
        <f>IF(Country_3!$C56="","",Country_3!B56)</f>
        <v/>
      </c>
      <c r="C255" s="16" t="str">
        <f>IF(Country_3!$C56="","",Country_3!C56)</f>
        <v/>
      </c>
      <c r="D255" s="16" t="str">
        <f>IF(Country_3!$C56="","",Country_3!D56)</f>
        <v/>
      </c>
      <c r="E255" s="16" t="str">
        <f>IF(Country_3!$C56="","",Country_3!E56)</f>
        <v/>
      </c>
      <c r="F255" s="16" t="str">
        <f>IF(Country_3!$C56="","",Country_3!F56)</f>
        <v/>
      </c>
      <c r="G255" s="17" t="str">
        <f>IF(Country_3!$C56="","",Country_3!G56)</f>
        <v/>
      </c>
      <c r="H255" s="17" t="str">
        <f>IF(Country_3!$C56="","",Country_3!H56)</f>
        <v/>
      </c>
      <c r="I255" s="16" t="str">
        <f>IF(Country_3!$C56="","",Country_3!I56)</f>
        <v/>
      </c>
      <c r="J255" s="16" t="str">
        <f>IF(Country_3!$C56="","",Country_3!J56)</f>
        <v/>
      </c>
      <c r="K255" s="18" t="str">
        <f>IF(Country_3!$C56="","",Country_3!K56)</f>
        <v/>
      </c>
      <c r="L255" s="18" t="str">
        <f>IF(Country_3!$C56="","",Country_3!L56)</f>
        <v/>
      </c>
      <c r="M255" s="19" t="str">
        <f>IF(Country_3!$C56="","",Country_3!M56)</f>
        <v/>
      </c>
      <c r="N255" s="16" t="str">
        <f>IF(Country_3!$C56="","",Country_3!N56)</f>
        <v/>
      </c>
      <c r="O255" s="16" t="str">
        <f>IF(Country_3!$C56="","",Country_3!O56)</f>
        <v/>
      </c>
      <c r="P255" s="16" t="str">
        <f>IF(Country_3!$C56="","",Country_3!P56)</f>
        <v/>
      </c>
      <c r="Q255" s="16" t="str">
        <f>IF(Country_3!$C56="","",Country_3!Q56)</f>
        <v/>
      </c>
    </row>
    <row r="256" spans="1:17" x14ac:dyDescent="0.25">
      <c r="A256" s="16" t="str">
        <f>IF(Country_3!$C57="","",Country_3!A57)</f>
        <v/>
      </c>
      <c r="B256" s="16" t="str">
        <f>IF(Country_3!$C57="","",Country_3!B57)</f>
        <v/>
      </c>
      <c r="C256" s="16" t="str">
        <f>IF(Country_3!$C57="","",Country_3!C57)</f>
        <v/>
      </c>
      <c r="D256" s="16" t="str">
        <f>IF(Country_3!$C57="","",Country_3!D57)</f>
        <v/>
      </c>
      <c r="E256" s="16" t="str">
        <f>IF(Country_3!$C57="","",Country_3!E57)</f>
        <v/>
      </c>
      <c r="F256" s="16" t="str">
        <f>IF(Country_3!$C57="","",Country_3!F57)</f>
        <v/>
      </c>
      <c r="G256" s="17" t="str">
        <f>IF(Country_3!$C57="","",Country_3!G57)</f>
        <v/>
      </c>
      <c r="H256" s="17" t="str">
        <f>IF(Country_3!$C57="","",Country_3!H57)</f>
        <v/>
      </c>
      <c r="I256" s="16" t="str">
        <f>IF(Country_3!$C57="","",Country_3!I57)</f>
        <v/>
      </c>
      <c r="J256" s="16" t="str">
        <f>IF(Country_3!$C57="","",Country_3!J57)</f>
        <v/>
      </c>
      <c r="K256" s="18" t="str">
        <f>IF(Country_3!$C57="","",Country_3!K57)</f>
        <v/>
      </c>
      <c r="L256" s="18" t="str">
        <f>IF(Country_3!$C57="","",Country_3!L57)</f>
        <v/>
      </c>
      <c r="M256" s="19" t="str">
        <f>IF(Country_3!$C57="","",Country_3!M57)</f>
        <v/>
      </c>
      <c r="N256" s="16" t="str">
        <f>IF(Country_3!$C57="","",Country_3!N57)</f>
        <v/>
      </c>
      <c r="O256" s="16" t="str">
        <f>IF(Country_3!$C57="","",Country_3!O57)</f>
        <v/>
      </c>
      <c r="P256" s="16" t="str">
        <f>IF(Country_3!$C57="","",Country_3!P57)</f>
        <v/>
      </c>
      <c r="Q256" s="16" t="str">
        <f>IF(Country_3!$C57="","",Country_3!Q57)</f>
        <v/>
      </c>
    </row>
    <row r="257" spans="1:17" x14ac:dyDescent="0.25">
      <c r="A257" s="16" t="str">
        <f>IF(Country_3!$C58="","",Country_3!A58)</f>
        <v/>
      </c>
      <c r="B257" s="16" t="str">
        <f>IF(Country_3!$C58="","",Country_3!B58)</f>
        <v/>
      </c>
      <c r="C257" s="16" t="str">
        <f>IF(Country_3!$C58="","",Country_3!C58)</f>
        <v/>
      </c>
      <c r="D257" s="16" t="str">
        <f>IF(Country_3!$C58="","",Country_3!D58)</f>
        <v/>
      </c>
      <c r="E257" s="16" t="str">
        <f>IF(Country_3!$C58="","",Country_3!E58)</f>
        <v/>
      </c>
      <c r="F257" s="16" t="str">
        <f>IF(Country_3!$C58="","",Country_3!F58)</f>
        <v/>
      </c>
      <c r="G257" s="17" t="str">
        <f>IF(Country_3!$C58="","",Country_3!G58)</f>
        <v/>
      </c>
      <c r="H257" s="17" t="str">
        <f>IF(Country_3!$C58="","",Country_3!H58)</f>
        <v/>
      </c>
      <c r="I257" s="16" t="str">
        <f>IF(Country_3!$C58="","",Country_3!I58)</f>
        <v/>
      </c>
      <c r="J257" s="16" t="str">
        <f>IF(Country_3!$C58="","",Country_3!J58)</f>
        <v/>
      </c>
      <c r="K257" s="18" t="str">
        <f>IF(Country_3!$C58="","",Country_3!K58)</f>
        <v/>
      </c>
      <c r="L257" s="18" t="str">
        <f>IF(Country_3!$C58="","",Country_3!L58)</f>
        <v/>
      </c>
      <c r="M257" s="19" t="str">
        <f>IF(Country_3!$C58="","",Country_3!M58)</f>
        <v/>
      </c>
      <c r="N257" s="16" t="str">
        <f>IF(Country_3!$C58="","",Country_3!N58)</f>
        <v/>
      </c>
      <c r="O257" s="16" t="str">
        <f>IF(Country_3!$C58="","",Country_3!O58)</f>
        <v/>
      </c>
      <c r="P257" s="16" t="str">
        <f>IF(Country_3!$C58="","",Country_3!P58)</f>
        <v/>
      </c>
      <c r="Q257" s="16" t="str">
        <f>IF(Country_3!$C58="","",Country_3!Q58)</f>
        <v/>
      </c>
    </row>
    <row r="258" spans="1:17" x14ac:dyDescent="0.25">
      <c r="A258" s="16" t="str">
        <f>IF(Country_3!$C59="","",Country_3!A59)</f>
        <v/>
      </c>
      <c r="B258" s="16" t="str">
        <f>IF(Country_3!$C59="","",Country_3!B59)</f>
        <v/>
      </c>
      <c r="C258" s="16" t="str">
        <f>IF(Country_3!$C59="","",Country_3!C59)</f>
        <v/>
      </c>
      <c r="D258" s="16" t="str">
        <f>IF(Country_3!$C59="","",Country_3!D59)</f>
        <v/>
      </c>
      <c r="E258" s="16" t="str">
        <f>IF(Country_3!$C59="","",Country_3!E59)</f>
        <v/>
      </c>
      <c r="F258" s="16" t="str">
        <f>IF(Country_3!$C59="","",Country_3!F59)</f>
        <v/>
      </c>
      <c r="G258" s="17" t="str">
        <f>IF(Country_3!$C59="","",Country_3!G59)</f>
        <v/>
      </c>
      <c r="H258" s="17" t="str">
        <f>IF(Country_3!$C59="","",Country_3!H59)</f>
        <v/>
      </c>
      <c r="I258" s="16" t="str">
        <f>IF(Country_3!$C59="","",Country_3!I59)</f>
        <v/>
      </c>
      <c r="J258" s="16" t="str">
        <f>IF(Country_3!$C59="","",Country_3!J59)</f>
        <v/>
      </c>
      <c r="K258" s="18" t="str">
        <f>IF(Country_3!$C59="","",Country_3!K59)</f>
        <v/>
      </c>
      <c r="L258" s="18" t="str">
        <f>IF(Country_3!$C59="","",Country_3!L59)</f>
        <v/>
      </c>
      <c r="M258" s="19" t="str">
        <f>IF(Country_3!$C59="","",Country_3!M59)</f>
        <v/>
      </c>
      <c r="N258" s="16" t="str">
        <f>IF(Country_3!$C59="","",Country_3!N59)</f>
        <v/>
      </c>
      <c r="O258" s="16" t="str">
        <f>IF(Country_3!$C59="","",Country_3!O59)</f>
        <v/>
      </c>
      <c r="P258" s="16" t="str">
        <f>IF(Country_3!$C59="","",Country_3!P59)</f>
        <v/>
      </c>
      <c r="Q258" s="16" t="str">
        <f>IF(Country_3!$C59="","",Country_3!Q59)</f>
        <v/>
      </c>
    </row>
    <row r="259" spans="1:17" x14ac:dyDescent="0.25">
      <c r="A259" s="16" t="str">
        <f>IF(Country_3!$C60="","",Country_3!A60)</f>
        <v/>
      </c>
      <c r="B259" s="16" t="str">
        <f>IF(Country_3!$C60="","",Country_3!B60)</f>
        <v/>
      </c>
      <c r="C259" s="16" t="str">
        <f>IF(Country_3!$C60="","",Country_3!C60)</f>
        <v/>
      </c>
      <c r="D259" s="16" t="str">
        <f>IF(Country_3!$C60="","",Country_3!D60)</f>
        <v/>
      </c>
      <c r="E259" s="16" t="str">
        <f>IF(Country_3!$C60="","",Country_3!E60)</f>
        <v/>
      </c>
      <c r="F259" s="16" t="str">
        <f>IF(Country_3!$C60="","",Country_3!F60)</f>
        <v/>
      </c>
      <c r="G259" s="17" t="str">
        <f>IF(Country_3!$C60="","",Country_3!G60)</f>
        <v/>
      </c>
      <c r="H259" s="17" t="str">
        <f>IF(Country_3!$C60="","",Country_3!H60)</f>
        <v/>
      </c>
      <c r="I259" s="16" t="str">
        <f>IF(Country_3!$C60="","",Country_3!I60)</f>
        <v/>
      </c>
      <c r="J259" s="16" t="str">
        <f>IF(Country_3!$C60="","",Country_3!J60)</f>
        <v/>
      </c>
      <c r="K259" s="18" t="str">
        <f>IF(Country_3!$C60="","",Country_3!K60)</f>
        <v/>
      </c>
      <c r="L259" s="18" t="str">
        <f>IF(Country_3!$C60="","",Country_3!L60)</f>
        <v/>
      </c>
      <c r="M259" s="19" t="str">
        <f>IF(Country_3!$C60="","",Country_3!M60)</f>
        <v/>
      </c>
      <c r="N259" s="16" t="str">
        <f>IF(Country_3!$C60="","",Country_3!N60)</f>
        <v/>
      </c>
      <c r="O259" s="16" t="str">
        <f>IF(Country_3!$C60="","",Country_3!O60)</f>
        <v/>
      </c>
      <c r="P259" s="16" t="str">
        <f>IF(Country_3!$C60="","",Country_3!P60)</f>
        <v/>
      </c>
      <c r="Q259" s="16" t="str">
        <f>IF(Country_3!$C60="","",Country_3!Q60)</f>
        <v/>
      </c>
    </row>
    <row r="260" spans="1:17" x14ac:dyDescent="0.25">
      <c r="A260" s="16" t="str">
        <f>IF(Country_3!$C61="","",Country_3!A61)</f>
        <v/>
      </c>
      <c r="B260" s="16" t="str">
        <f>IF(Country_3!$C61="","",Country_3!B61)</f>
        <v/>
      </c>
      <c r="C260" s="16" t="str">
        <f>IF(Country_3!$C61="","",Country_3!C61)</f>
        <v/>
      </c>
      <c r="D260" s="16" t="str">
        <f>IF(Country_3!$C61="","",Country_3!D61)</f>
        <v/>
      </c>
      <c r="E260" s="16" t="str">
        <f>IF(Country_3!$C61="","",Country_3!E61)</f>
        <v/>
      </c>
      <c r="F260" s="16" t="str">
        <f>IF(Country_3!$C61="","",Country_3!F61)</f>
        <v/>
      </c>
      <c r="G260" s="17" t="str">
        <f>IF(Country_3!$C61="","",Country_3!G61)</f>
        <v/>
      </c>
      <c r="H260" s="17" t="str">
        <f>IF(Country_3!$C61="","",Country_3!H61)</f>
        <v/>
      </c>
      <c r="I260" s="16" t="str">
        <f>IF(Country_3!$C61="","",Country_3!I61)</f>
        <v/>
      </c>
      <c r="J260" s="16" t="str">
        <f>IF(Country_3!$C61="","",Country_3!J61)</f>
        <v/>
      </c>
      <c r="K260" s="18" t="str">
        <f>IF(Country_3!$C61="","",Country_3!K61)</f>
        <v/>
      </c>
      <c r="L260" s="18" t="str">
        <f>IF(Country_3!$C61="","",Country_3!L61)</f>
        <v/>
      </c>
      <c r="M260" s="19" t="str">
        <f>IF(Country_3!$C61="","",Country_3!M61)</f>
        <v/>
      </c>
      <c r="N260" s="16" t="str">
        <f>IF(Country_3!$C61="","",Country_3!N61)</f>
        <v/>
      </c>
      <c r="O260" s="16" t="str">
        <f>IF(Country_3!$C61="","",Country_3!O61)</f>
        <v/>
      </c>
      <c r="P260" s="16" t="str">
        <f>IF(Country_3!$C61="","",Country_3!P61)</f>
        <v/>
      </c>
      <c r="Q260" s="16" t="str">
        <f>IF(Country_3!$C61="","",Country_3!Q61)</f>
        <v/>
      </c>
    </row>
    <row r="261" spans="1:17" x14ac:dyDescent="0.25">
      <c r="A261" s="16" t="str">
        <f>IF(Country_3!$C62="","",Country_3!A62)</f>
        <v/>
      </c>
      <c r="B261" s="16" t="str">
        <f>IF(Country_3!$C62="","",Country_3!B62)</f>
        <v/>
      </c>
      <c r="C261" s="16" t="str">
        <f>IF(Country_3!$C62="","",Country_3!C62)</f>
        <v/>
      </c>
      <c r="D261" s="16" t="str">
        <f>IF(Country_3!$C62="","",Country_3!D62)</f>
        <v/>
      </c>
      <c r="E261" s="16" t="str">
        <f>IF(Country_3!$C62="","",Country_3!E62)</f>
        <v/>
      </c>
      <c r="F261" s="16" t="str">
        <f>IF(Country_3!$C62="","",Country_3!F62)</f>
        <v/>
      </c>
      <c r="G261" s="17" t="str">
        <f>IF(Country_3!$C62="","",Country_3!G62)</f>
        <v/>
      </c>
      <c r="H261" s="17" t="str">
        <f>IF(Country_3!$C62="","",Country_3!H62)</f>
        <v/>
      </c>
      <c r="I261" s="16" t="str">
        <f>IF(Country_3!$C62="","",Country_3!I62)</f>
        <v/>
      </c>
      <c r="J261" s="16" t="str">
        <f>IF(Country_3!$C62="","",Country_3!J62)</f>
        <v/>
      </c>
      <c r="K261" s="18" t="str">
        <f>IF(Country_3!$C62="","",Country_3!K62)</f>
        <v/>
      </c>
      <c r="L261" s="18" t="str">
        <f>IF(Country_3!$C62="","",Country_3!L62)</f>
        <v/>
      </c>
      <c r="M261" s="19" t="str">
        <f>IF(Country_3!$C62="","",Country_3!M62)</f>
        <v/>
      </c>
      <c r="N261" s="16" t="str">
        <f>IF(Country_3!$C62="","",Country_3!N62)</f>
        <v/>
      </c>
      <c r="O261" s="16" t="str">
        <f>IF(Country_3!$C62="","",Country_3!O62)</f>
        <v/>
      </c>
      <c r="P261" s="16" t="str">
        <f>IF(Country_3!$C62="","",Country_3!P62)</f>
        <v/>
      </c>
      <c r="Q261" s="16" t="str">
        <f>IF(Country_3!$C62="","",Country_3!Q62)</f>
        <v/>
      </c>
    </row>
    <row r="262" spans="1:17" x14ac:dyDescent="0.25">
      <c r="A262" s="16" t="str">
        <f>IF(Country_3!$C63="","",Country_3!A63)</f>
        <v/>
      </c>
      <c r="B262" s="16" t="str">
        <f>IF(Country_3!$C63="","",Country_3!B63)</f>
        <v/>
      </c>
      <c r="C262" s="16" t="str">
        <f>IF(Country_3!$C63="","",Country_3!C63)</f>
        <v/>
      </c>
      <c r="D262" s="16" t="str">
        <f>IF(Country_3!$C63="","",Country_3!D63)</f>
        <v/>
      </c>
      <c r="E262" s="16" t="str">
        <f>IF(Country_3!$C63="","",Country_3!E63)</f>
        <v/>
      </c>
      <c r="F262" s="16" t="str">
        <f>IF(Country_3!$C63="","",Country_3!F63)</f>
        <v/>
      </c>
      <c r="G262" s="17" t="str">
        <f>IF(Country_3!$C63="","",Country_3!G63)</f>
        <v/>
      </c>
      <c r="H262" s="17" t="str">
        <f>IF(Country_3!$C63="","",Country_3!H63)</f>
        <v/>
      </c>
      <c r="I262" s="16" t="str">
        <f>IF(Country_3!$C63="","",Country_3!I63)</f>
        <v/>
      </c>
      <c r="J262" s="16" t="str">
        <f>IF(Country_3!$C63="","",Country_3!J63)</f>
        <v/>
      </c>
      <c r="K262" s="18" t="str">
        <f>IF(Country_3!$C63="","",Country_3!K63)</f>
        <v/>
      </c>
      <c r="L262" s="18" t="str">
        <f>IF(Country_3!$C63="","",Country_3!L63)</f>
        <v/>
      </c>
      <c r="M262" s="19" t="str">
        <f>IF(Country_3!$C63="","",Country_3!M63)</f>
        <v/>
      </c>
      <c r="N262" s="16" t="str">
        <f>IF(Country_3!$C63="","",Country_3!N63)</f>
        <v/>
      </c>
      <c r="O262" s="16" t="str">
        <f>IF(Country_3!$C63="","",Country_3!O63)</f>
        <v/>
      </c>
      <c r="P262" s="16" t="str">
        <f>IF(Country_3!$C63="","",Country_3!P63)</f>
        <v/>
      </c>
      <c r="Q262" s="16" t="str">
        <f>IF(Country_3!$C63="","",Country_3!Q63)</f>
        <v/>
      </c>
    </row>
    <row r="263" spans="1:17" x14ac:dyDescent="0.25">
      <c r="A263" s="16" t="str">
        <f>IF(Country_3!$C64="","",Country_3!A64)</f>
        <v/>
      </c>
      <c r="B263" s="16" t="str">
        <f>IF(Country_3!$C64="","",Country_3!B64)</f>
        <v/>
      </c>
      <c r="C263" s="16" t="str">
        <f>IF(Country_3!$C64="","",Country_3!C64)</f>
        <v/>
      </c>
      <c r="D263" s="16" t="str">
        <f>IF(Country_3!$C64="","",Country_3!D64)</f>
        <v/>
      </c>
      <c r="E263" s="16" t="str">
        <f>IF(Country_3!$C64="","",Country_3!E64)</f>
        <v/>
      </c>
      <c r="F263" s="16" t="str">
        <f>IF(Country_3!$C64="","",Country_3!F64)</f>
        <v/>
      </c>
      <c r="G263" s="17" t="str">
        <f>IF(Country_3!$C64="","",Country_3!G64)</f>
        <v/>
      </c>
      <c r="H263" s="17" t="str">
        <f>IF(Country_3!$C64="","",Country_3!H64)</f>
        <v/>
      </c>
      <c r="I263" s="16" t="str">
        <f>IF(Country_3!$C64="","",Country_3!I64)</f>
        <v/>
      </c>
      <c r="J263" s="16" t="str">
        <f>IF(Country_3!$C64="","",Country_3!J64)</f>
        <v/>
      </c>
      <c r="K263" s="18" t="str">
        <f>IF(Country_3!$C64="","",Country_3!K64)</f>
        <v/>
      </c>
      <c r="L263" s="18" t="str">
        <f>IF(Country_3!$C64="","",Country_3!L64)</f>
        <v/>
      </c>
      <c r="M263" s="19" t="str">
        <f>IF(Country_3!$C64="","",Country_3!M64)</f>
        <v/>
      </c>
      <c r="N263" s="16" t="str">
        <f>IF(Country_3!$C64="","",Country_3!N64)</f>
        <v/>
      </c>
      <c r="O263" s="16" t="str">
        <f>IF(Country_3!$C64="","",Country_3!O64)</f>
        <v/>
      </c>
      <c r="P263" s="16" t="str">
        <f>IF(Country_3!$C64="","",Country_3!P64)</f>
        <v/>
      </c>
      <c r="Q263" s="16" t="str">
        <f>IF(Country_3!$C64="","",Country_3!Q64)</f>
        <v/>
      </c>
    </row>
    <row r="264" spans="1:17" x14ac:dyDescent="0.25">
      <c r="A264" s="16" t="str">
        <f>IF(Country_3!$C65="","",Country_3!A65)</f>
        <v/>
      </c>
      <c r="B264" s="16" t="str">
        <f>IF(Country_3!$C65="","",Country_3!B65)</f>
        <v/>
      </c>
      <c r="C264" s="16" t="str">
        <f>IF(Country_3!$C65="","",Country_3!C65)</f>
        <v/>
      </c>
      <c r="D264" s="16" t="str">
        <f>IF(Country_3!$C65="","",Country_3!D65)</f>
        <v/>
      </c>
      <c r="E264" s="16" t="str">
        <f>IF(Country_3!$C65="","",Country_3!E65)</f>
        <v/>
      </c>
      <c r="F264" s="16" t="str">
        <f>IF(Country_3!$C65="","",Country_3!F65)</f>
        <v/>
      </c>
      <c r="G264" s="17" t="str">
        <f>IF(Country_3!$C65="","",Country_3!G65)</f>
        <v/>
      </c>
      <c r="H264" s="17" t="str">
        <f>IF(Country_3!$C65="","",Country_3!H65)</f>
        <v/>
      </c>
      <c r="I264" s="16" t="str">
        <f>IF(Country_3!$C65="","",Country_3!I65)</f>
        <v/>
      </c>
      <c r="J264" s="16" t="str">
        <f>IF(Country_3!$C65="","",Country_3!J65)</f>
        <v/>
      </c>
      <c r="K264" s="18" t="str">
        <f>IF(Country_3!$C65="","",Country_3!K65)</f>
        <v/>
      </c>
      <c r="L264" s="18" t="str">
        <f>IF(Country_3!$C65="","",Country_3!L65)</f>
        <v/>
      </c>
      <c r="M264" s="19" t="str">
        <f>IF(Country_3!$C65="","",Country_3!M65)</f>
        <v/>
      </c>
      <c r="N264" s="16" t="str">
        <f>IF(Country_3!$C65="","",Country_3!N65)</f>
        <v/>
      </c>
      <c r="O264" s="16" t="str">
        <f>IF(Country_3!$C65="","",Country_3!O65)</f>
        <v/>
      </c>
      <c r="P264" s="16" t="str">
        <f>IF(Country_3!$C65="","",Country_3!P65)</f>
        <v/>
      </c>
      <c r="Q264" s="16" t="str">
        <f>IF(Country_3!$C65="","",Country_3!Q65)</f>
        <v/>
      </c>
    </row>
    <row r="265" spans="1:17" x14ac:dyDescent="0.25">
      <c r="A265" s="16" t="str">
        <f>IF(Country_3!$C66="","",Country_3!A66)</f>
        <v/>
      </c>
      <c r="B265" s="16" t="str">
        <f>IF(Country_3!$C66="","",Country_3!B66)</f>
        <v/>
      </c>
      <c r="C265" s="16" t="str">
        <f>IF(Country_3!$C66="","",Country_3!C66)</f>
        <v/>
      </c>
      <c r="D265" s="16" t="str">
        <f>IF(Country_3!$C66="","",Country_3!D66)</f>
        <v/>
      </c>
      <c r="E265" s="16" t="str">
        <f>IF(Country_3!$C66="","",Country_3!E66)</f>
        <v/>
      </c>
      <c r="F265" s="16" t="str">
        <f>IF(Country_3!$C66="","",Country_3!F66)</f>
        <v/>
      </c>
      <c r="G265" s="17" t="str">
        <f>IF(Country_3!$C66="","",Country_3!G66)</f>
        <v/>
      </c>
      <c r="H265" s="17" t="str">
        <f>IF(Country_3!$C66="","",Country_3!H66)</f>
        <v/>
      </c>
      <c r="I265" s="16" t="str">
        <f>IF(Country_3!$C66="","",Country_3!I66)</f>
        <v/>
      </c>
      <c r="J265" s="16" t="str">
        <f>IF(Country_3!$C66="","",Country_3!J66)</f>
        <v/>
      </c>
      <c r="K265" s="18" t="str">
        <f>IF(Country_3!$C66="","",Country_3!K66)</f>
        <v/>
      </c>
      <c r="L265" s="18" t="str">
        <f>IF(Country_3!$C66="","",Country_3!L66)</f>
        <v/>
      </c>
      <c r="M265" s="19" t="str">
        <f>IF(Country_3!$C66="","",Country_3!M66)</f>
        <v/>
      </c>
      <c r="N265" s="16" t="str">
        <f>IF(Country_3!$C66="","",Country_3!N66)</f>
        <v/>
      </c>
      <c r="O265" s="16" t="str">
        <f>IF(Country_3!$C66="","",Country_3!O66)</f>
        <v/>
      </c>
      <c r="P265" s="16" t="str">
        <f>IF(Country_3!$C66="","",Country_3!P66)</f>
        <v/>
      </c>
      <c r="Q265" s="16" t="str">
        <f>IF(Country_3!$C66="","",Country_3!Q66)</f>
        <v/>
      </c>
    </row>
    <row r="266" spans="1:17" x14ac:dyDescent="0.25">
      <c r="A266" s="16" t="str">
        <f>IF(Country_3!$C67="","",Country_3!A67)</f>
        <v/>
      </c>
      <c r="B266" s="16" t="str">
        <f>IF(Country_3!$C67="","",Country_3!B67)</f>
        <v/>
      </c>
      <c r="C266" s="16" t="str">
        <f>IF(Country_3!$C67="","",Country_3!C67)</f>
        <v/>
      </c>
      <c r="D266" s="16" t="str">
        <f>IF(Country_3!$C67="","",Country_3!D67)</f>
        <v/>
      </c>
      <c r="E266" s="16" t="str">
        <f>IF(Country_3!$C67="","",Country_3!E67)</f>
        <v/>
      </c>
      <c r="F266" s="16" t="str">
        <f>IF(Country_3!$C67="","",Country_3!F67)</f>
        <v/>
      </c>
      <c r="G266" s="17" t="str">
        <f>IF(Country_3!$C67="","",Country_3!G67)</f>
        <v/>
      </c>
      <c r="H266" s="17" t="str">
        <f>IF(Country_3!$C67="","",Country_3!H67)</f>
        <v/>
      </c>
      <c r="I266" s="16" t="str">
        <f>IF(Country_3!$C67="","",Country_3!I67)</f>
        <v/>
      </c>
      <c r="J266" s="16" t="str">
        <f>IF(Country_3!$C67="","",Country_3!J67)</f>
        <v/>
      </c>
      <c r="K266" s="18" t="str">
        <f>IF(Country_3!$C67="","",Country_3!K67)</f>
        <v/>
      </c>
      <c r="L266" s="18" t="str">
        <f>IF(Country_3!$C67="","",Country_3!L67)</f>
        <v/>
      </c>
      <c r="M266" s="19" t="str">
        <f>IF(Country_3!$C67="","",Country_3!M67)</f>
        <v/>
      </c>
      <c r="N266" s="16" t="str">
        <f>IF(Country_3!$C67="","",Country_3!N67)</f>
        <v/>
      </c>
      <c r="O266" s="16" t="str">
        <f>IF(Country_3!$C67="","",Country_3!O67)</f>
        <v/>
      </c>
      <c r="P266" s="16" t="str">
        <f>IF(Country_3!$C67="","",Country_3!P67)</f>
        <v/>
      </c>
      <c r="Q266" s="16" t="str">
        <f>IF(Country_3!$C67="","",Country_3!Q67)</f>
        <v/>
      </c>
    </row>
    <row r="267" spans="1:17" x14ac:dyDescent="0.25">
      <c r="A267" s="16" t="str">
        <f>IF(Country_3!$C68="","",Country_3!A68)</f>
        <v/>
      </c>
      <c r="B267" s="16" t="str">
        <f>IF(Country_3!$C68="","",Country_3!B68)</f>
        <v/>
      </c>
      <c r="C267" s="16" t="str">
        <f>IF(Country_3!$C68="","",Country_3!C68)</f>
        <v/>
      </c>
      <c r="D267" s="16" t="str">
        <f>IF(Country_3!$C68="","",Country_3!D68)</f>
        <v/>
      </c>
      <c r="E267" s="16" t="str">
        <f>IF(Country_3!$C68="","",Country_3!E68)</f>
        <v/>
      </c>
      <c r="F267" s="16" t="str">
        <f>IF(Country_3!$C68="","",Country_3!F68)</f>
        <v/>
      </c>
      <c r="G267" s="17" t="str">
        <f>IF(Country_3!$C68="","",Country_3!G68)</f>
        <v/>
      </c>
      <c r="H267" s="17" t="str">
        <f>IF(Country_3!$C68="","",Country_3!H68)</f>
        <v/>
      </c>
      <c r="I267" s="16" t="str">
        <f>IF(Country_3!$C68="","",Country_3!I68)</f>
        <v/>
      </c>
      <c r="J267" s="16" t="str">
        <f>IF(Country_3!$C68="","",Country_3!J68)</f>
        <v/>
      </c>
      <c r="K267" s="18" t="str">
        <f>IF(Country_3!$C68="","",Country_3!K68)</f>
        <v/>
      </c>
      <c r="L267" s="18" t="str">
        <f>IF(Country_3!$C68="","",Country_3!L68)</f>
        <v/>
      </c>
      <c r="M267" s="19" t="str">
        <f>IF(Country_3!$C68="","",Country_3!M68)</f>
        <v/>
      </c>
      <c r="N267" s="16" t="str">
        <f>IF(Country_3!$C68="","",Country_3!N68)</f>
        <v/>
      </c>
      <c r="O267" s="16" t="str">
        <f>IF(Country_3!$C68="","",Country_3!O68)</f>
        <v/>
      </c>
      <c r="P267" s="16" t="str">
        <f>IF(Country_3!$C68="","",Country_3!P68)</f>
        <v/>
      </c>
      <c r="Q267" s="16" t="str">
        <f>IF(Country_3!$C68="","",Country_3!Q68)</f>
        <v/>
      </c>
    </row>
    <row r="268" spans="1:17" x14ac:dyDescent="0.25">
      <c r="A268" s="16" t="str">
        <f>IF(Country_3!$C69="","",Country_3!A69)</f>
        <v/>
      </c>
      <c r="B268" s="16" t="str">
        <f>IF(Country_3!$C69="","",Country_3!B69)</f>
        <v/>
      </c>
      <c r="C268" s="16" t="str">
        <f>IF(Country_3!$C69="","",Country_3!C69)</f>
        <v/>
      </c>
      <c r="D268" s="16" t="str">
        <f>IF(Country_3!$C69="","",Country_3!D69)</f>
        <v/>
      </c>
      <c r="E268" s="16" t="str">
        <f>IF(Country_3!$C69="","",Country_3!E69)</f>
        <v/>
      </c>
      <c r="F268" s="16" t="str">
        <f>IF(Country_3!$C69="","",Country_3!F69)</f>
        <v/>
      </c>
      <c r="G268" s="17" t="str">
        <f>IF(Country_3!$C69="","",Country_3!G69)</f>
        <v/>
      </c>
      <c r="H268" s="17" t="str">
        <f>IF(Country_3!$C69="","",Country_3!H69)</f>
        <v/>
      </c>
      <c r="I268" s="16" t="str">
        <f>IF(Country_3!$C69="","",Country_3!I69)</f>
        <v/>
      </c>
      <c r="J268" s="16" t="str">
        <f>IF(Country_3!$C69="","",Country_3!J69)</f>
        <v/>
      </c>
      <c r="K268" s="18" t="str">
        <f>IF(Country_3!$C69="","",Country_3!K69)</f>
        <v/>
      </c>
      <c r="L268" s="18" t="str">
        <f>IF(Country_3!$C69="","",Country_3!L69)</f>
        <v/>
      </c>
      <c r="M268" s="19" t="str">
        <f>IF(Country_3!$C69="","",Country_3!M69)</f>
        <v/>
      </c>
      <c r="N268" s="16" t="str">
        <f>IF(Country_3!$C69="","",Country_3!N69)</f>
        <v/>
      </c>
      <c r="O268" s="16" t="str">
        <f>IF(Country_3!$C69="","",Country_3!O69)</f>
        <v/>
      </c>
      <c r="P268" s="16" t="str">
        <f>IF(Country_3!$C69="","",Country_3!P69)</f>
        <v/>
      </c>
      <c r="Q268" s="16" t="str">
        <f>IF(Country_3!$C69="","",Country_3!Q69)</f>
        <v/>
      </c>
    </row>
    <row r="269" spans="1:17" x14ac:dyDescent="0.25">
      <c r="A269" s="16" t="str">
        <f>IF(Country_3!$C70="","",Country_3!A70)</f>
        <v/>
      </c>
      <c r="B269" s="16" t="str">
        <f>IF(Country_3!$C70="","",Country_3!B70)</f>
        <v/>
      </c>
      <c r="C269" s="16" t="str">
        <f>IF(Country_3!$C70="","",Country_3!C70)</f>
        <v/>
      </c>
      <c r="D269" s="16" t="str">
        <f>IF(Country_3!$C70="","",Country_3!D70)</f>
        <v/>
      </c>
      <c r="E269" s="16" t="str">
        <f>IF(Country_3!$C70="","",Country_3!E70)</f>
        <v/>
      </c>
      <c r="F269" s="16" t="str">
        <f>IF(Country_3!$C70="","",Country_3!F70)</f>
        <v/>
      </c>
      <c r="G269" s="17" t="str">
        <f>IF(Country_3!$C70="","",Country_3!G70)</f>
        <v/>
      </c>
      <c r="H269" s="17" t="str">
        <f>IF(Country_3!$C70="","",Country_3!H70)</f>
        <v/>
      </c>
      <c r="I269" s="16" t="str">
        <f>IF(Country_3!$C70="","",Country_3!I70)</f>
        <v/>
      </c>
      <c r="J269" s="16" t="str">
        <f>IF(Country_3!$C70="","",Country_3!J70)</f>
        <v/>
      </c>
      <c r="K269" s="18" t="str">
        <f>IF(Country_3!$C70="","",Country_3!K70)</f>
        <v/>
      </c>
      <c r="L269" s="18" t="str">
        <f>IF(Country_3!$C70="","",Country_3!L70)</f>
        <v/>
      </c>
      <c r="M269" s="19" t="str">
        <f>IF(Country_3!$C70="","",Country_3!M70)</f>
        <v/>
      </c>
      <c r="N269" s="16" t="str">
        <f>IF(Country_3!$C70="","",Country_3!N70)</f>
        <v/>
      </c>
      <c r="O269" s="16" t="str">
        <f>IF(Country_3!$C70="","",Country_3!O70)</f>
        <v/>
      </c>
      <c r="P269" s="16" t="str">
        <f>IF(Country_3!$C70="","",Country_3!P70)</f>
        <v/>
      </c>
      <c r="Q269" s="16" t="str">
        <f>IF(Country_3!$C70="","",Country_3!Q70)</f>
        <v/>
      </c>
    </row>
    <row r="270" spans="1:17" x14ac:dyDescent="0.25">
      <c r="A270" s="16" t="str">
        <f>IF(Country_3!$C71="","",Country_3!A71)</f>
        <v/>
      </c>
      <c r="B270" s="16" t="str">
        <f>IF(Country_3!$C71="","",Country_3!B71)</f>
        <v/>
      </c>
      <c r="C270" s="16" t="str">
        <f>IF(Country_3!$C71="","",Country_3!C71)</f>
        <v/>
      </c>
      <c r="D270" s="16" t="str">
        <f>IF(Country_3!$C71="","",Country_3!D71)</f>
        <v/>
      </c>
      <c r="E270" s="16" t="str">
        <f>IF(Country_3!$C71="","",Country_3!E71)</f>
        <v/>
      </c>
      <c r="F270" s="16" t="str">
        <f>IF(Country_3!$C71="","",Country_3!F71)</f>
        <v/>
      </c>
      <c r="G270" s="17" t="str">
        <f>IF(Country_3!$C71="","",Country_3!G71)</f>
        <v/>
      </c>
      <c r="H270" s="17" t="str">
        <f>IF(Country_3!$C71="","",Country_3!H71)</f>
        <v/>
      </c>
      <c r="I270" s="16" t="str">
        <f>IF(Country_3!$C71="","",Country_3!I71)</f>
        <v/>
      </c>
      <c r="J270" s="16" t="str">
        <f>IF(Country_3!$C71="","",Country_3!J71)</f>
        <v/>
      </c>
      <c r="K270" s="18" t="str">
        <f>IF(Country_3!$C71="","",Country_3!K71)</f>
        <v/>
      </c>
      <c r="L270" s="18" t="str">
        <f>IF(Country_3!$C71="","",Country_3!L71)</f>
        <v/>
      </c>
      <c r="M270" s="19" t="str">
        <f>IF(Country_3!$C71="","",Country_3!M71)</f>
        <v/>
      </c>
      <c r="N270" s="16" t="str">
        <f>IF(Country_3!$C71="","",Country_3!N71)</f>
        <v/>
      </c>
      <c r="O270" s="16" t="str">
        <f>IF(Country_3!$C71="","",Country_3!O71)</f>
        <v/>
      </c>
      <c r="P270" s="16" t="str">
        <f>IF(Country_3!$C71="","",Country_3!P71)</f>
        <v/>
      </c>
      <c r="Q270" s="16" t="str">
        <f>IF(Country_3!$C71="","",Country_3!Q71)</f>
        <v/>
      </c>
    </row>
    <row r="271" spans="1:17" x14ac:dyDescent="0.25">
      <c r="A271" s="16" t="str">
        <f>IF(Country_3!$C72="","",Country_3!A72)</f>
        <v/>
      </c>
      <c r="B271" s="16" t="str">
        <f>IF(Country_3!$C72="","",Country_3!B72)</f>
        <v/>
      </c>
      <c r="C271" s="16" t="str">
        <f>IF(Country_3!$C72="","",Country_3!C72)</f>
        <v/>
      </c>
      <c r="D271" s="16" t="str">
        <f>IF(Country_3!$C72="","",Country_3!D72)</f>
        <v/>
      </c>
      <c r="E271" s="16" t="str">
        <f>IF(Country_3!$C72="","",Country_3!E72)</f>
        <v/>
      </c>
      <c r="F271" s="16" t="str">
        <f>IF(Country_3!$C72="","",Country_3!F72)</f>
        <v/>
      </c>
      <c r="G271" s="17" t="str">
        <f>IF(Country_3!$C72="","",Country_3!G72)</f>
        <v/>
      </c>
      <c r="H271" s="17" t="str">
        <f>IF(Country_3!$C72="","",Country_3!H72)</f>
        <v/>
      </c>
      <c r="I271" s="16" t="str">
        <f>IF(Country_3!$C72="","",Country_3!I72)</f>
        <v/>
      </c>
      <c r="J271" s="16" t="str">
        <f>IF(Country_3!$C72="","",Country_3!J72)</f>
        <v/>
      </c>
      <c r="K271" s="18" t="str">
        <f>IF(Country_3!$C72="","",Country_3!K72)</f>
        <v/>
      </c>
      <c r="L271" s="18" t="str">
        <f>IF(Country_3!$C72="","",Country_3!L72)</f>
        <v/>
      </c>
      <c r="M271" s="19" t="str">
        <f>IF(Country_3!$C72="","",Country_3!M72)</f>
        <v/>
      </c>
      <c r="N271" s="16" t="str">
        <f>IF(Country_3!$C72="","",Country_3!N72)</f>
        <v/>
      </c>
      <c r="O271" s="16" t="str">
        <f>IF(Country_3!$C72="","",Country_3!O72)</f>
        <v/>
      </c>
      <c r="P271" s="16" t="str">
        <f>IF(Country_3!$C72="","",Country_3!P72)</f>
        <v/>
      </c>
      <c r="Q271" s="16" t="str">
        <f>IF(Country_3!$C72="","",Country_3!Q72)</f>
        <v/>
      </c>
    </row>
    <row r="272" spans="1:17" x14ac:dyDescent="0.25">
      <c r="A272" s="16" t="str">
        <f>IF(Country_3!$C73="","",Country_3!A73)</f>
        <v/>
      </c>
      <c r="B272" s="16" t="str">
        <f>IF(Country_3!$C73="","",Country_3!B73)</f>
        <v/>
      </c>
      <c r="C272" s="16" t="str">
        <f>IF(Country_3!$C73="","",Country_3!C73)</f>
        <v/>
      </c>
      <c r="D272" s="16" t="str">
        <f>IF(Country_3!$C73="","",Country_3!D73)</f>
        <v/>
      </c>
      <c r="E272" s="16" t="str">
        <f>IF(Country_3!$C73="","",Country_3!E73)</f>
        <v/>
      </c>
      <c r="F272" s="16" t="str">
        <f>IF(Country_3!$C73="","",Country_3!F73)</f>
        <v/>
      </c>
      <c r="G272" s="17" t="str">
        <f>IF(Country_3!$C73="","",Country_3!G73)</f>
        <v/>
      </c>
      <c r="H272" s="17" t="str">
        <f>IF(Country_3!$C73="","",Country_3!H73)</f>
        <v/>
      </c>
      <c r="I272" s="16" t="str">
        <f>IF(Country_3!$C73="","",Country_3!I73)</f>
        <v/>
      </c>
      <c r="J272" s="16" t="str">
        <f>IF(Country_3!$C73="","",Country_3!J73)</f>
        <v/>
      </c>
      <c r="K272" s="18" t="str">
        <f>IF(Country_3!$C73="","",Country_3!K73)</f>
        <v/>
      </c>
      <c r="L272" s="18" t="str">
        <f>IF(Country_3!$C73="","",Country_3!L73)</f>
        <v/>
      </c>
      <c r="M272" s="19" t="str">
        <f>IF(Country_3!$C73="","",Country_3!M73)</f>
        <v/>
      </c>
      <c r="N272" s="16" t="str">
        <f>IF(Country_3!$C73="","",Country_3!N73)</f>
        <v/>
      </c>
      <c r="O272" s="16" t="str">
        <f>IF(Country_3!$C73="","",Country_3!O73)</f>
        <v/>
      </c>
      <c r="P272" s="16" t="str">
        <f>IF(Country_3!$C73="","",Country_3!P73)</f>
        <v/>
      </c>
      <c r="Q272" s="16" t="str">
        <f>IF(Country_3!$C73="","",Country_3!Q73)</f>
        <v/>
      </c>
    </row>
    <row r="273" spans="1:17" x14ac:dyDescent="0.25">
      <c r="A273" s="16" t="str">
        <f>IF(Country_3!$C74="","",Country_3!A74)</f>
        <v/>
      </c>
      <c r="B273" s="16" t="str">
        <f>IF(Country_3!$C74="","",Country_3!B74)</f>
        <v/>
      </c>
      <c r="C273" s="16" t="str">
        <f>IF(Country_3!$C74="","",Country_3!C74)</f>
        <v/>
      </c>
      <c r="D273" s="16" t="str">
        <f>IF(Country_3!$C74="","",Country_3!D74)</f>
        <v/>
      </c>
      <c r="E273" s="16" t="str">
        <f>IF(Country_3!$C74="","",Country_3!E74)</f>
        <v/>
      </c>
      <c r="F273" s="16" t="str">
        <f>IF(Country_3!$C74="","",Country_3!F74)</f>
        <v/>
      </c>
      <c r="G273" s="17" t="str">
        <f>IF(Country_3!$C74="","",Country_3!G74)</f>
        <v/>
      </c>
      <c r="H273" s="17" t="str">
        <f>IF(Country_3!$C74="","",Country_3!H74)</f>
        <v/>
      </c>
      <c r="I273" s="16" t="str">
        <f>IF(Country_3!$C74="","",Country_3!I74)</f>
        <v/>
      </c>
      <c r="J273" s="16" t="str">
        <f>IF(Country_3!$C74="","",Country_3!J74)</f>
        <v/>
      </c>
      <c r="K273" s="18" t="str">
        <f>IF(Country_3!$C74="","",Country_3!K74)</f>
        <v/>
      </c>
      <c r="L273" s="18" t="str">
        <f>IF(Country_3!$C74="","",Country_3!L74)</f>
        <v/>
      </c>
      <c r="M273" s="19" t="str">
        <f>IF(Country_3!$C74="","",Country_3!M74)</f>
        <v/>
      </c>
      <c r="N273" s="16" t="str">
        <f>IF(Country_3!$C74="","",Country_3!N74)</f>
        <v/>
      </c>
      <c r="O273" s="16" t="str">
        <f>IF(Country_3!$C74="","",Country_3!O74)</f>
        <v/>
      </c>
      <c r="P273" s="16" t="str">
        <f>IF(Country_3!$C74="","",Country_3!P74)</f>
        <v/>
      </c>
      <c r="Q273" s="16" t="str">
        <f>IF(Country_3!$C74="","",Country_3!Q74)</f>
        <v/>
      </c>
    </row>
    <row r="274" spans="1:17" x14ac:dyDescent="0.25">
      <c r="A274" s="16" t="str">
        <f>IF(Country_3!$C75="","",Country_3!A75)</f>
        <v/>
      </c>
      <c r="B274" s="16" t="str">
        <f>IF(Country_3!$C75="","",Country_3!B75)</f>
        <v/>
      </c>
      <c r="C274" s="16" t="str">
        <f>IF(Country_3!$C75="","",Country_3!C75)</f>
        <v/>
      </c>
      <c r="D274" s="16" t="str">
        <f>IF(Country_3!$C75="","",Country_3!D75)</f>
        <v/>
      </c>
      <c r="E274" s="16" t="str">
        <f>IF(Country_3!$C75="","",Country_3!E75)</f>
        <v/>
      </c>
      <c r="F274" s="16" t="str">
        <f>IF(Country_3!$C75="","",Country_3!F75)</f>
        <v/>
      </c>
      <c r="G274" s="17" t="str">
        <f>IF(Country_3!$C75="","",Country_3!G75)</f>
        <v/>
      </c>
      <c r="H274" s="17" t="str">
        <f>IF(Country_3!$C75="","",Country_3!H75)</f>
        <v/>
      </c>
      <c r="I274" s="16" t="str">
        <f>IF(Country_3!$C75="","",Country_3!I75)</f>
        <v/>
      </c>
      <c r="J274" s="16" t="str">
        <f>IF(Country_3!$C75="","",Country_3!J75)</f>
        <v/>
      </c>
      <c r="K274" s="18" t="str">
        <f>IF(Country_3!$C75="","",Country_3!K75)</f>
        <v/>
      </c>
      <c r="L274" s="18" t="str">
        <f>IF(Country_3!$C75="","",Country_3!L75)</f>
        <v/>
      </c>
      <c r="M274" s="19" t="str">
        <f>IF(Country_3!$C75="","",Country_3!M75)</f>
        <v/>
      </c>
      <c r="N274" s="16" t="str">
        <f>IF(Country_3!$C75="","",Country_3!N75)</f>
        <v/>
      </c>
      <c r="O274" s="16" t="str">
        <f>IF(Country_3!$C75="","",Country_3!O75)</f>
        <v/>
      </c>
      <c r="P274" s="16" t="str">
        <f>IF(Country_3!$C75="","",Country_3!P75)</f>
        <v/>
      </c>
      <c r="Q274" s="16" t="str">
        <f>IF(Country_3!$C75="","",Country_3!Q75)</f>
        <v/>
      </c>
    </row>
    <row r="275" spans="1:17" x14ac:dyDescent="0.25">
      <c r="A275" s="16" t="str">
        <f>IF(Country_3!$C76="","",Country_3!A76)</f>
        <v/>
      </c>
      <c r="B275" s="16" t="str">
        <f>IF(Country_3!$C76="","",Country_3!B76)</f>
        <v/>
      </c>
      <c r="C275" s="16" t="str">
        <f>IF(Country_3!$C76="","",Country_3!C76)</f>
        <v/>
      </c>
      <c r="D275" s="16" t="str">
        <f>IF(Country_3!$C76="","",Country_3!D76)</f>
        <v/>
      </c>
      <c r="E275" s="16" t="str">
        <f>IF(Country_3!$C76="","",Country_3!E76)</f>
        <v/>
      </c>
      <c r="F275" s="16" t="str">
        <f>IF(Country_3!$C76="","",Country_3!F76)</f>
        <v/>
      </c>
      <c r="G275" s="17" t="str">
        <f>IF(Country_3!$C76="","",Country_3!G76)</f>
        <v/>
      </c>
      <c r="H275" s="17" t="str">
        <f>IF(Country_3!$C76="","",Country_3!H76)</f>
        <v/>
      </c>
      <c r="I275" s="16" t="str">
        <f>IF(Country_3!$C76="","",Country_3!I76)</f>
        <v/>
      </c>
      <c r="J275" s="16" t="str">
        <f>IF(Country_3!$C76="","",Country_3!J76)</f>
        <v/>
      </c>
      <c r="K275" s="18" t="str">
        <f>IF(Country_3!$C76="","",Country_3!K76)</f>
        <v/>
      </c>
      <c r="L275" s="18" t="str">
        <f>IF(Country_3!$C76="","",Country_3!L76)</f>
        <v/>
      </c>
      <c r="M275" s="19" t="str">
        <f>IF(Country_3!$C76="","",Country_3!M76)</f>
        <v/>
      </c>
      <c r="N275" s="16" t="str">
        <f>IF(Country_3!$C76="","",Country_3!N76)</f>
        <v/>
      </c>
      <c r="O275" s="16" t="str">
        <f>IF(Country_3!$C76="","",Country_3!O76)</f>
        <v/>
      </c>
      <c r="P275" s="16" t="str">
        <f>IF(Country_3!$C76="","",Country_3!P76)</f>
        <v/>
      </c>
      <c r="Q275" s="16" t="str">
        <f>IF(Country_3!$C76="","",Country_3!Q76)</f>
        <v/>
      </c>
    </row>
    <row r="276" spans="1:17" x14ac:dyDescent="0.25">
      <c r="A276" s="16" t="str">
        <f>IF(Country_3!$C77="","",Country_3!A77)</f>
        <v/>
      </c>
      <c r="B276" s="16" t="str">
        <f>IF(Country_3!$C77="","",Country_3!B77)</f>
        <v/>
      </c>
      <c r="C276" s="16" t="str">
        <f>IF(Country_3!$C77="","",Country_3!C77)</f>
        <v/>
      </c>
      <c r="D276" s="16" t="str">
        <f>IF(Country_3!$C77="","",Country_3!D77)</f>
        <v/>
      </c>
      <c r="E276" s="16" t="str">
        <f>IF(Country_3!$C77="","",Country_3!E77)</f>
        <v/>
      </c>
      <c r="F276" s="16" t="str">
        <f>IF(Country_3!$C77="","",Country_3!F77)</f>
        <v/>
      </c>
      <c r="G276" s="17" t="str">
        <f>IF(Country_3!$C77="","",Country_3!G77)</f>
        <v/>
      </c>
      <c r="H276" s="17" t="str">
        <f>IF(Country_3!$C77="","",Country_3!H77)</f>
        <v/>
      </c>
      <c r="I276" s="16" t="str">
        <f>IF(Country_3!$C77="","",Country_3!I77)</f>
        <v/>
      </c>
      <c r="J276" s="16" t="str">
        <f>IF(Country_3!$C77="","",Country_3!J77)</f>
        <v/>
      </c>
      <c r="K276" s="18" t="str">
        <f>IF(Country_3!$C77="","",Country_3!K77)</f>
        <v/>
      </c>
      <c r="L276" s="18" t="str">
        <f>IF(Country_3!$C77="","",Country_3!L77)</f>
        <v/>
      </c>
      <c r="M276" s="19" t="str">
        <f>IF(Country_3!$C77="","",Country_3!M77)</f>
        <v/>
      </c>
      <c r="N276" s="16" t="str">
        <f>IF(Country_3!$C77="","",Country_3!N77)</f>
        <v/>
      </c>
      <c r="O276" s="16" t="str">
        <f>IF(Country_3!$C77="","",Country_3!O77)</f>
        <v/>
      </c>
      <c r="P276" s="16" t="str">
        <f>IF(Country_3!$C77="","",Country_3!P77)</f>
        <v/>
      </c>
      <c r="Q276" s="16" t="str">
        <f>IF(Country_3!$C77="","",Country_3!Q77)</f>
        <v/>
      </c>
    </row>
    <row r="277" spans="1:17" x14ac:dyDescent="0.25">
      <c r="A277" s="16" t="str">
        <f>IF(Country_3!$C78="","",Country_3!A78)</f>
        <v/>
      </c>
      <c r="B277" s="16" t="str">
        <f>IF(Country_3!$C78="","",Country_3!B78)</f>
        <v/>
      </c>
      <c r="C277" s="16" t="str">
        <f>IF(Country_3!$C78="","",Country_3!C78)</f>
        <v/>
      </c>
      <c r="D277" s="16" t="str">
        <f>IF(Country_3!$C78="","",Country_3!D78)</f>
        <v/>
      </c>
      <c r="E277" s="16" t="str">
        <f>IF(Country_3!$C78="","",Country_3!E78)</f>
        <v/>
      </c>
      <c r="F277" s="16" t="str">
        <f>IF(Country_3!$C78="","",Country_3!F78)</f>
        <v/>
      </c>
      <c r="G277" s="17" t="str">
        <f>IF(Country_3!$C78="","",Country_3!G78)</f>
        <v/>
      </c>
      <c r="H277" s="17" t="str">
        <f>IF(Country_3!$C78="","",Country_3!H78)</f>
        <v/>
      </c>
      <c r="I277" s="16" t="str">
        <f>IF(Country_3!$C78="","",Country_3!I78)</f>
        <v/>
      </c>
      <c r="J277" s="16" t="str">
        <f>IF(Country_3!$C78="","",Country_3!J78)</f>
        <v/>
      </c>
      <c r="K277" s="18" t="str">
        <f>IF(Country_3!$C78="","",Country_3!K78)</f>
        <v/>
      </c>
      <c r="L277" s="18" t="str">
        <f>IF(Country_3!$C78="","",Country_3!L78)</f>
        <v/>
      </c>
      <c r="M277" s="19" t="str">
        <f>IF(Country_3!$C78="","",Country_3!M78)</f>
        <v/>
      </c>
      <c r="N277" s="16" t="str">
        <f>IF(Country_3!$C78="","",Country_3!N78)</f>
        <v/>
      </c>
      <c r="O277" s="16" t="str">
        <f>IF(Country_3!$C78="","",Country_3!O78)</f>
        <v/>
      </c>
      <c r="P277" s="16" t="str">
        <f>IF(Country_3!$C78="","",Country_3!P78)</f>
        <v/>
      </c>
      <c r="Q277" s="16" t="str">
        <f>IF(Country_3!$C78="","",Country_3!Q78)</f>
        <v/>
      </c>
    </row>
    <row r="278" spans="1:17" x14ac:dyDescent="0.25">
      <c r="A278" s="16" t="str">
        <f>IF(Country_3!$C79="","",Country_3!A79)</f>
        <v/>
      </c>
      <c r="B278" s="16" t="str">
        <f>IF(Country_3!$C79="","",Country_3!B79)</f>
        <v/>
      </c>
      <c r="C278" s="16" t="str">
        <f>IF(Country_3!$C79="","",Country_3!C79)</f>
        <v/>
      </c>
      <c r="D278" s="16" t="str">
        <f>IF(Country_3!$C79="","",Country_3!D79)</f>
        <v/>
      </c>
      <c r="E278" s="16" t="str">
        <f>IF(Country_3!$C79="","",Country_3!E79)</f>
        <v/>
      </c>
      <c r="F278" s="16" t="str">
        <f>IF(Country_3!$C79="","",Country_3!F79)</f>
        <v/>
      </c>
      <c r="G278" s="17" t="str">
        <f>IF(Country_3!$C79="","",Country_3!G79)</f>
        <v/>
      </c>
      <c r="H278" s="17" t="str">
        <f>IF(Country_3!$C79="","",Country_3!H79)</f>
        <v/>
      </c>
      <c r="I278" s="16" t="str">
        <f>IF(Country_3!$C79="","",Country_3!I79)</f>
        <v/>
      </c>
      <c r="J278" s="16" t="str">
        <f>IF(Country_3!$C79="","",Country_3!J79)</f>
        <v/>
      </c>
      <c r="K278" s="18" t="str">
        <f>IF(Country_3!$C79="","",Country_3!K79)</f>
        <v/>
      </c>
      <c r="L278" s="18" t="str">
        <f>IF(Country_3!$C79="","",Country_3!L79)</f>
        <v/>
      </c>
      <c r="M278" s="19" t="str">
        <f>IF(Country_3!$C79="","",Country_3!M79)</f>
        <v/>
      </c>
      <c r="N278" s="16" t="str">
        <f>IF(Country_3!$C79="","",Country_3!N79)</f>
        <v/>
      </c>
      <c r="O278" s="16" t="str">
        <f>IF(Country_3!$C79="","",Country_3!O79)</f>
        <v/>
      </c>
      <c r="P278" s="16" t="str">
        <f>IF(Country_3!$C79="","",Country_3!P79)</f>
        <v/>
      </c>
      <c r="Q278" s="16" t="str">
        <f>IF(Country_3!$C79="","",Country_3!Q79)</f>
        <v/>
      </c>
    </row>
    <row r="279" spans="1:17" x14ac:dyDescent="0.25">
      <c r="A279" s="16" t="str">
        <f>IF(Country_3!$C80="","",Country_3!A80)</f>
        <v/>
      </c>
      <c r="B279" s="16" t="str">
        <f>IF(Country_3!$C80="","",Country_3!B80)</f>
        <v/>
      </c>
      <c r="C279" s="16" t="str">
        <f>IF(Country_3!$C80="","",Country_3!C80)</f>
        <v/>
      </c>
      <c r="D279" s="16" t="str">
        <f>IF(Country_3!$C80="","",Country_3!D80)</f>
        <v/>
      </c>
      <c r="E279" s="16" t="str">
        <f>IF(Country_3!$C80="","",Country_3!E80)</f>
        <v/>
      </c>
      <c r="F279" s="16" t="str">
        <f>IF(Country_3!$C80="","",Country_3!F80)</f>
        <v/>
      </c>
      <c r="G279" s="17" t="str">
        <f>IF(Country_3!$C80="","",Country_3!G80)</f>
        <v/>
      </c>
      <c r="H279" s="17" t="str">
        <f>IF(Country_3!$C80="","",Country_3!H80)</f>
        <v/>
      </c>
      <c r="I279" s="16" t="str">
        <f>IF(Country_3!$C80="","",Country_3!I80)</f>
        <v/>
      </c>
      <c r="J279" s="16" t="str">
        <f>IF(Country_3!$C80="","",Country_3!J80)</f>
        <v/>
      </c>
      <c r="K279" s="18" t="str">
        <f>IF(Country_3!$C80="","",Country_3!K80)</f>
        <v/>
      </c>
      <c r="L279" s="18" t="str">
        <f>IF(Country_3!$C80="","",Country_3!L80)</f>
        <v/>
      </c>
      <c r="M279" s="19" t="str">
        <f>IF(Country_3!$C80="","",Country_3!M80)</f>
        <v/>
      </c>
      <c r="N279" s="16" t="str">
        <f>IF(Country_3!$C80="","",Country_3!N80)</f>
        <v/>
      </c>
      <c r="O279" s="16" t="str">
        <f>IF(Country_3!$C80="","",Country_3!O80)</f>
        <v/>
      </c>
      <c r="P279" s="16" t="str">
        <f>IF(Country_3!$C80="","",Country_3!P80)</f>
        <v/>
      </c>
      <c r="Q279" s="16" t="str">
        <f>IF(Country_3!$C80="","",Country_3!Q80)</f>
        <v/>
      </c>
    </row>
    <row r="280" spans="1:17" x14ac:dyDescent="0.25">
      <c r="A280" s="16" t="str">
        <f>IF(Country_3!$C81="","",Country_3!A81)</f>
        <v/>
      </c>
      <c r="B280" s="16" t="str">
        <f>IF(Country_3!$C81="","",Country_3!B81)</f>
        <v/>
      </c>
      <c r="C280" s="16" t="str">
        <f>IF(Country_3!$C81="","",Country_3!C81)</f>
        <v/>
      </c>
      <c r="D280" s="16" t="str">
        <f>IF(Country_3!$C81="","",Country_3!D81)</f>
        <v/>
      </c>
      <c r="E280" s="16" t="str">
        <f>IF(Country_3!$C81="","",Country_3!E81)</f>
        <v/>
      </c>
      <c r="F280" s="16" t="str">
        <f>IF(Country_3!$C81="","",Country_3!F81)</f>
        <v/>
      </c>
      <c r="G280" s="17" t="str">
        <f>IF(Country_3!$C81="","",Country_3!G81)</f>
        <v/>
      </c>
      <c r="H280" s="17" t="str">
        <f>IF(Country_3!$C81="","",Country_3!H81)</f>
        <v/>
      </c>
      <c r="I280" s="16" t="str">
        <f>IF(Country_3!$C81="","",Country_3!I81)</f>
        <v/>
      </c>
      <c r="J280" s="16" t="str">
        <f>IF(Country_3!$C81="","",Country_3!J81)</f>
        <v/>
      </c>
      <c r="K280" s="18" t="str">
        <f>IF(Country_3!$C81="","",Country_3!K81)</f>
        <v/>
      </c>
      <c r="L280" s="18" t="str">
        <f>IF(Country_3!$C81="","",Country_3!L81)</f>
        <v/>
      </c>
      <c r="M280" s="19" t="str">
        <f>IF(Country_3!$C81="","",Country_3!M81)</f>
        <v/>
      </c>
      <c r="N280" s="16" t="str">
        <f>IF(Country_3!$C81="","",Country_3!N81)</f>
        <v/>
      </c>
      <c r="O280" s="16" t="str">
        <f>IF(Country_3!$C81="","",Country_3!O81)</f>
        <v/>
      </c>
      <c r="P280" s="16" t="str">
        <f>IF(Country_3!$C81="","",Country_3!P81)</f>
        <v/>
      </c>
      <c r="Q280" s="16" t="str">
        <f>IF(Country_3!$C81="","",Country_3!Q81)</f>
        <v/>
      </c>
    </row>
    <row r="281" spans="1:17" x14ac:dyDescent="0.25">
      <c r="A281" s="16" t="str">
        <f>IF(Country_3!$C82="","",Country_3!A82)</f>
        <v/>
      </c>
      <c r="B281" s="16" t="str">
        <f>IF(Country_3!$C82="","",Country_3!B82)</f>
        <v/>
      </c>
      <c r="C281" s="16" t="str">
        <f>IF(Country_3!$C82="","",Country_3!C82)</f>
        <v/>
      </c>
      <c r="D281" s="16" t="str">
        <f>IF(Country_3!$C82="","",Country_3!D82)</f>
        <v/>
      </c>
      <c r="E281" s="16" t="str">
        <f>IF(Country_3!$C82="","",Country_3!E82)</f>
        <v/>
      </c>
      <c r="F281" s="16" t="str">
        <f>IF(Country_3!$C82="","",Country_3!F82)</f>
        <v/>
      </c>
      <c r="G281" s="17" t="str">
        <f>IF(Country_3!$C82="","",Country_3!G82)</f>
        <v/>
      </c>
      <c r="H281" s="17" t="str">
        <f>IF(Country_3!$C82="","",Country_3!H82)</f>
        <v/>
      </c>
      <c r="I281" s="16" t="str">
        <f>IF(Country_3!$C82="","",Country_3!I82)</f>
        <v/>
      </c>
      <c r="J281" s="16" t="str">
        <f>IF(Country_3!$C82="","",Country_3!J82)</f>
        <v/>
      </c>
      <c r="K281" s="18" t="str">
        <f>IF(Country_3!$C82="","",Country_3!K82)</f>
        <v/>
      </c>
      <c r="L281" s="18" t="str">
        <f>IF(Country_3!$C82="","",Country_3!L82)</f>
        <v/>
      </c>
      <c r="M281" s="19" t="str">
        <f>IF(Country_3!$C82="","",Country_3!M82)</f>
        <v/>
      </c>
      <c r="N281" s="16" t="str">
        <f>IF(Country_3!$C82="","",Country_3!N82)</f>
        <v/>
      </c>
      <c r="O281" s="16" t="str">
        <f>IF(Country_3!$C82="","",Country_3!O82)</f>
        <v/>
      </c>
      <c r="P281" s="16" t="str">
        <f>IF(Country_3!$C82="","",Country_3!P82)</f>
        <v/>
      </c>
      <c r="Q281" s="16" t="str">
        <f>IF(Country_3!$C82="","",Country_3!Q82)</f>
        <v/>
      </c>
    </row>
    <row r="282" spans="1:17" x14ac:dyDescent="0.25">
      <c r="A282" s="16" t="str">
        <f>IF(Country_3!$C83="","",Country_3!A83)</f>
        <v/>
      </c>
      <c r="B282" s="16" t="str">
        <f>IF(Country_3!$C83="","",Country_3!B83)</f>
        <v/>
      </c>
      <c r="C282" s="16" t="str">
        <f>IF(Country_3!$C83="","",Country_3!C83)</f>
        <v/>
      </c>
      <c r="D282" s="16" t="str">
        <f>IF(Country_3!$C83="","",Country_3!D83)</f>
        <v/>
      </c>
      <c r="E282" s="16" t="str">
        <f>IF(Country_3!$C83="","",Country_3!E83)</f>
        <v/>
      </c>
      <c r="F282" s="16" t="str">
        <f>IF(Country_3!$C83="","",Country_3!F83)</f>
        <v/>
      </c>
      <c r="G282" s="17" t="str">
        <f>IF(Country_3!$C83="","",Country_3!G83)</f>
        <v/>
      </c>
      <c r="H282" s="17" t="str">
        <f>IF(Country_3!$C83="","",Country_3!H83)</f>
        <v/>
      </c>
      <c r="I282" s="16" t="str">
        <f>IF(Country_3!$C83="","",Country_3!I83)</f>
        <v/>
      </c>
      <c r="J282" s="16" t="str">
        <f>IF(Country_3!$C83="","",Country_3!J83)</f>
        <v/>
      </c>
      <c r="K282" s="18" t="str">
        <f>IF(Country_3!$C83="","",Country_3!K83)</f>
        <v/>
      </c>
      <c r="L282" s="18" t="str">
        <f>IF(Country_3!$C83="","",Country_3!L83)</f>
        <v/>
      </c>
      <c r="M282" s="19" t="str">
        <f>IF(Country_3!$C83="","",Country_3!M83)</f>
        <v/>
      </c>
      <c r="N282" s="16" t="str">
        <f>IF(Country_3!$C83="","",Country_3!N83)</f>
        <v/>
      </c>
      <c r="O282" s="16" t="str">
        <f>IF(Country_3!$C83="","",Country_3!O83)</f>
        <v/>
      </c>
      <c r="P282" s="16" t="str">
        <f>IF(Country_3!$C83="","",Country_3!P83)</f>
        <v/>
      </c>
      <c r="Q282" s="16" t="str">
        <f>IF(Country_3!$C83="","",Country_3!Q83)</f>
        <v/>
      </c>
    </row>
    <row r="283" spans="1:17" x14ac:dyDescent="0.25">
      <c r="A283" s="16" t="str">
        <f>IF(Country_3!$C84="","",Country_3!A84)</f>
        <v/>
      </c>
      <c r="B283" s="16" t="str">
        <f>IF(Country_3!$C84="","",Country_3!B84)</f>
        <v/>
      </c>
      <c r="C283" s="16" t="str">
        <f>IF(Country_3!$C84="","",Country_3!C84)</f>
        <v/>
      </c>
      <c r="D283" s="16" t="str">
        <f>IF(Country_3!$C84="","",Country_3!D84)</f>
        <v/>
      </c>
      <c r="E283" s="16" t="str">
        <f>IF(Country_3!$C84="","",Country_3!E84)</f>
        <v/>
      </c>
      <c r="F283" s="16" t="str">
        <f>IF(Country_3!$C84="","",Country_3!F84)</f>
        <v/>
      </c>
      <c r="G283" s="17" t="str">
        <f>IF(Country_3!$C84="","",Country_3!G84)</f>
        <v/>
      </c>
      <c r="H283" s="17" t="str">
        <f>IF(Country_3!$C84="","",Country_3!H84)</f>
        <v/>
      </c>
      <c r="I283" s="16" t="str">
        <f>IF(Country_3!$C84="","",Country_3!I84)</f>
        <v/>
      </c>
      <c r="J283" s="16" t="str">
        <f>IF(Country_3!$C84="","",Country_3!J84)</f>
        <v/>
      </c>
      <c r="K283" s="18" t="str">
        <f>IF(Country_3!$C84="","",Country_3!K84)</f>
        <v/>
      </c>
      <c r="L283" s="18" t="str">
        <f>IF(Country_3!$C84="","",Country_3!L84)</f>
        <v/>
      </c>
      <c r="M283" s="19" t="str">
        <f>IF(Country_3!$C84="","",Country_3!M84)</f>
        <v/>
      </c>
      <c r="N283" s="16" t="str">
        <f>IF(Country_3!$C84="","",Country_3!N84)</f>
        <v/>
      </c>
      <c r="O283" s="16" t="str">
        <f>IF(Country_3!$C84="","",Country_3!O84)</f>
        <v/>
      </c>
      <c r="P283" s="16" t="str">
        <f>IF(Country_3!$C84="","",Country_3!P84)</f>
        <v/>
      </c>
      <c r="Q283" s="16" t="str">
        <f>IF(Country_3!$C84="","",Country_3!Q84)</f>
        <v/>
      </c>
    </row>
    <row r="284" spans="1:17" x14ac:dyDescent="0.25">
      <c r="A284" s="16" t="str">
        <f>IF(Country_3!$C85="","",Country_3!A85)</f>
        <v/>
      </c>
      <c r="B284" s="16" t="str">
        <f>IF(Country_3!$C85="","",Country_3!B85)</f>
        <v/>
      </c>
      <c r="C284" s="16" t="str">
        <f>IF(Country_3!$C85="","",Country_3!C85)</f>
        <v/>
      </c>
      <c r="D284" s="16" t="str">
        <f>IF(Country_3!$C85="","",Country_3!D85)</f>
        <v/>
      </c>
      <c r="E284" s="16" t="str">
        <f>IF(Country_3!$C85="","",Country_3!E85)</f>
        <v/>
      </c>
      <c r="F284" s="16" t="str">
        <f>IF(Country_3!$C85="","",Country_3!F85)</f>
        <v/>
      </c>
      <c r="G284" s="17" t="str">
        <f>IF(Country_3!$C85="","",Country_3!G85)</f>
        <v/>
      </c>
      <c r="H284" s="17" t="str">
        <f>IF(Country_3!$C85="","",Country_3!H85)</f>
        <v/>
      </c>
      <c r="I284" s="16" t="str">
        <f>IF(Country_3!$C85="","",Country_3!I85)</f>
        <v/>
      </c>
      <c r="J284" s="16" t="str">
        <f>IF(Country_3!$C85="","",Country_3!J85)</f>
        <v/>
      </c>
      <c r="K284" s="18" t="str">
        <f>IF(Country_3!$C85="","",Country_3!K85)</f>
        <v/>
      </c>
      <c r="L284" s="18" t="str">
        <f>IF(Country_3!$C85="","",Country_3!L85)</f>
        <v/>
      </c>
      <c r="M284" s="19" t="str">
        <f>IF(Country_3!$C85="","",Country_3!M85)</f>
        <v/>
      </c>
      <c r="N284" s="16" t="str">
        <f>IF(Country_3!$C85="","",Country_3!N85)</f>
        <v/>
      </c>
      <c r="O284" s="16" t="str">
        <f>IF(Country_3!$C85="","",Country_3!O85)</f>
        <v/>
      </c>
      <c r="P284" s="16" t="str">
        <f>IF(Country_3!$C85="","",Country_3!P85)</f>
        <v/>
      </c>
      <c r="Q284" s="16" t="str">
        <f>IF(Country_3!$C85="","",Country_3!Q85)</f>
        <v/>
      </c>
    </row>
    <row r="285" spans="1:17" x14ac:dyDescent="0.25">
      <c r="A285" s="16" t="str">
        <f>IF(Country_3!$C86="","",Country_3!A86)</f>
        <v/>
      </c>
      <c r="B285" s="16" t="str">
        <f>IF(Country_3!$C86="","",Country_3!B86)</f>
        <v/>
      </c>
      <c r="C285" s="16" t="str">
        <f>IF(Country_3!$C86="","",Country_3!C86)</f>
        <v/>
      </c>
      <c r="D285" s="16" t="str">
        <f>IF(Country_3!$C86="","",Country_3!D86)</f>
        <v/>
      </c>
      <c r="E285" s="16" t="str">
        <f>IF(Country_3!$C86="","",Country_3!E86)</f>
        <v/>
      </c>
      <c r="F285" s="16" t="str">
        <f>IF(Country_3!$C86="","",Country_3!F86)</f>
        <v/>
      </c>
      <c r="G285" s="17" t="str">
        <f>IF(Country_3!$C86="","",Country_3!G86)</f>
        <v/>
      </c>
      <c r="H285" s="17" t="str">
        <f>IF(Country_3!$C86="","",Country_3!H86)</f>
        <v/>
      </c>
      <c r="I285" s="16" t="str">
        <f>IF(Country_3!$C86="","",Country_3!I86)</f>
        <v/>
      </c>
      <c r="J285" s="16" t="str">
        <f>IF(Country_3!$C86="","",Country_3!J86)</f>
        <v/>
      </c>
      <c r="K285" s="18" t="str">
        <f>IF(Country_3!$C86="","",Country_3!K86)</f>
        <v/>
      </c>
      <c r="L285" s="18" t="str">
        <f>IF(Country_3!$C86="","",Country_3!L86)</f>
        <v/>
      </c>
      <c r="M285" s="19" t="str">
        <f>IF(Country_3!$C86="","",Country_3!M86)</f>
        <v/>
      </c>
      <c r="N285" s="16" t="str">
        <f>IF(Country_3!$C86="","",Country_3!N86)</f>
        <v/>
      </c>
      <c r="O285" s="16" t="str">
        <f>IF(Country_3!$C86="","",Country_3!O86)</f>
        <v/>
      </c>
      <c r="P285" s="16" t="str">
        <f>IF(Country_3!$C86="","",Country_3!P86)</f>
        <v/>
      </c>
      <c r="Q285" s="16" t="str">
        <f>IF(Country_3!$C86="","",Country_3!Q86)</f>
        <v/>
      </c>
    </row>
    <row r="286" spans="1:17" x14ac:dyDescent="0.25">
      <c r="A286" s="16" t="str">
        <f>IF(Country_3!$C87="","",Country_3!A87)</f>
        <v/>
      </c>
      <c r="B286" s="16" t="str">
        <f>IF(Country_3!$C87="","",Country_3!B87)</f>
        <v/>
      </c>
      <c r="C286" s="16" t="str">
        <f>IF(Country_3!$C87="","",Country_3!C87)</f>
        <v/>
      </c>
      <c r="D286" s="16" t="str">
        <f>IF(Country_3!$C87="","",Country_3!D87)</f>
        <v/>
      </c>
      <c r="E286" s="16" t="str">
        <f>IF(Country_3!$C87="","",Country_3!E87)</f>
        <v/>
      </c>
      <c r="F286" s="16" t="str">
        <f>IF(Country_3!$C87="","",Country_3!F87)</f>
        <v/>
      </c>
      <c r="G286" s="17" t="str">
        <f>IF(Country_3!$C87="","",Country_3!G87)</f>
        <v/>
      </c>
      <c r="H286" s="17" t="str">
        <f>IF(Country_3!$C87="","",Country_3!H87)</f>
        <v/>
      </c>
      <c r="I286" s="16" t="str">
        <f>IF(Country_3!$C87="","",Country_3!I87)</f>
        <v/>
      </c>
      <c r="J286" s="16" t="str">
        <f>IF(Country_3!$C87="","",Country_3!J87)</f>
        <v/>
      </c>
      <c r="K286" s="18" t="str">
        <f>IF(Country_3!$C87="","",Country_3!K87)</f>
        <v/>
      </c>
      <c r="L286" s="18" t="str">
        <f>IF(Country_3!$C87="","",Country_3!L87)</f>
        <v/>
      </c>
      <c r="M286" s="19" t="str">
        <f>IF(Country_3!$C87="","",Country_3!M87)</f>
        <v/>
      </c>
      <c r="N286" s="16" t="str">
        <f>IF(Country_3!$C87="","",Country_3!N87)</f>
        <v/>
      </c>
      <c r="O286" s="16" t="str">
        <f>IF(Country_3!$C87="","",Country_3!O87)</f>
        <v/>
      </c>
      <c r="P286" s="16" t="str">
        <f>IF(Country_3!$C87="","",Country_3!P87)</f>
        <v/>
      </c>
      <c r="Q286" s="16" t="str">
        <f>IF(Country_3!$C87="","",Country_3!Q87)</f>
        <v/>
      </c>
    </row>
    <row r="287" spans="1:17" x14ac:dyDescent="0.25">
      <c r="A287" s="16" t="str">
        <f>IF(Country_3!$C88="","",Country_3!A88)</f>
        <v/>
      </c>
      <c r="B287" s="16" t="str">
        <f>IF(Country_3!$C88="","",Country_3!B88)</f>
        <v/>
      </c>
      <c r="C287" s="16" t="str">
        <f>IF(Country_3!$C88="","",Country_3!C88)</f>
        <v/>
      </c>
      <c r="D287" s="16" t="str">
        <f>IF(Country_3!$C88="","",Country_3!D88)</f>
        <v/>
      </c>
      <c r="E287" s="16" t="str">
        <f>IF(Country_3!$C88="","",Country_3!E88)</f>
        <v/>
      </c>
      <c r="F287" s="16" t="str">
        <f>IF(Country_3!$C88="","",Country_3!F88)</f>
        <v/>
      </c>
      <c r="G287" s="17" t="str">
        <f>IF(Country_3!$C88="","",Country_3!G88)</f>
        <v/>
      </c>
      <c r="H287" s="17" t="str">
        <f>IF(Country_3!$C88="","",Country_3!H88)</f>
        <v/>
      </c>
      <c r="I287" s="16" t="str">
        <f>IF(Country_3!$C88="","",Country_3!I88)</f>
        <v/>
      </c>
      <c r="J287" s="16" t="str">
        <f>IF(Country_3!$C88="","",Country_3!J88)</f>
        <v/>
      </c>
      <c r="K287" s="18" t="str">
        <f>IF(Country_3!$C88="","",Country_3!K88)</f>
        <v/>
      </c>
      <c r="L287" s="18" t="str">
        <f>IF(Country_3!$C88="","",Country_3!L88)</f>
        <v/>
      </c>
      <c r="M287" s="19" t="str">
        <f>IF(Country_3!$C88="","",Country_3!M88)</f>
        <v/>
      </c>
      <c r="N287" s="16" t="str">
        <f>IF(Country_3!$C88="","",Country_3!N88)</f>
        <v/>
      </c>
      <c r="O287" s="16" t="str">
        <f>IF(Country_3!$C88="","",Country_3!O88)</f>
        <v/>
      </c>
      <c r="P287" s="16" t="str">
        <f>IF(Country_3!$C88="","",Country_3!P88)</f>
        <v/>
      </c>
      <c r="Q287" s="16" t="str">
        <f>IF(Country_3!$C88="","",Country_3!Q88)</f>
        <v/>
      </c>
    </row>
    <row r="288" spans="1:17" x14ac:dyDescent="0.25">
      <c r="A288" s="16" t="str">
        <f>IF(Country_3!$C89="","",Country_3!A89)</f>
        <v/>
      </c>
      <c r="B288" s="16" t="str">
        <f>IF(Country_3!$C89="","",Country_3!B89)</f>
        <v/>
      </c>
      <c r="C288" s="16" t="str">
        <f>IF(Country_3!$C89="","",Country_3!C89)</f>
        <v/>
      </c>
      <c r="D288" s="16" t="str">
        <f>IF(Country_3!$C89="","",Country_3!D89)</f>
        <v/>
      </c>
      <c r="E288" s="16" t="str">
        <f>IF(Country_3!$C89="","",Country_3!E89)</f>
        <v/>
      </c>
      <c r="F288" s="16" t="str">
        <f>IF(Country_3!$C89="","",Country_3!F89)</f>
        <v/>
      </c>
      <c r="G288" s="17" t="str">
        <f>IF(Country_3!$C89="","",Country_3!G89)</f>
        <v/>
      </c>
      <c r="H288" s="17" t="str">
        <f>IF(Country_3!$C89="","",Country_3!H89)</f>
        <v/>
      </c>
      <c r="I288" s="16" t="str">
        <f>IF(Country_3!$C89="","",Country_3!I89)</f>
        <v/>
      </c>
      <c r="J288" s="16" t="str">
        <f>IF(Country_3!$C89="","",Country_3!J89)</f>
        <v/>
      </c>
      <c r="K288" s="18" t="str">
        <f>IF(Country_3!$C89="","",Country_3!K89)</f>
        <v/>
      </c>
      <c r="L288" s="18" t="str">
        <f>IF(Country_3!$C89="","",Country_3!L89)</f>
        <v/>
      </c>
      <c r="M288" s="19" t="str">
        <f>IF(Country_3!$C89="","",Country_3!M89)</f>
        <v/>
      </c>
      <c r="N288" s="16" t="str">
        <f>IF(Country_3!$C89="","",Country_3!N89)</f>
        <v/>
      </c>
      <c r="O288" s="16" t="str">
        <f>IF(Country_3!$C89="","",Country_3!O89)</f>
        <v/>
      </c>
      <c r="P288" s="16" t="str">
        <f>IF(Country_3!$C89="","",Country_3!P89)</f>
        <v/>
      </c>
      <c r="Q288" s="16" t="str">
        <f>IF(Country_3!$C89="","",Country_3!Q89)</f>
        <v/>
      </c>
    </row>
    <row r="289" spans="1:17" x14ac:dyDescent="0.25">
      <c r="A289" s="16" t="str">
        <f>IF(Country_3!$C90="","",Country_3!A90)</f>
        <v/>
      </c>
      <c r="B289" s="16" t="str">
        <f>IF(Country_3!$C90="","",Country_3!B90)</f>
        <v/>
      </c>
      <c r="C289" s="16" t="str">
        <f>IF(Country_3!$C90="","",Country_3!C90)</f>
        <v/>
      </c>
      <c r="D289" s="16" t="str">
        <f>IF(Country_3!$C90="","",Country_3!D90)</f>
        <v/>
      </c>
      <c r="E289" s="16" t="str">
        <f>IF(Country_3!$C90="","",Country_3!E90)</f>
        <v/>
      </c>
      <c r="F289" s="16" t="str">
        <f>IF(Country_3!$C90="","",Country_3!F90)</f>
        <v/>
      </c>
      <c r="G289" s="17" t="str">
        <f>IF(Country_3!$C90="","",Country_3!G90)</f>
        <v/>
      </c>
      <c r="H289" s="17" t="str">
        <f>IF(Country_3!$C90="","",Country_3!H90)</f>
        <v/>
      </c>
      <c r="I289" s="16" t="str">
        <f>IF(Country_3!$C90="","",Country_3!I90)</f>
        <v/>
      </c>
      <c r="J289" s="16" t="str">
        <f>IF(Country_3!$C90="","",Country_3!J90)</f>
        <v/>
      </c>
      <c r="K289" s="18" t="str">
        <f>IF(Country_3!$C90="","",Country_3!K90)</f>
        <v/>
      </c>
      <c r="L289" s="18" t="str">
        <f>IF(Country_3!$C90="","",Country_3!L90)</f>
        <v/>
      </c>
      <c r="M289" s="19" t="str">
        <f>IF(Country_3!$C90="","",Country_3!M90)</f>
        <v/>
      </c>
      <c r="N289" s="16" t="str">
        <f>IF(Country_3!$C90="","",Country_3!N90)</f>
        <v/>
      </c>
      <c r="O289" s="16" t="str">
        <f>IF(Country_3!$C90="","",Country_3!O90)</f>
        <v/>
      </c>
      <c r="P289" s="16" t="str">
        <f>IF(Country_3!$C90="","",Country_3!P90)</f>
        <v/>
      </c>
      <c r="Q289" s="16" t="str">
        <f>IF(Country_3!$C90="","",Country_3!Q90)</f>
        <v/>
      </c>
    </row>
    <row r="290" spans="1:17" x14ac:dyDescent="0.25">
      <c r="A290" s="16" t="str">
        <f>IF(Country_3!$C91="","",Country_3!A91)</f>
        <v/>
      </c>
      <c r="B290" s="16" t="str">
        <f>IF(Country_3!$C91="","",Country_3!B91)</f>
        <v/>
      </c>
      <c r="C290" s="16" t="str">
        <f>IF(Country_3!$C91="","",Country_3!C91)</f>
        <v/>
      </c>
      <c r="D290" s="16" t="str">
        <f>IF(Country_3!$C91="","",Country_3!D91)</f>
        <v/>
      </c>
      <c r="E290" s="16" t="str">
        <f>IF(Country_3!$C91="","",Country_3!E91)</f>
        <v/>
      </c>
      <c r="F290" s="16" t="str">
        <f>IF(Country_3!$C91="","",Country_3!F91)</f>
        <v/>
      </c>
      <c r="G290" s="17" t="str">
        <f>IF(Country_3!$C91="","",Country_3!G91)</f>
        <v/>
      </c>
      <c r="H290" s="17" t="str">
        <f>IF(Country_3!$C91="","",Country_3!H91)</f>
        <v/>
      </c>
      <c r="I290" s="16" t="str">
        <f>IF(Country_3!$C91="","",Country_3!I91)</f>
        <v/>
      </c>
      <c r="J290" s="16" t="str">
        <f>IF(Country_3!$C91="","",Country_3!J91)</f>
        <v/>
      </c>
      <c r="K290" s="18" t="str">
        <f>IF(Country_3!$C91="","",Country_3!K91)</f>
        <v/>
      </c>
      <c r="L290" s="18" t="str">
        <f>IF(Country_3!$C91="","",Country_3!L91)</f>
        <v/>
      </c>
      <c r="M290" s="19" t="str">
        <f>IF(Country_3!$C91="","",Country_3!M91)</f>
        <v/>
      </c>
      <c r="N290" s="16" t="str">
        <f>IF(Country_3!$C91="","",Country_3!N91)</f>
        <v/>
      </c>
      <c r="O290" s="16" t="str">
        <f>IF(Country_3!$C91="","",Country_3!O91)</f>
        <v/>
      </c>
      <c r="P290" s="16" t="str">
        <f>IF(Country_3!$C91="","",Country_3!P91)</f>
        <v/>
      </c>
      <c r="Q290" s="16" t="str">
        <f>IF(Country_3!$C91="","",Country_3!Q91)</f>
        <v/>
      </c>
    </row>
    <row r="291" spans="1:17" x14ac:dyDescent="0.25">
      <c r="A291" s="16" t="str">
        <f>IF(Country_3!$C92="","",Country_3!A92)</f>
        <v/>
      </c>
      <c r="B291" s="16" t="str">
        <f>IF(Country_3!$C92="","",Country_3!B92)</f>
        <v/>
      </c>
      <c r="C291" s="16" t="str">
        <f>IF(Country_3!$C92="","",Country_3!C92)</f>
        <v/>
      </c>
      <c r="D291" s="16" t="str">
        <f>IF(Country_3!$C92="","",Country_3!D92)</f>
        <v/>
      </c>
      <c r="E291" s="16" t="str">
        <f>IF(Country_3!$C92="","",Country_3!E92)</f>
        <v/>
      </c>
      <c r="F291" s="16" t="str">
        <f>IF(Country_3!$C92="","",Country_3!F92)</f>
        <v/>
      </c>
      <c r="G291" s="17" t="str">
        <f>IF(Country_3!$C92="","",Country_3!G92)</f>
        <v/>
      </c>
      <c r="H291" s="17" t="str">
        <f>IF(Country_3!$C92="","",Country_3!H92)</f>
        <v/>
      </c>
      <c r="I291" s="16" t="str">
        <f>IF(Country_3!$C92="","",Country_3!I92)</f>
        <v/>
      </c>
      <c r="J291" s="16" t="str">
        <f>IF(Country_3!$C92="","",Country_3!J92)</f>
        <v/>
      </c>
      <c r="K291" s="18" t="str">
        <f>IF(Country_3!$C92="","",Country_3!K92)</f>
        <v/>
      </c>
      <c r="L291" s="18" t="str">
        <f>IF(Country_3!$C92="","",Country_3!L92)</f>
        <v/>
      </c>
      <c r="M291" s="19" t="str">
        <f>IF(Country_3!$C92="","",Country_3!M92)</f>
        <v/>
      </c>
      <c r="N291" s="16" t="str">
        <f>IF(Country_3!$C92="","",Country_3!N92)</f>
        <v/>
      </c>
      <c r="O291" s="16" t="str">
        <f>IF(Country_3!$C92="","",Country_3!O92)</f>
        <v/>
      </c>
      <c r="P291" s="16" t="str">
        <f>IF(Country_3!$C92="","",Country_3!P92)</f>
        <v/>
      </c>
      <c r="Q291" s="16" t="str">
        <f>IF(Country_3!$C92="","",Country_3!Q92)</f>
        <v/>
      </c>
    </row>
    <row r="292" spans="1:17" x14ac:dyDescent="0.25">
      <c r="A292" s="16" t="str">
        <f>IF(Country_3!$C93="","",Country_3!A93)</f>
        <v/>
      </c>
      <c r="B292" s="16" t="str">
        <f>IF(Country_3!$C93="","",Country_3!B93)</f>
        <v/>
      </c>
      <c r="C292" s="16" t="str">
        <f>IF(Country_3!$C93="","",Country_3!C93)</f>
        <v/>
      </c>
      <c r="D292" s="16" t="str">
        <f>IF(Country_3!$C93="","",Country_3!D93)</f>
        <v/>
      </c>
      <c r="E292" s="16" t="str">
        <f>IF(Country_3!$C93="","",Country_3!E93)</f>
        <v/>
      </c>
      <c r="F292" s="16" t="str">
        <f>IF(Country_3!$C93="","",Country_3!F93)</f>
        <v/>
      </c>
      <c r="G292" s="17" t="str">
        <f>IF(Country_3!$C93="","",Country_3!G93)</f>
        <v/>
      </c>
      <c r="H292" s="17" t="str">
        <f>IF(Country_3!$C93="","",Country_3!H93)</f>
        <v/>
      </c>
      <c r="I292" s="16" t="str">
        <f>IF(Country_3!$C93="","",Country_3!I93)</f>
        <v/>
      </c>
      <c r="J292" s="16" t="str">
        <f>IF(Country_3!$C93="","",Country_3!J93)</f>
        <v/>
      </c>
      <c r="K292" s="18" t="str">
        <f>IF(Country_3!$C93="","",Country_3!K93)</f>
        <v/>
      </c>
      <c r="L292" s="18" t="str">
        <f>IF(Country_3!$C93="","",Country_3!L93)</f>
        <v/>
      </c>
      <c r="M292" s="19" t="str">
        <f>IF(Country_3!$C93="","",Country_3!M93)</f>
        <v/>
      </c>
      <c r="N292" s="16" t="str">
        <f>IF(Country_3!$C93="","",Country_3!N93)</f>
        <v/>
      </c>
      <c r="O292" s="16" t="str">
        <f>IF(Country_3!$C93="","",Country_3!O93)</f>
        <v/>
      </c>
      <c r="P292" s="16" t="str">
        <f>IF(Country_3!$C93="","",Country_3!P93)</f>
        <v/>
      </c>
      <c r="Q292" s="16" t="str">
        <f>IF(Country_3!$C93="","",Country_3!Q93)</f>
        <v/>
      </c>
    </row>
    <row r="293" spans="1:17" x14ac:dyDescent="0.25">
      <c r="A293" s="16" t="str">
        <f>IF(Country_3!$C94="","",Country_3!A94)</f>
        <v/>
      </c>
      <c r="B293" s="16" t="str">
        <f>IF(Country_3!$C94="","",Country_3!B94)</f>
        <v/>
      </c>
      <c r="C293" s="16" t="str">
        <f>IF(Country_3!$C94="","",Country_3!C94)</f>
        <v/>
      </c>
      <c r="D293" s="16" t="str">
        <f>IF(Country_3!$C94="","",Country_3!D94)</f>
        <v/>
      </c>
      <c r="E293" s="16" t="str">
        <f>IF(Country_3!$C94="","",Country_3!E94)</f>
        <v/>
      </c>
      <c r="F293" s="16" t="str">
        <f>IF(Country_3!$C94="","",Country_3!F94)</f>
        <v/>
      </c>
      <c r="G293" s="17" t="str">
        <f>IF(Country_3!$C94="","",Country_3!G94)</f>
        <v/>
      </c>
      <c r="H293" s="17" t="str">
        <f>IF(Country_3!$C94="","",Country_3!H94)</f>
        <v/>
      </c>
      <c r="I293" s="16" t="str">
        <f>IF(Country_3!$C94="","",Country_3!I94)</f>
        <v/>
      </c>
      <c r="J293" s="16" t="str">
        <f>IF(Country_3!$C94="","",Country_3!J94)</f>
        <v/>
      </c>
      <c r="K293" s="18" t="str">
        <f>IF(Country_3!$C94="","",Country_3!K94)</f>
        <v/>
      </c>
      <c r="L293" s="18" t="str">
        <f>IF(Country_3!$C94="","",Country_3!L94)</f>
        <v/>
      </c>
      <c r="M293" s="19" t="str">
        <f>IF(Country_3!$C94="","",Country_3!M94)</f>
        <v/>
      </c>
      <c r="N293" s="16" t="str">
        <f>IF(Country_3!$C94="","",Country_3!N94)</f>
        <v/>
      </c>
      <c r="O293" s="16" t="str">
        <f>IF(Country_3!$C94="","",Country_3!O94)</f>
        <v/>
      </c>
      <c r="P293" s="16" t="str">
        <f>IF(Country_3!$C94="","",Country_3!P94)</f>
        <v/>
      </c>
      <c r="Q293" s="16" t="str">
        <f>IF(Country_3!$C94="","",Country_3!Q94)</f>
        <v/>
      </c>
    </row>
    <row r="294" spans="1:17" x14ac:dyDescent="0.25">
      <c r="A294" s="16" t="str">
        <f>IF(Country_3!$C95="","",Country_3!A95)</f>
        <v/>
      </c>
      <c r="B294" s="16" t="str">
        <f>IF(Country_3!$C95="","",Country_3!B95)</f>
        <v/>
      </c>
      <c r="C294" s="16" t="str">
        <f>IF(Country_3!$C95="","",Country_3!C95)</f>
        <v/>
      </c>
      <c r="D294" s="16" t="str">
        <f>IF(Country_3!$C95="","",Country_3!D95)</f>
        <v/>
      </c>
      <c r="E294" s="16" t="str">
        <f>IF(Country_3!$C95="","",Country_3!E95)</f>
        <v/>
      </c>
      <c r="F294" s="16" t="str">
        <f>IF(Country_3!$C95="","",Country_3!F95)</f>
        <v/>
      </c>
      <c r="G294" s="17" t="str">
        <f>IF(Country_3!$C95="","",Country_3!G95)</f>
        <v/>
      </c>
      <c r="H294" s="17" t="str">
        <f>IF(Country_3!$C95="","",Country_3!H95)</f>
        <v/>
      </c>
      <c r="I294" s="16" t="str">
        <f>IF(Country_3!$C95="","",Country_3!I95)</f>
        <v/>
      </c>
      <c r="J294" s="16" t="str">
        <f>IF(Country_3!$C95="","",Country_3!J95)</f>
        <v/>
      </c>
      <c r="K294" s="18" t="str">
        <f>IF(Country_3!$C95="","",Country_3!K95)</f>
        <v/>
      </c>
      <c r="L294" s="18" t="str">
        <f>IF(Country_3!$C95="","",Country_3!L95)</f>
        <v/>
      </c>
      <c r="M294" s="19" t="str">
        <f>IF(Country_3!$C95="","",Country_3!M95)</f>
        <v/>
      </c>
      <c r="N294" s="16" t="str">
        <f>IF(Country_3!$C95="","",Country_3!N95)</f>
        <v/>
      </c>
      <c r="O294" s="16" t="str">
        <f>IF(Country_3!$C95="","",Country_3!O95)</f>
        <v/>
      </c>
      <c r="P294" s="16" t="str">
        <f>IF(Country_3!$C95="","",Country_3!P95)</f>
        <v/>
      </c>
      <c r="Q294" s="16" t="str">
        <f>IF(Country_3!$C95="","",Country_3!Q95)</f>
        <v/>
      </c>
    </row>
    <row r="295" spans="1:17" x14ac:dyDescent="0.25">
      <c r="A295" s="16" t="str">
        <f>IF(Country_3!$C96="","",Country_3!A96)</f>
        <v/>
      </c>
      <c r="B295" s="16" t="str">
        <f>IF(Country_3!$C96="","",Country_3!B96)</f>
        <v/>
      </c>
      <c r="C295" s="16" t="str">
        <f>IF(Country_3!$C96="","",Country_3!C96)</f>
        <v/>
      </c>
      <c r="D295" s="16" t="str">
        <f>IF(Country_3!$C96="","",Country_3!D96)</f>
        <v/>
      </c>
      <c r="E295" s="16" t="str">
        <f>IF(Country_3!$C96="","",Country_3!E96)</f>
        <v/>
      </c>
      <c r="F295" s="16" t="str">
        <f>IF(Country_3!$C96="","",Country_3!F96)</f>
        <v/>
      </c>
      <c r="G295" s="17" t="str">
        <f>IF(Country_3!$C96="","",Country_3!G96)</f>
        <v/>
      </c>
      <c r="H295" s="17" t="str">
        <f>IF(Country_3!$C96="","",Country_3!H96)</f>
        <v/>
      </c>
      <c r="I295" s="16" t="str">
        <f>IF(Country_3!$C96="","",Country_3!I96)</f>
        <v/>
      </c>
      <c r="J295" s="16" t="str">
        <f>IF(Country_3!$C96="","",Country_3!J96)</f>
        <v/>
      </c>
      <c r="K295" s="18" t="str">
        <f>IF(Country_3!$C96="","",Country_3!K96)</f>
        <v/>
      </c>
      <c r="L295" s="18" t="str">
        <f>IF(Country_3!$C96="","",Country_3!L96)</f>
        <v/>
      </c>
      <c r="M295" s="19" t="str">
        <f>IF(Country_3!$C96="","",Country_3!M96)</f>
        <v/>
      </c>
      <c r="N295" s="16" t="str">
        <f>IF(Country_3!$C96="","",Country_3!N96)</f>
        <v/>
      </c>
      <c r="O295" s="16" t="str">
        <f>IF(Country_3!$C96="","",Country_3!O96)</f>
        <v/>
      </c>
      <c r="P295" s="16" t="str">
        <f>IF(Country_3!$C96="","",Country_3!P96)</f>
        <v/>
      </c>
      <c r="Q295" s="16" t="str">
        <f>IF(Country_3!$C96="","",Country_3!Q96)</f>
        <v/>
      </c>
    </row>
    <row r="296" spans="1:17" x14ac:dyDescent="0.25">
      <c r="A296" s="16" t="str">
        <f>IF(Country_3!$C97="","",Country_3!A97)</f>
        <v/>
      </c>
      <c r="B296" s="16" t="str">
        <f>IF(Country_3!$C97="","",Country_3!B97)</f>
        <v/>
      </c>
      <c r="C296" s="16" t="str">
        <f>IF(Country_3!$C97="","",Country_3!C97)</f>
        <v/>
      </c>
      <c r="D296" s="16" t="str">
        <f>IF(Country_3!$C97="","",Country_3!D97)</f>
        <v/>
      </c>
      <c r="E296" s="16" t="str">
        <f>IF(Country_3!$C97="","",Country_3!E97)</f>
        <v/>
      </c>
      <c r="F296" s="16" t="str">
        <f>IF(Country_3!$C97="","",Country_3!F97)</f>
        <v/>
      </c>
      <c r="G296" s="17" t="str">
        <f>IF(Country_3!$C97="","",Country_3!G97)</f>
        <v/>
      </c>
      <c r="H296" s="17" t="str">
        <f>IF(Country_3!$C97="","",Country_3!H97)</f>
        <v/>
      </c>
      <c r="I296" s="16" t="str">
        <f>IF(Country_3!$C97="","",Country_3!I97)</f>
        <v/>
      </c>
      <c r="J296" s="16" t="str">
        <f>IF(Country_3!$C97="","",Country_3!J97)</f>
        <v/>
      </c>
      <c r="K296" s="18" t="str">
        <f>IF(Country_3!$C97="","",Country_3!K97)</f>
        <v/>
      </c>
      <c r="L296" s="18" t="str">
        <f>IF(Country_3!$C97="","",Country_3!L97)</f>
        <v/>
      </c>
      <c r="M296" s="19" t="str">
        <f>IF(Country_3!$C97="","",Country_3!M97)</f>
        <v/>
      </c>
      <c r="N296" s="16" t="str">
        <f>IF(Country_3!$C97="","",Country_3!N97)</f>
        <v/>
      </c>
      <c r="O296" s="16" t="str">
        <f>IF(Country_3!$C97="","",Country_3!O97)</f>
        <v/>
      </c>
      <c r="P296" s="16" t="str">
        <f>IF(Country_3!$C97="","",Country_3!P97)</f>
        <v/>
      </c>
      <c r="Q296" s="16" t="str">
        <f>IF(Country_3!$C97="","",Country_3!Q97)</f>
        <v/>
      </c>
    </row>
    <row r="297" spans="1:17" x14ac:dyDescent="0.25">
      <c r="A297" s="16" t="str">
        <f>IF(Country_3!$C98="","",Country_3!A98)</f>
        <v/>
      </c>
      <c r="B297" s="16" t="str">
        <f>IF(Country_3!$C98="","",Country_3!B98)</f>
        <v/>
      </c>
      <c r="C297" s="16" t="str">
        <f>IF(Country_3!$C98="","",Country_3!C98)</f>
        <v/>
      </c>
      <c r="D297" s="16" t="str">
        <f>IF(Country_3!$C98="","",Country_3!D98)</f>
        <v/>
      </c>
      <c r="E297" s="16" t="str">
        <f>IF(Country_3!$C98="","",Country_3!E98)</f>
        <v/>
      </c>
      <c r="F297" s="16" t="str">
        <f>IF(Country_3!$C98="","",Country_3!F98)</f>
        <v/>
      </c>
      <c r="G297" s="17" t="str">
        <f>IF(Country_3!$C98="","",Country_3!G98)</f>
        <v/>
      </c>
      <c r="H297" s="17" t="str">
        <f>IF(Country_3!$C98="","",Country_3!H98)</f>
        <v/>
      </c>
      <c r="I297" s="16" t="str">
        <f>IF(Country_3!$C98="","",Country_3!I98)</f>
        <v/>
      </c>
      <c r="J297" s="16" t="str">
        <f>IF(Country_3!$C98="","",Country_3!J98)</f>
        <v/>
      </c>
      <c r="K297" s="18" t="str">
        <f>IF(Country_3!$C98="","",Country_3!K98)</f>
        <v/>
      </c>
      <c r="L297" s="18" t="str">
        <f>IF(Country_3!$C98="","",Country_3!L98)</f>
        <v/>
      </c>
      <c r="M297" s="19" t="str">
        <f>IF(Country_3!$C98="","",Country_3!M98)</f>
        <v/>
      </c>
      <c r="N297" s="16" t="str">
        <f>IF(Country_3!$C98="","",Country_3!N98)</f>
        <v/>
      </c>
      <c r="O297" s="16" t="str">
        <f>IF(Country_3!$C98="","",Country_3!O98)</f>
        <v/>
      </c>
      <c r="P297" s="16" t="str">
        <f>IF(Country_3!$C98="","",Country_3!P98)</f>
        <v/>
      </c>
      <c r="Q297" s="16" t="str">
        <f>IF(Country_3!$C98="","",Country_3!Q98)</f>
        <v/>
      </c>
    </row>
    <row r="298" spans="1:17" x14ac:dyDescent="0.25">
      <c r="A298" s="16" t="str">
        <f>IF(Country_3!$C99="","",Country_3!A99)</f>
        <v/>
      </c>
      <c r="B298" s="16" t="str">
        <f>IF(Country_3!$C99="","",Country_3!B99)</f>
        <v/>
      </c>
      <c r="C298" s="16" t="str">
        <f>IF(Country_3!$C99="","",Country_3!C99)</f>
        <v/>
      </c>
      <c r="D298" s="16" t="str">
        <f>IF(Country_3!$C99="","",Country_3!D99)</f>
        <v/>
      </c>
      <c r="E298" s="16" t="str">
        <f>IF(Country_3!$C99="","",Country_3!E99)</f>
        <v/>
      </c>
      <c r="F298" s="16" t="str">
        <f>IF(Country_3!$C99="","",Country_3!F99)</f>
        <v/>
      </c>
      <c r="G298" s="17" t="str">
        <f>IF(Country_3!$C99="","",Country_3!G99)</f>
        <v/>
      </c>
      <c r="H298" s="17" t="str">
        <f>IF(Country_3!$C99="","",Country_3!H99)</f>
        <v/>
      </c>
      <c r="I298" s="16" t="str">
        <f>IF(Country_3!$C99="","",Country_3!I99)</f>
        <v/>
      </c>
      <c r="J298" s="16" t="str">
        <f>IF(Country_3!$C99="","",Country_3!J99)</f>
        <v/>
      </c>
      <c r="K298" s="18" t="str">
        <f>IF(Country_3!$C99="","",Country_3!K99)</f>
        <v/>
      </c>
      <c r="L298" s="18" t="str">
        <f>IF(Country_3!$C99="","",Country_3!L99)</f>
        <v/>
      </c>
      <c r="M298" s="19" t="str">
        <f>IF(Country_3!$C99="","",Country_3!M99)</f>
        <v/>
      </c>
      <c r="N298" s="16" t="str">
        <f>IF(Country_3!$C99="","",Country_3!N99)</f>
        <v/>
      </c>
      <c r="O298" s="16" t="str">
        <f>IF(Country_3!$C99="","",Country_3!O99)</f>
        <v/>
      </c>
      <c r="P298" s="16" t="str">
        <f>IF(Country_3!$C99="","",Country_3!P99)</f>
        <v/>
      </c>
      <c r="Q298" s="16" t="str">
        <f>IF(Country_3!$C99="","",Country_3!Q99)</f>
        <v/>
      </c>
    </row>
    <row r="299" spans="1:17" x14ac:dyDescent="0.25">
      <c r="A299" s="16" t="str">
        <f>IF(Country_3!$C100="","",Country_3!A100)</f>
        <v/>
      </c>
      <c r="B299" s="16" t="str">
        <f>IF(Country_3!$C100="","",Country_3!B100)</f>
        <v/>
      </c>
      <c r="C299" s="16" t="str">
        <f>IF(Country_3!$C100="","",Country_3!C100)</f>
        <v/>
      </c>
      <c r="D299" s="16" t="str">
        <f>IF(Country_3!$C100="","",Country_3!D100)</f>
        <v/>
      </c>
      <c r="E299" s="16" t="str">
        <f>IF(Country_3!$C100="","",Country_3!E100)</f>
        <v/>
      </c>
      <c r="F299" s="16" t="str">
        <f>IF(Country_3!$C100="","",Country_3!F100)</f>
        <v/>
      </c>
      <c r="G299" s="17" t="str">
        <f>IF(Country_3!$C100="","",Country_3!G100)</f>
        <v/>
      </c>
      <c r="H299" s="17" t="str">
        <f>IF(Country_3!$C100="","",Country_3!H100)</f>
        <v/>
      </c>
      <c r="I299" s="16" t="str">
        <f>IF(Country_3!$C100="","",Country_3!I100)</f>
        <v/>
      </c>
      <c r="J299" s="16" t="str">
        <f>IF(Country_3!$C100="","",Country_3!J100)</f>
        <v/>
      </c>
      <c r="K299" s="18" t="str">
        <f>IF(Country_3!$C100="","",Country_3!K100)</f>
        <v/>
      </c>
      <c r="L299" s="18" t="str">
        <f>IF(Country_3!$C100="","",Country_3!L100)</f>
        <v/>
      </c>
      <c r="M299" s="19" t="str">
        <f>IF(Country_3!$C100="","",Country_3!M100)</f>
        <v/>
      </c>
      <c r="N299" s="16" t="str">
        <f>IF(Country_3!$C100="","",Country_3!N100)</f>
        <v/>
      </c>
      <c r="O299" s="16" t="str">
        <f>IF(Country_3!$C100="","",Country_3!O100)</f>
        <v/>
      </c>
      <c r="P299" s="16" t="str">
        <f>IF(Country_3!$C100="","",Country_3!P100)</f>
        <v/>
      </c>
      <c r="Q299" s="16" t="str">
        <f>IF(Country_3!$C100="","",Country_3!Q100)</f>
        <v/>
      </c>
    </row>
    <row r="300" spans="1:17" x14ac:dyDescent="0.25">
      <c r="A300" s="16" t="str">
        <f>IF(Country_3!$C101="","",Country_3!A101)</f>
        <v/>
      </c>
      <c r="B300" s="16" t="str">
        <f>IF(Country_3!$C101="","",Country_3!B101)</f>
        <v/>
      </c>
      <c r="C300" s="16" t="str">
        <f>IF(Country_3!$C101="","",Country_3!C101)</f>
        <v/>
      </c>
      <c r="D300" s="16" t="str">
        <f>IF(Country_3!$C101="","",Country_3!D101)</f>
        <v/>
      </c>
      <c r="E300" s="16" t="str">
        <f>IF(Country_3!$C101="","",Country_3!E101)</f>
        <v/>
      </c>
      <c r="F300" s="16" t="str">
        <f>IF(Country_3!$C101="","",Country_3!F101)</f>
        <v/>
      </c>
      <c r="G300" s="17" t="str">
        <f>IF(Country_3!$C101="","",Country_3!G101)</f>
        <v/>
      </c>
      <c r="H300" s="17" t="str">
        <f>IF(Country_3!$C101="","",Country_3!H101)</f>
        <v/>
      </c>
      <c r="I300" s="16" t="str">
        <f>IF(Country_3!$C101="","",Country_3!I101)</f>
        <v/>
      </c>
      <c r="J300" s="16" t="str">
        <f>IF(Country_3!$C101="","",Country_3!J101)</f>
        <v/>
      </c>
      <c r="K300" s="18" t="str">
        <f>IF(Country_3!$C101="","",Country_3!K101)</f>
        <v/>
      </c>
      <c r="L300" s="18" t="str">
        <f>IF(Country_3!$C101="","",Country_3!L101)</f>
        <v/>
      </c>
      <c r="M300" s="19" t="str">
        <f>IF(Country_3!$C101="","",Country_3!M101)</f>
        <v/>
      </c>
      <c r="N300" s="16" t="str">
        <f>IF(Country_3!$C101="","",Country_3!N101)</f>
        <v/>
      </c>
      <c r="O300" s="16" t="str">
        <f>IF(Country_3!$C101="","",Country_3!O101)</f>
        <v/>
      </c>
      <c r="P300" s="16" t="str">
        <f>IF(Country_3!$C101="","",Country_3!P101)</f>
        <v/>
      </c>
      <c r="Q300" s="16" t="str">
        <f>IF(Country_3!$C101="","",Country_3!Q101)</f>
        <v/>
      </c>
    </row>
    <row r="301" spans="1:17" x14ac:dyDescent="0.25">
      <c r="A301" s="16" t="str">
        <f>IF(Country_3!$C102="","",Country_3!A102)</f>
        <v/>
      </c>
      <c r="B301" s="16" t="str">
        <f>IF(Country_3!$C102="","",Country_3!B102)</f>
        <v/>
      </c>
      <c r="C301" s="16" t="str">
        <f>IF(Country_3!$C102="","",Country_3!C102)</f>
        <v/>
      </c>
      <c r="D301" s="16" t="str">
        <f>IF(Country_3!$C102="","",Country_3!D102)</f>
        <v/>
      </c>
      <c r="E301" s="16" t="str">
        <f>IF(Country_3!$C102="","",Country_3!E102)</f>
        <v/>
      </c>
      <c r="F301" s="16" t="str">
        <f>IF(Country_3!$C102="","",Country_3!F102)</f>
        <v/>
      </c>
      <c r="G301" s="17" t="str">
        <f>IF(Country_3!$C102="","",Country_3!G102)</f>
        <v/>
      </c>
      <c r="H301" s="17" t="str">
        <f>IF(Country_3!$C102="","",Country_3!H102)</f>
        <v/>
      </c>
      <c r="I301" s="16" t="str">
        <f>IF(Country_3!$C102="","",Country_3!I102)</f>
        <v/>
      </c>
      <c r="J301" s="16" t="str">
        <f>IF(Country_3!$C102="","",Country_3!J102)</f>
        <v/>
      </c>
      <c r="K301" s="18" t="str">
        <f>IF(Country_3!$C102="","",Country_3!K102)</f>
        <v/>
      </c>
      <c r="L301" s="18" t="str">
        <f>IF(Country_3!$C102="","",Country_3!L102)</f>
        <v/>
      </c>
      <c r="M301" s="19" t="str">
        <f>IF(Country_3!$C102="","",Country_3!M102)</f>
        <v/>
      </c>
      <c r="N301" s="16" t="str">
        <f>IF(Country_3!$C102="","",Country_3!N102)</f>
        <v/>
      </c>
      <c r="O301" s="16" t="str">
        <f>IF(Country_3!$C102="","",Country_3!O102)</f>
        <v/>
      </c>
      <c r="P301" s="16" t="str">
        <f>IF(Country_3!$C102="","",Country_3!P102)</f>
        <v/>
      </c>
      <c r="Q301" s="16" t="str">
        <f>IF(Country_3!$C102="","",Country_3!Q102)</f>
        <v/>
      </c>
    </row>
    <row r="302" spans="1:17" x14ac:dyDescent="0.25">
      <c r="A302" s="16" t="str">
        <f>IF(Country_4!$C3="","",Country_4!A3)</f>
        <v>OI-104</v>
      </c>
      <c r="B302" s="16" t="str">
        <f>IF(Country_4!$C3="","",Country_4!B3)</f>
        <v>Policy dialogues facilitated</v>
      </c>
      <c r="C302" s="16" t="str">
        <f>IF(Country_4!$C3="","",Country_4!C3)</f>
        <v>C4A001</v>
      </c>
      <c r="D302" s="16" t="str">
        <f>IF(Country_4!$C3="","",Country_4!D3)</f>
        <v>Policy dialogue 1</v>
      </c>
      <c r="E302" s="16" t="str">
        <f>IF(Country_4!$C3="","",Country_4!E3)</f>
        <v>Advocacy</v>
      </c>
      <c r="F302" s="16" t="str">
        <f>IF(Country_4!$C3="","",Country_4!F3)</f>
        <v>Country_4</v>
      </c>
      <c r="G302" s="17">
        <f>IF(Country_4!$C3="","",Country_4!G3)</f>
        <v>45839</v>
      </c>
      <c r="H302" s="17">
        <f>IF(Country_4!$C3="","",Country_4!H3)</f>
        <v>45930</v>
      </c>
      <c r="I302" s="16" t="str">
        <f>IF(Country_4!$C3="","",Country_4!I3)</f>
        <v>Year 2</v>
      </c>
      <c r="J302" s="16" t="str">
        <f>IF(Country_4!$C3="","",Country_4!J3)</f>
        <v>Y2Q3</v>
      </c>
      <c r="K302" s="18">
        <f>IF(Country_4!$C3="","",Country_4!K3)</f>
        <v>63</v>
      </c>
      <c r="L302" s="18">
        <f>IF(Country_4!$C3="","",Country_4!L3)</f>
        <v>61</v>
      </c>
      <c r="M302" s="19">
        <f>IF(Country_4!$C3="","",Country_4!M3)</f>
        <v>0.96825396825396826</v>
      </c>
      <c r="N302" s="16" t="str">
        <f>IF(Country_4!$C3="","",Country_4!N3)</f>
        <v>Meeting minutes; participant list</v>
      </c>
      <c r="O302" s="16" t="str">
        <f>IF(Country_4!$C3="","",Country_4!O3)</f>
        <v>No</v>
      </c>
      <c r="P302" s="16" t="str">
        <f>IF(Country_4!$C3="","",Country_4!P3)</f>
        <v>In progress</v>
      </c>
      <c r="Q302" s="16" t="str">
        <f>IF(Country_4!$C3="","",Country_4!Q3)</f>
        <v>Final attendance reconciliation pending.</v>
      </c>
    </row>
    <row r="303" spans="1:17" x14ac:dyDescent="0.25">
      <c r="A303" s="16" t="str">
        <f>IF(Country_4!$C4="","",Country_4!A4)</f>
        <v>OI-101</v>
      </c>
      <c r="B303" s="16" t="str">
        <f>IF(Country_4!$C4="","",Country_4!B4)</f>
        <v>People trained in targeted skills</v>
      </c>
      <c r="C303" s="16" t="str">
        <f>IF(Country_4!$C4="","",Country_4!C4)</f>
        <v>C4A002</v>
      </c>
      <c r="D303" s="16" t="str">
        <f>IF(Country_4!$C4="","",Country_4!D4)</f>
        <v>Training workshop 2</v>
      </c>
      <c r="E303" s="16" t="str">
        <f>IF(Country_4!$C4="","",Country_4!E4)</f>
        <v>Training</v>
      </c>
      <c r="F303" s="16" t="str">
        <f>IF(Country_4!$C4="","",Country_4!F4)</f>
        <v>Country_4</v>
      </c>
      <c r="G303" s="17">
        <f>IF(Country_4!$C4="","",Country_4!G4)</f>
        <v>45931</v>
      </c>
      <c r="H303" s="17">
        <f>IF(Country_4!$C4="","",Country_4!H4)</f>
        <v>46022</v>
      </c>
      <c r="I303" s="16" t="str">
        <f>IF(Country_4!$C4="","",Country_4!I4)</f>
        <v>Year 2</v>
      </c>
      <c r="J303" s="16" t="str">
        <f>IF(Country_4!$C4="","",Country_4!J4)</f>
        <v>Y2Q4</v>
      </c>
      <c r="K303" s="18">
        <f>IF(Country_4!$C4="","",Country_4!K4)</f>
        <v>68</v>
      </c>
      <c r="L303" s="18">
        <f>IF(Country_4!$C4="","",Country_4!L4)</f>
        <v>62</v>
      </c>
      <c r="M303" s="19">
        <f>IF(Country_4!$C4="","",Country_4!M4)</f>
        <v>0.91176470588235292</v>
      </c>
      <c r="N303" s="16" t="str">
        <f>IF(Country_4!$C4="","",Country_4!N4)</f>
        <v>Signed attendance sheet; pre/post test forms</v>
      </c>
      <c r="O303" s="16" t="str">
        <f>IF(Country_4!$C4="","",Country_4!O4)</f>
        <v>Yes</v>
      </c>
      <c r="P303" s="16" t="str">
        <f>IF(Country_4!$C4="","",Country_4!P4)</f>
        <v>In progress</v>
      </c>
      <c r="Q303" s="16" t="str">
        <f>IF(Country_4!$C4="","",Country_4!Q4)</f>
        <v>Final attendance reconciliation pending.</v>
      </c>
    </row>
    <row r="304" spans="1:17" x14ac:dyDescent="0.25">
      <c r="A304" s="16" t="str">
        <f>IF(Country_4!$C5="","",Country_4!A5)</f>
        <v>OI-102</v>
      </c>
      <c r="B304" s="16" t="str">
        <f>IF(Country_4!$C5="","",Country_4!B5)</f>
        <v>Community outreach events delivered</v>
      </c>
      <c r="C304" s="16" t="str">
        <f>IF(Country_4!$C5="","",Country_4!C5)</f>
        <v>C4A003</v>
      </c>
      <c r="D304" s="16" t="str">
        <f>IF(Country_4!$C5="","",Country_4!D5)</f>
        <v>Community outreach campaign 3</v>
      </c>
      <c r="E304" s="16" t="str">
        <f>IF(Country_4!$C5="","",Country_4!E5)</f>
        <v>Outreach</v>
      </c>
      <c r="F304" s="16" t="str">
        <f>IF(Country_4!$C5="","",Country_4!F5)</f>
        <v>Country_4</v>
      </c>
      <c r="G304" s="17">
        <f>IF(Country_4!$C5="","",Country_4!G5)</f>
        <v>46023</v>
      </c>
      <c r="H304" s="17">
        <f>IF(Country_4!$C5="","",Country_4!H5)</f>
        <v>46112</v>
      </c>
      <c r="I304" s="16" t="str">
        <f>IF(Country_4!$C5="","",Country_4!I5)</f>
        <v>Year 3</v>
      </c>
      <c r="J304" s="16" t="str">
        <f>IF(Country_4!$C5="","",Country_4!J5)</f>
        <v>Y3Q1</v>
      </c>
      <c r="K304" s="18">
        <f>IF(Country_4!$C5="","",Country_4!K5)</f>
        <v>73</v>
      </c>
      <c r="L304" s="18">
        <f>IF(Country_4!$C5="","",Country_4!L5)</f>
        <v>63</v>
      </c>
      <c r="M304" s="19">
        <f>IF(Country_4!$C5="","",Country_4!M5)</f>
        <v>0.86301369863013699</v>
      </c>
      <c r="N304" s="16" t="str">
        <f>IF(Country_4!$C5="","",Country_4!N5)</f>
        <v>Activity report; photo log</v>
      </c>
      <c r="O304" s="16" t="str">
        <f>IF(Country_4!$C5="","",Country_4!O5)</f>
        <v>No</v>
      </c>
      <c r="P304" s="16" t="str">
        <f>IF(Country_4!$C5="","",Country_4!P5)</f>
        <v>In progress</v>
      </c>
      <c r="Q304" s="16" t="str">
        <f>IF(Country_4!$C5="","",Country_4!Q5)</f>
        <v>Final attendance reconciliation pending.</v>
      </c>
    </row>
    <row r="305" spans="1:17" x14ac:dyDescent="0.25">
      <c r="A305" s="16" t="str">
        <f>IF(Country_4!$C6="","",Country_4!A6)</f>
        <v>OI-103</v>
      </c>
      <c r="B305" s="16" t="str">
        <f>IF(Country_4!$C6="","",Country_4!B6)</f>
        <v>Supportive supervision visits conducted</v>
      </c>
      <c r="C305" s="16" t="str">
        <f>IF(Country_4!$C6="","",Country_4!C6)</f>
        <v>C4A004</v>
      </c>
      <c r="D305" s="16" t="str">
        <f>IF(Country_4!$C6="","",Country_4!D6)</f>
        <v>Supportive supervision visit 4</v>
      </c>
      <c r="E305" s="16" t="str">
        <f>IF(Country_4!$C6="","",Country_4!E6)</f>
        <v>Monitoring</v>
      </c>
      <c r="F305" s="16" t="str">
        <f>IF(Country_4!$C6="","",Country_4!F6)</f>
        <v>Country_4</v>
      </c>
      <c r="G305" s="17">
        <f>IF(Country_4!$C6="","",Country_4!G6)</f>
        <v>46113</v>
      </c>
      <c r="H305" s="17">
        <f>IF(Country_4!$C6="","",Country_4!H6)</f>
        <v>46203</v>
      </c>
      <c r="I305" s="16" t="str">
        <f>IF(Country_4!$C6="","",Country_4!I6)</f>
        <v>Year 3</v>
      </c>
      <c r="J305" s="16" t="str">
        <f>IF(Country_4!$C6="","",Country_4!J6)</f>
        <v>Y3Q2</v>
      </c>
      <c r="K305" s="18">
        <f>IF(Country_4!$C6="","",Country_4!K6)</f>
        <v>78</v>
      </c>
      <c r="L305" s="18">
        <f>IF(Country_4!$C6="","",Country_4!L6)</f>
        <v>85</v>
      </c>
      <c r="M305" s="19">
        <f>IF(Country_4!$C6="","",Country_4!M6)</f>
        <v>1.0897435897435896</v>
      </c>
      <c r="N305" s="16" t="str">
        <f>IF(Country_4!$C6="","",Country_4!N6)</f>
        <v>Supervision checklist; visit report</v>
      </c>
      <c r="O305" s="16" t="str">
        <f>IF(Country_4!$C6="","",Country_4!O6)</f>
        <v>No</v>
      </c>
      <c r="P305" s="16" t="str">
        <f>IF(Country_4!$C6="","",Country_4!P6)</f>
        <v>Completed</v>
      </c>
      <c r="Q305" s="16" t="str">
        <f>IF(Country_4!$C6="","",Country_4!Q6)</f>
        <v>Completed as scheduled.</v>
      </c>
    </row>
    <row r="306" spans="1:17" x14ac:dyDescent="0.25">
      <c r="A306" s="16" t="str">
        <f>IF(Country_4!$C7="","",Country_4!A7)</f>
        <v>OI-104</v>
      </c>
      <c r="B306" s="16" t="str">
        <f>IF(Country_4!$C7="","",Country_4!B7)</f>
        <v>Policy dialogues facilitated</v>
      </c>
      <c r="C306" s="16" t="str">
        <f>IF(Country_4!$C7="","",Country_4!C7)</f>
        <v>C4A005</v>
      </c>
      <c r="D306" s="16" t="str">
        <f>IF(Country_4!$C7="","",Country_4!D7)</f>
        <v>Policy dialogue 5</v>
      </c>
      <c r="E306" s="16" t="str">
        <f>IF(Country_4!$C7="","",Country_4!E7)</f>
        <v>Advocacy</v>
      </c>
      <c r="F306" s="16" t="str">
        <f>IF(Country_4!$C7="","",Country_4!F7)</f>
        <v>Country_4</v>
      </c>
      <c r="G306" s="17">
        <f>IF(Country_4!$C7="","",Country_4!G7)</f>
        <v>46204</v>
      </c>
      <c r="H306" s="17">
        <f>IF(Country_4!$C7="","",Country_4!H7)</f>
        <v>46295</v>
      </c>
      <c r="I306" s="16" t="str">
        <f>IF(Country_4!$C7="","",Country_4!I7)</f>
        <v>Year 3</v>
      </c>
      <c r="J306" s="16" t="str">
        <f>IF(Country_4!$C7="","",Country_4!J7)</f>
        <v>Y3Q3</v>
      </c>
      <c r="K306" s="18">
        <f>IF(Country_4!$C7="","",Country_4!K7)</f>
        <v>33</v>
      </c>
      <c r="L306" s="18">
        <f>IF(Country_4!$C7="","",Country_4!L7)</f>
        <v>0</v>
      </c>
      <c r="M306" s="19">
        <f>IF(Country_4!$C7="","",Country_4!M7)</f>
        <v>0</v>
      </c>
      <c r="N306" s="16" t="str">
        <f>IF(Country_4!$C7="","",Country_4!N7)</f>
        <v>Meeting minutes; participant list</v>
      </c>
      <c r="O306" s="16" t="str">
        <f>IF(Country_4!$C7="","",Country_4!O7)</f>
        <v>Yes</v>
      </c>
      <c r="P306" s="16" t="str">
        <f>IF(Country_4!$C7="","",Country_4!P7)</f>
        <v>Not started</v>
      </c>
      <c r="Q306" s="16" t="str">
        <f>IF(Country_4!$C7="","",Country_4!Q7)</f>
        <v>Planned for a future quarter.</v>
      </c>
    </row>
    <row r="307" spans="1:17" x14ac:dyDescent="0.25">
      <c r="A307" s="16" t="str">
        <f>IF(Country_4!$C8="","",Country_4!A8)</f>
        <v>OI-101</v>
      </c>
      <c r="B307" s="16" t="str">
        <f>IF(Country_4!$C8="","",Country_4!B8)</f>
        <v>People trained in targeted skills</v>
      </c>
      <c r="C307" s="16" t="str">
        <f>IF(Country_4!$C8="","",Country_4!C8)</f>
        <v>C4A006</v>
      </c>
      <c r="D307" s="16" t="str">
        <f>IF(Country_4!$C8="","",Country_4!D8)</f>
        <v>Training workshop 6</v>
      </c>
      <c r="E307" s="16" t="str">
        <f>IF(Country_4!$C8="","",Country_4!E8)</f>
        <v>Training</v>
      </c>
      <c r="F307" s="16" t="str">
        <f>IF(Country_4!$C8="","",Country_4!F8)</f>
        <v>Country_4</v>
      </c>
      <c r="G307" s="17">
        <f>IF(Country_4!$C8="","",Country_4!G8)</f>
        <v>46296</v>
      </c>
      <c r="H307" s="17">
        <f>IF(Country_4!$C8="","",Country_4!H8)</f>
        <v>46387</v>
      </c>
      <c r="I307" s="16" t="str">
        <f>IF(Country_4!$C8="","",Country_4!I8)</f>
        <v>Year 3</v>
      </c>
      <c r="J307" s="16" t="str">
        <f>IF(Country_4!$C8="","",Country_4!J8)</f>
        <v>Y3Q4</v>
      </c>
      <c r="K307" s="18">
        <f>IF(Country_4!$C8="","",Country_4!K8)</f>
        <v>38</v>
      </c>
      <c r="L307" s="18">
        <f>IF(Country_4!$C8="","",Country_4!L8)</f>
        <v>0</v>
      </c>
      <c r="M307" s="19">
        <f>IF(Country_4!$C8="","",Country_4!M8)</f>
        <v>0</v>
      </c>
      <c r="N307" s="16" t="str">
        <f>IF(Country_4!$C8="","",Country_4!N8)</f>
        <v>Signed attendance sheet; pre/post test forms</v>
      </c>
      <c r="O307" s="16" t="str">
        <f>IF(Country_4!$C8="","",Country_4!O8)</f>
        <v>No</v>
      </c>
      <c r="P307" s="16" t="str">
        <f>IF(Country_4!$C8="","",Country_4!P8)</f>
        <v>Not started</v>
      </c>
      <c r="Q307" s="16" t="str">
        <f>IF(Country_4!$C8="","",Country_4!Q8)</f>
        <v>Planned for a future quarter.</v>
      </c>
    </row>
    <row r="308" spans="1:17" x14ac:dyDescent="0.25">
      <c r="A308" s="16" t="str">
        <f>IF(Country_4!$C9="","",Country_4!A9)</f>
        <v/>
      </c>
      <c r="B308" s="16" t="str">
        <f>IF(Country_4!$C9="","",Country_4!B9)</f>
        <v/>
      </c>
      <c r="C308" s="16" t="str">
        <f>IF(Country_4!$C9="","",Country_4!C9)</f>
        <v/>
      </c>
      <c r="D308" s="16" t="str">
        <f>IF(Country_4!$C9="","",Country_4!D9)</f>
        <v/>
      </c>
      <c r="E308" s="16" t="str">
        <f>IF(Country_4!$C9="","",Country_4!E9)</f>
        <v/>
      </c>
      <c r="F308" s="16" t="str">
        <f>IF(Country_4!$C9="","",Country_4!F9)</f>
        <v/>
      </c>
      <c r="G308" s="17" t="str">
        <f>IF(Country_4!$C9="","",Country_4!G9)</f>
        <v/>
      </c>
      <c r="H308" s="17" t="str">
        <f>IF(Country_4!$C9="","",Country_4!H9)</f>
        <v/>
      </c>
      <c r="I308" s="16" t="str">
        <f>IF(Country_4!$C9="","",Country_4!I9)</f>
        <v/>
      </c>
      <c r="J308" s="16" t="str">
        <f>IF(Country_4!$C9="","",Country_4!J9)</f>
        <v/>
      </c>
      <c r="K308" s="18" t="str">
        <f>IF(Country_4!$C9="","",Country_4!K9)</f>
        <v/>
      </c>
      <c r="L308" s="18" t="str">
        <f>IF(Country_4!$C9="","",Country_4!L9)</f>
        <v/>
      </c>
      <c r="M308" s="19" t="str">
        <f>IF(Country_4!$C9="","",Country_4!M9)</f>
        <v/>
      </c>
      <c r="N308" s="16" t="str">
        <f>IF(Country_4!$C9="","",Country_4!N9)</f>
        <v/>
      </c>
      <c r="O308" s="16" t="str">
        <f>IF(Country_4!$C9="","",Country_4!O9)</f>
        <v/>
      </c>
      <c r="P308" s="16" t="str">
        <f>IF(Country_4!$C9="","",Country_4!P9)</f>
        <v/>
      </c>
      <c r="Q308" s="16" t="str">
        <f>IF(Country_4!$C9="","",Country_4!Q9)</f>
        <v/>
      </c>
    </row>
    <row r="309" spans="1:17" x14ac:dyDescent="0.25">
      <c r="A309" s="16" t="str">
        <f>IF(Country_4!$C10="","",Country_4!A10)</f>
        <v/>
      </c>
      <c r="B309" s="16" t="str">
        <f>IF(Country_4!$C10="","",Country_4!B10)</f>
        <v/>
      </c>
      <c r="C309" s="16" t="str">
        <f>IF(Country_4!$C10="","",Country_4!C10)</f>
        <v/>
      </c>
      <c r="D309" s="16" t="str">
        <f>IF(Country_4!$C10="","",Country_4!D10)</f>
        <v/>
      </c>
      <c r="E309" s="16" t="str">
        <f>IF(Country_4!$C10="","",Country_4!E10)</f>
        <v/>
      </c>
      <c r="F309" s="16" t="str">
        <f>IF(Country_4!$C10="","",Country_4!F10)</f>
        <v/>
      </c>
      <c r="G309" s="17" t="str">
        <f>IF(Country_4!$C10="","",Country_4!G10)</f>
        <v/>
      </c>
      <c r="H309" s="17" t="str">
        <f>IF(Country_4!$C10="","",Country_4!H10)</f>
        <v/>
      </c>
      <c r="I309" s="16" t="str">
        <f>IF(Country_4!$C10="","",Country_4!I10)</f>
        <v/>
      </c>
      <c r="J309" s="16" t="str">
        <f>IF(Country_4!$C10="","",Country_4!J10)</f>
        <v/>
      </c>
      <c r="K309" s="18" t="str">
        <f>IF(Country_4!$C10="","",Country_4!K10)</f>
        <v/>
      </c>
      <c r="L309" s="18" t="str">
        <f>IF(Country_4!$C10="","",Country_4!L10)</f>
        <v/>
      </c>
      <c r="M309" s="19" t="str">
        <f>IF(Country_4!$C10="","",Country_4!M10)</f>
        <v/>
      </c>
      <c r="N309" s="16" t="str">
        <f>IF(Country_4!$C10="","",Country_4!N10)</f>
        <v/>
      </c>
      <c r="O309" s="16" t="str">
        <f>IF(Country_4!$C10="","",Country_4!O10)</f>
        <v/>
      </c>
      <c r="P309" s="16" t="str">
        <f>IF(Country_4!$C10="","",Country_4!P10)</f>
        <v/>
      </c>
      <c r="Q309" s="16" t="str">
        <f>IF(Country_4!$C10="","",Country_4!Q10)</f>
        <v/>
      </c>
    </row>
    <row r="310" spans="1:17" x14ac:dyDescent="0.25">
      <c r="A310" s="16" t="str">
        <f>IF(Country_4!$C11="","",Country_4!A11)</f>
        <v/>
      </c>
      <c r="B310" s="16" t="str">
        <f>IF(Country_4!$C11="","",Country_4!B11)</f>
        <v/>
      </c>
      <c r="C310" s="16" t="str">
        <f>IF(Country_4!$C11="","",Country_4!C11)</f>
        <v/>
      </c>
      <c r="D310" s="16" t="str">
        <f>IF(Country_4!$C11="","",Country_4!D11)</f>
        <v/>
      </c>
      <c r="E310" s="16" t="str">
        <f>IF(Country_4!$C11="","",Country_4!E11)</f>
        <v/>
      </c>
      <c r="F310" s="16" t="str">
        <f>IF(Country_4!$C11="","",Country_4!F11)</f>
        <v/>
      </c>
      <c r="G310" s="17" t="str">
        <f>IF(Country_4!$C11="","",Country_4!G11)</f>
        <v/>
      </c>
      <c r="H310" s="17" t="str">
        <f>IF(Country_4!$C11="","",Country_4!H11)</f>
        <v/>
      </c>
      <c r="I310" s="16" t="str">
        <f>IF(Country_4!$C11="","",Country_4!I11)</f>
        <v/>
      </c>
      <c r="J310" s="16" t="str">
        <f>IF(Country_4!$C11="","",Country_4!J11)</f>
        <v/>
      </c>
      <c r="K310" s="18" t="str">
        <f>IF(Country_4!$C11="","",Country_4!K11)</f>
        <v/>
      </c>
      <c r="L310" s="18" t="str">
        <f>IF(Country_4!$C11="","",Country_4!L11)</f>
        <v/>
      </c>
      <c r="M310" s="19" t="str">
        <f>IF(Country_4!$C11="","",Country_4!M11)</f>
        <v/>
      </c>
      <c r="N310" s="16" t="str">
        <f>IF(Country_4!$C11="","",Country_4!N11)</f>
        <v/>
      </c>
      <c r="O310" s="16" t="str">
        <f>IF(Country_4!$C11="","",Country_4!O11)</f>
        <v/>
      </c>
      <c r="P310" s="16" t="str">
        <f>IF(Country_4!$C11="","",Country_4!P11)</f>
        <v/>
      </c>
      <c r="Q310" s="16" t="str">
        <f>IF(Country_4!$C11="","",Country_4!Q11)</f>
        <v/>
      </c>
    </row>
    <row r="311" spans="1:17" x14ac:dyDescent="0.25">
      <c r="A311" s="16" t="str">
        <f>IF(Country_4!$C12="","",Country_4!A12)</f>
        <v/>
      </c>
      <c r="B311" s="16" t="str">
        <f>IF(Country_4!$C12="","",Country_4!B12)</f>
        <v/>
      </c>
      <c r="C311" s="16" t="str">
        <f>IF(Country_4!$C12="","",Country_4!C12)</f>
        <v/>
      </c>
      <c r="D311" s="16" t="str">
        <f>IF(Country_4!$C12="","",Country_4!D12)</f>
        <v/>
      </c>
      <c r="E311" s="16" t="str">
        <f>IF(Country_4!$C12="","",Country_4!E12)</f>
        <v/>
      </c>
      <c r="F311" s="16" t="str">
        <f>IF(Country_4!$C12="","",Country_4!F12)</f>
        <v/>
      </c>
      <c r="G311" s="17" t="str">
        <f>IF(Country_4!$C12="","",Country_4!G12)</f>
        <v/>
      </c>
      <c r="H311" s="17" t="str">
        <f>IF(Country_4!$C12="","",Country_4!H12)</f>
        <v/>
      </c>
      <c r="I311" s="16" t="str">
        <f>IF(Country_4!$C12="","",Country_4!I12)</f>
        <v/>
      </c>
      <c r="J311" s="16" t="str">
        <f>IF(Country_4!$C12="","",Country_4!J12)</f>
        <v/>
      </c>
      <c r="K311" s="18" t="str">
        <f>IF(Country_4!$C12="","",Country_4!K12)</f>
        <v/>
      </c>
      <c r="L311" s="18" t="str">
        <f>IF(Country_4!$C12="","",Country_4!L12)</f>
        <v/>
      </c>
      <c r="M311" s="19" t="str">
        <f>IF(Country_4!$C12="","",Country_4!M12)</f>
        <v/>
      </c>
      <c r="N311" s="16" t="str">
        <f>IF(Country_4!$C12="","",Country_4!N12)</f>
        <v/>
      </c>
      <c r="O311" s="16" t="str">
        <f>IF(Country_4!$C12="","",Country_4!O12)</f>
        <v/>
      </c>
      <c r="P311" s="16" t="str">
        <f>IF(Country_4!$C12="","",Country_4!P12)</f>
        <v/>
      </c>
      <c r="Q311" s="16" t="str">
        <f>IF(Country_4!$C12="","",Country_4!Q12)</f>
        <v/>
      </c>
    </row>
    <row r="312" spans="1:17" x14ac:dyDescent="0.25">
      <c r="A312" s="16" t="str">
        <f>IF(Country_4!$C13="","",Country_4!A13)</f>
        <v/>
      </c>
      <c r="B312" s="16" t="str">
        <f>IF(Country_4!$C13="","",Country_4!B13)</f>
        <v/>
      </c>
      <c r="C312" s="16" t="str">
        <f>IF(Country_4!$C13="","",Country_4!C13)</f>
        <v/>
      </c>
      <c r="D312" s="16" t="str">
        <f>IF(Country_4!$C13="","",Country_4!D13)</f>
        <v/>
      </c>
      <c r="E312" s="16" t="str">
        <f>IF(Country_4!$C13="","",Country_4!E13)</f>
        <v/>
      </c>
      <c r="F312" s="16" t="str">
        <f>IF(Country_4!$C13="","",Country_4!F13)</f>
        <v/>
      </c>
      <c r="G312" s="17" t="str">
        <f>IF(Country_4!$C13="","",Country_4!G13)</f>
        <v/>
      </c>
      <c r="H312" s="17" t="str">
        <f>IF(Country_4!$C13="","",Country_4!H13)</f>
        <v/>
      </c>
      <c r="I312" s="16" t="str">
        <f>IF(Country_4!$C13="","",Country_4!I13)</f>
        <v/>
      </c>
      <c r="J312" s="16" t="str">
        <f>IF(Country_4!$C13="","",Country_4!J13)</f>
        <v/>
      </c>
      <c r="K312" s="18" t="str">
        <f>IF(Country_4!$C13="","",Country_4!K13)</f>
        <v/>
      </c>
      <c r="L312" s="18" t="str">
        <f>IF(Country_4!$C13="","",Country_4!L13)</f>
        <v/>
      </c>
      <c r="M312" s="19" t="str">
        <f>IF(Country_4!$C13="","",Country_4!M13)</f>
        <v/>
      </c>
      <c r="N312" s="16" t="str">
        <f>IF(Country_4!$C13="","",Country_4!N13)</f>
        <v/>
      </c>
      <c r="O312" s="16" t="str">
        <f>IF(Country_4!$C13="","",Country_4!O13)</f>
        <v/>
      </c>
      <c r="P312" s="16" t="str">
        <f>IF(Country_4!$C13="","",Country_4!P13)</f>
        <v/>
      </c>
      <c r="Q312" s="16" t="str">
        <f>IF(Country_4!$C13="","",Country_4!Q13)</f>
        <v/>
      </c>
    </row>
    <row r="313" spans="1:17" x14ac:dyDescent="0.25">
      <c r="A313" s="16" t="str">
        <f>IF(Country_4!$C14="","",Country_4!A14)</f>
        <v/>
      </c>
      <c r="B313" s="16" t="str">
        <f>IF(Country_4!$C14="","",Country_4!B14)</f>
        <v/>
      </c>
      <c r="C313" s="16" t="str">
        <f>IF(Country_4!$C14="","",Country_4!C14)</f>
        <v/>
      </c>
      <c r="D313" s="16" t="str">
        <f>IF(Country_4!$C14="","",Country_4!D14)</f>
        <v/>
      </c>
      <c r="E313" s="16" t="str">
        <f>IF(Country_4!$C14="","",Country_4!E14)</f>
        <v/>
      </c>
      <c r="F313" s="16" t="str">
        <f>IF(Country_4!$C14="","",Country_4!F14)</f>
        <v/>
      </c>
      <c r="G313" s="17" t="str">
        <f>IF(Country_4!$C14="","",Country_4!G14)</f>
        <v/>
      </c>
      <c r="H313" s="17" t="str">
        <f>IF(Country_4!$C14="","",Country_4!H14)</f>
        <v/>
      </c>
      <c r="I313" s="16" t="str">
        <f>IF(Country_4!$C14="","",Country_4!I14)</f>
        <v/>
      </c>
      <c r="J313" s="16" t="str">
        <f>IF(Country_4!$C14="","",Country_4!J14)</f>
        <v/>
      </c>
      <c r="K313" s="18" t="str">
        <f>IF(Country_4!$C14="","",Country_4!K14)</f>
        <v/>
      </c>
      <c r="L313" s="18" t="str">
        <f>IF(Country_4!$C14="","",Country_4!L14)</f>
        <v/>
      </c>
      <c r="M313" s="19" t="str">
        <f>IF(Country_4!$C14="","",Country_4!M14)</f>
        <v/>
      </c>
      <c r="N313" s="16" t="str">
        <f>IF(Country_4!$C14="","",Country_4!N14)</f>
        <v/>
      </c>
      <c r="O313" s="16" t="str">
        <f>IF(Country_4!$C14="","",Country_4!O14)</f>
        <v/>
      </c>
      <c r="P313" s="16" t="str">
        <f>IF(Country_4!$C14="","",Country_4!P14)</f>
        <v/>
      </c>
      <c r="Q313" s="16" t="str">
        <f>IF(Country_4!$C14="","",Country_4!Q14)</f>
        <v/>
      </c>
    </row>
    <row r="314" spans="1:17" x14ac:dyDescent="0.25">
      <c r="A314" s="16" t="str">
        <f>IF(Country_4!$C15="","",Country_4!A15)</f>
        <v/>
      </c>
      <c r="B314" s="16" t="str">
        <f>IF(Country_4!$C15="","",Country_4!B15)</f>
        <v/>
      </c>
      <c r="C314" s="16" t="str">
        <f>IF(Country_4!$C15="","",Country_4!C15)</f>
        <v/>
      </c>
      <c r="D314" s="16" t="str">
        <f>IF(Country_4!$C15="","",Country_4!D15)</f>
        <v/>
      </c>
      <c r="E314" s="16" t="str">
        <f>IF(Country_4!$C15="","",Country_4!E15)</f>
        <v/>
      </c>
      <c r="F314" s="16" t="str">
        <f>IF(Country_4!$C15="","",Country_4!F15)</f>
        <v/>
      </c>
      <c r="G314" s="17" t="str">
        <f>IF(Country_4!$C15="","",Country_4!G15)</f>
        <v/>
      </c>
      <c r="H314" s="17" t="str">
        <f>IF(Country_4!$C15="","",Country_4!H15)</f>
        <v/>
      </c>
      <c r="I314" s="16" t="str">
        <f>IF(Country_4!$C15="","",Country_4!I15)</f>
        <v/>
      </c>
      <c r="J314" s="16" t="str">
        <f>IF(Country_4!$C15="","",Country_4!J15)</f>
        <v/>
      </c>
      <c r="K314" s="18" t="str">
        <f>IF(Country_4!$C15="","",Country_4!K15)</f>
        <v/>
      </c>
      <c r="L314" s="18" t="str">
        <f>IF(Country_4!$C15="","",Country_4!L15)</f>
        <v/>
      </c>
      <c r="M314" s="19" t="str">
        <f>IF(Country_4!$C15="","",Country_4!M15)</f>
        <v/>
      </c>
      <c r="N314" s="16" t="str">
        <f>IF(Country_4!$C15="","",Country_4!N15)</f>
        <v/>
      </c>
      <c r="O314" s="16" t="str">
        <f>IF(Country_4!$C15="","",Country_4!O15)</f>
        <v/>
      </c>
      <c r="P314" s="16" t="str">
        <f>IF(Country_4!$C15="","",Country_4!P15)</f>
        <v/>
      </c>
      <c r="Q314" s="16" t="str">
        <f>IF(Country_4!$C15="","",Country_4!Q15)</f>
        <v/>
      </c>
    </row>
    <row r="315" spans="1:17" x14ac:dyDescent="0.25">
      <c r="A315" s="16" t="str">
        <f>IF(Country_4!$C16="","",Country_4!A16)</f>
        <v/>
      </c>
      <c r="B315" s="16" t="str">
        <f>IF(Country_4!$C16="","",Country_4!B16)</f>
        <v/>
      </c>
      <c r="C315" s="16" t="str">
        <f>IF(Country_4!$C16="","",Country_4!C16)</f>
        <v/>
      </c>
      <c r="D315" s="16" t="str">
        <f>IF(Country_4!$C16="","",Country_4!D16)</f>
        <v/>
      </c>
      <c r="E315" s="16" t="str">
        <f>IF(Country_4!$C16="","",Country_4!E16)</f>
        <v/>
      </c>
      <c r="F315" s="16" t="str">
        <f>IF(Country_4!$C16="","",Country_4!F16)</f>
        <v/>
      </c>
      <c r="G315" s="17" t="str">
        <f>IF(Country_4!$C16="","",Country_4!G16)</f>
        <v/>
      </c>
      <c r="H315" s="17" t="str">
        <f>IF(Country_4!$C16="","",Country_4!H16)</f>
        <v/>
      </c>
      <c r="I315" s="16" t="str">
        <f>IF(Country_4!$C16="","",Country_4!I16)</f>
        <v/>
      </c>
      <c r="J315" s="16" t="str">
        <f>IF(Country_4!$C16="","",Country_4!J16)</f>
        <v/>
      </c>
      <c r="K315" s="18" t="str">
        <f>IF(Country_4!$C16="","",Country_4!K16)</f>
        <v/>
      </c>
      <c r="L315" s="18" t="str">
        <f>IF(Country_4!$C16="","",Country_4!L16)</f>
        <v/>
      </c>
      <c r="M315" s="19" t="str">
        <f>IF(Country_4!$C16="","",Country_4!M16)</f>
        <v/>
      </c>
      <c r="N315" s="16" t="str">
        <f>IF(Country_4!$C16="","",Country_4!N16)</f>
        <v/>
      </c>
      <c r="O315" s="16" t="str">
        <f>IF(Country_4!$C16="","",Country_4!O16)</f>
        <v/>
      </c>
      <c r="P315" s="16" t="str">
        <f>IF(Country_4!$C16="","",Country_4!P16)</f>
        <v/>
      </c>
      <c r="Q315" s="16" t="str">
        <f>IF(Country_4!$C16="","",Country_4!Q16)</f>
        <v/>
      </c>
    </row>
    <row r="316" spans="1:17" x14ac:dyDescent="0.25">
      <c r="A316" s="16" t="str">
        <f>IF(Country_4!$C17="","",Country_4!A17)</f>
        <v/>
      </c>
      <c r="B316" s="16" t="str">
        <f>IF(Country_4!$C17="","",Country_4!B17)</f>
        <v/>
      </c>
      <c r="C316" s="16" t="str">
        <f>IF(Country_4!$C17="","",Country_4!C17)</f>
        <v/>
      </c>
      <c r="D316" s="16" t="str">
        <f>IF(Country_4!$C17="","",Country_4!D17)</f>
        <v/>
      </c>
      <c r="E316" s="16" t="str">
        <f>IF(Country_4!$C17="","",Country_4!E17)</f>
        <v/>
      </c>
      <c r="F316" s="16" t="str">
        <f>IF(Country_4!$C17="","",Country_4!F17)</f>
        <v/>
      </c>
      <c r="G316" s="17" t="str">
        <f>IF(Country_4!$C17="","",Country_4!G17)</f>
        <v/>
      </c>
      <c r="H316" s="17" t="str">
        <f>IF(Country_4!$C17="","",Country_4!H17)</f>
        <v/>
      </c>
      <c r="I316" s="16" t="str">
        <f>IF(Country_4!$C17="","",Country_4!I17)</f>
        <v/>
      </c>
      <c r="J316" s="16" t="str">
        <f>IF(Country_4!$C17="","",Country_4!J17)</f>
        <v/>
      </c>
      <c r="K316" s="18" t="str">
        <f>IF(Country_4!$C17="","",Country_4!K17)</f>
        <v/>
      </c>
      <c r="L316" s="18" t="str">
        <f>IF(Country_4!$C17="","",Country_4!L17)</f>
        <v/>
      </c>
      <c r="M316" s="19" t="str">
        <f>IF(Country_4!$C17="","",Country_4!M17)</f>
        <v/>
      </c>
      <c r="N316" s="16" t="str">
        <f>IF(Country_4!$C17="","",Country_4!N17)</f>
        <v/>
      </c>
      <c r="O316" s="16" t="str">
        <f>IF(Country_4!$C17="","",Country_4!O17)</f>
        <v/>
      </c>
      <c r="P316" s="16" t="str">
        <f>IF(Country_4!$C17="","",Country_4!P17)</f>
        <v/>
      </c>
      <c r="Q316" s="16" t="str">
        <f>IF(Country_4!$C17="","",Country_4!Q17)</f>
        <v/>
      </c>
    </row>
    <row r="317" spans="1:17" x14ac:dyDescent="0.25">
      <c r="A317" s="16" t="str">
        <f>IF(Country_4!$C18="","",Country_4!A18)</f>
        <v/>
      </c>
      <c r="B317" s="16" t="str">
        <f>IF(Country_4!$C18="","",Country_4!B18)</f>
        <v/>
      </c>
      <c r="C317" s="16" t="str">
        <f>IF(Country_4!$C18="","",Country_4!C18)</f>
        <v/>
      </c>
      <c r="D317" s="16" t="str">
        <f>IF(Country_4!$C18="","",Country_4!D18)</f>
        <v/>
      </c>
      <c r="E317" s="16" t="str">
        <f>IF(Country_4!$C18="","",Country_4!E18)</f>
        <v/>
      </c>
      <c r="F317" s="16" t="str">
        <f>IF(Country_4!$C18="","",Country_4!F18)</f>
        <v/>
      </c>
      <c r="G317" s="17" t="str">
        <f>IF(Country_4!$C18="","",Country_4!G18)</f>
        <v/>
      </c>
      <c r="H317" s="17" t="str">
        <f>IF(Country_4!$C18="","",Country_4!H18)</f>
        <v/>
      </c>
      <c r="I317" s="16" t="str">
        <f>IF(Country_4!$C18="","",Country_4!I18)</f>
        <v/>
      </c>
      <c r="J317" s="16" t="str">
        <f>IF(Country_4!$C18="","",Country_4!J18)</f>
        <v/>
      </c>
      <c r="K317" s="18" t="str">
        <f>IF(Country_4!$C18="","",Country_4!K18)</f>
        <v/>
      </c>
      <c r="L317" s="18" t="str">
        <f>IF(Country_4!$C18="","",Country_4!L18)</f>
        <v/>
      </c>
      <c r="M317" s="19" t="str">
        <f>IF(Country_4!$C18="","",Country_4!M18)</f>
        <v/>
      </c>
      <c r="N317" s="16" t="str">
        <f>IF(Country_4!$C18="","",Country_4!N18)</f>
        <v/>
      </c>
      <c r="O317" s="16" t="str">
        <f>IF(Country_4!$C18="","",Country_4!O18)</f>
        <v/>
      </c>
      <c r="P317" s="16" t="str">
        <f>IF(Country_4!$C18="","",Country_4!P18)</f>
        <v/>
      </c>
      <c r="Q317" s="16" t="str">
        <f>IF(Country_4!$C18="","",Country_4!Q18)</f>
        <v/>
      </c>
    </row>
    <row r="318" spans="1:17" x14ac:dyDescent="0.25">
      <c r="A318" s="16" t="str">
        <f>IF(Country_4!$C19="","",Country_4!A19)</f>
        <v/>
      </c>
      <c r="B318" s="16" t="str">
        <f>IF(Country_4!$C19="","",Country_4!B19)</f>
        <v/>
      </c>
      <c r="C318" s="16" t="str">
        <f>IF(Country_4!$C19="","",Country_4!C19)</f>
        <v/>
      </c>
      <c r="D318" s="16" t="str">
        <f>IF(Country_4!$C19="","",Country_4!D19)</f>
        <v/>
      </c>
      <c r="E318" s="16" t="str">
        <f>IF(Country_4!$C19="","",Country_4!E19)</f>
        <v/>
      </c>
      <c r="F318" s="16" t="str">
        <f>IF(Country_4!$C19="","",Country_4!F19)</f>
        <v/>
      </c>
      <c r="G318" s="17" t="str">
        <f>IF(Country_4!$C19="","",Country_4!G19)</f>
        <v/>
      </c>
      <c r="H318" s="17" t="str">
        <f>IF(Country_4!$C19="","",Country_4!H19)</f>
        <v/>
      </c>
      <c r="I318" s="16" t="str">
        <f>IF(Country_4!$C19="","",Country_4!I19)</f>
        <v/>
      </c>
      <c r="J318" s="16" t="str">
        <f>IF(Country_4!$C19="","",Country_4!J19)</f>
        <v/>
      </c>
      <c r="K318" s="18" t="str">
        <f>IF(Country_4!$C19="","",Country_4!K19)</f>
        <v/>
      </c>
      <c r="L318" s="18" t="str">
        <f>IF(Country_4!$C19="","",Country_4!L19)</f>
        <v/>
      </c>
      <c r="M318" s="19" t="str">
        <f>IF(Country_4!$C19="","",Country_4!M19)</f>
        <v/>
      </c>
      <c r="N318" s="16" t="str">
        <f>IF(Country_4!$C19="","",Country_4!N19)</f>
        <v/>
      </c>
      <c r="O318" s="16" t="str">
        <f>IF(Country_4!$C19="","",Country_4!O19)</f>
        <v/>
      </c>
      <c r="P318" s="16" t="str">
        <f>IF(Country_4!$C19="","",Country_4!P19)</f>
        <v/>
      </c>
      <c r="Q318" s="16" t="str">
        <f>IF(Country_4!$C19="","",Country_4!Q19)</f>
        <v/>
      </c>
    </row>
    <row r="319" spans="1:17" x14ac:dyDescent="0.25">
      <c r="A319" s="16" t="str">
        <f>IF(Country_4!$C20="","",Country_4!A20)</f>
        <v/>
      </c>
      <c r="B319" s="16" t="str">
        <f>IF(Country_4!$C20="","",Country_4!B20)</f>
        <v/>
      </c>
      <c r="C319" s="16" t="str">
        <f>IF(Country_4!$C20="","",Country_4!C20)</f>
        <v/>
      </c>
      <c r="D319" s="16" t="str">
        <f>IF(Country_4!$C20="","",Country_4!D20)</f>
        <v/>
      </c>
      <c r="E319" s="16" t="str">
        <f>IF(Country_4!$C20="","",Country_4!E20)</f>
        <v/>
      </c>
      <c r="F319" s="16" t="str">
        <f>IF(Country_4!$C20="","",Country_4!F20)</f>
        <v/>
      </c>
      <c r="G319" s="17" t="str">
        <f>IF(Country_4!$C20="","",Country_4!G20)</f>
        <v/>
      </c>
      <c r="H319" s="17" t="str">
        <f>IF(Country_4!$C20="","",Country_4!H20)</f>
        <v/>
      </c>
      <c r="I319" s="16" t="str">
        <f>IF(Country_4!$C20="","",Country_4!I20)</f>
        <v/>
      </c>
      <c r="J319" s="16" t="str">
        <f>IF(Country_4!$C20="","",Country_4!J20)</f>
        <v/>
      </c>
      <c r="K319" s="18" t="str">
        <f>IF(Country_4!$C20="","",Country_4!K20)</f>
        <v/>
      </c>
      <c r="L319" s="18" t="str">
        <f>IF(Country_4!$C20="","",Country_4!L20)</f>
        <v/>
      </c>
      <c r="M319" s="19" t="str">
        <f>IF(Country_4!$C20="","",Country_4!M20)</f>
        <v/>
      </c>
      <c r="N319" s="16" t="str">
        <f>IF(Country_4!$C20="","",Country_4!N20)</f>
        <v/>
      </c>
      <c r="O319" s="16" t="str">
        <f>IF(Country_4!$C20="","",Country_4!O20)</f>
        <v/>
      </c>
      <c r="P319" s="16" t="str">
        <f>IF(Country_4!$C20="","",Country_4!P20)</f>
        <v/>
      </c>
      <c r="Q319" s="16" t="str">
        <f>IF(Country_4!$C20="","",Country_4!Q20)</f>
        <v/>
      </c>
    </row>
    <row r="320" spans="1:17" x14ac:dyDescent="0.25">
      <c r="A320" s="16" t="str">
        <f>IF(Country_4!$C21="","",Country_4!A21)</f>
        <v/>
      </c>
      <c r="B320" s="16" t="str">
        <f>IF(Country_4!$C21="","",Country_4!B21)</f>
        <v/>
      </c>
      <c r="C320" s="16" t="str">
        <f>IF(Country_4!$C21="","",Country_4!C21)</f>
        <v/>
      </c>
      <c r="D320" s="16" t="str">
        <f>IF(Country_4!$C21="","",Country_4!D21)</f>
        <v/>
      </c>
      <c r="E320" s="16" t="str">
        <f>IF(Country_4!$C21="","",Country_4!E21)</f>
        <v/>
      </c>
      <c r="F320" s="16" t="str">
        <f>IF(Country_4!$C21="","",Country_4!F21)</f>
        <v/>
      </c>
      <c r="G320" s="17" t="str">
        <f>IF(Country_4!$C21="","",Country_4!G21)</f>
        <v/>
      </c>
      <c r="H320" s="17" t="str">
        <f>IF(Country_4!$C21="","",Country_4!H21)</f>
        <v/>
      </c>
      <c r="I320" s="16" t="str">
        <f>IF(Country_4!$C21="","",Country_4!I21)</f>
        <v/>
      </c>
      <c r="J320" s="16" t="str">
        <f>IF(Country_4!$C21="","",Country_4!J21)</f>
        <v/>
      </c>
      <c r="K320" s="18" t="str">
        <f>IF(Country_4!$C21="","",Country_4!K21)</f>
        <v/>
      </c>
      <c r="L320" s="18" t="str">
        <f>IF(Country_4!$C21="","",Country_4!L21)</f>
        <v/>
      </c>
      <c r="M320" s="19" t="str">
        <f>IF(Country_4!$C21="","",Country_4!M21)</f>
        <v/>
      </c>
      <c r="N320" s="16" t="str">
        <f>IF(Country_4!$C21="","",Country_4!N21)</f>
        <v/>
      </c>
      <c r="O320" s="16" t="str">
        <f>IF(Country_4!$C21="","",Country_4!O21)</f>
        <v/>
      </c>
      <c r="P320" s="16" t="str">
        <f>IF(Country_4!$C21="","",Country_4!P21)</f>
        <v/>
      </c>
      <c r="Q320" s="16" t="str">
        <f>IF(Country_4!$C21="","",Country_4!Q21)</f>
        <v/>
      </c>
    </row>
    <row r="321" spans="1:17" x14ac:dyDescent="0.25">
      <c r="A321" s="16" t="str">
        <f>IF(Country_4!$C22="","",Country_4!A22)</f>
        <v/>
      </c>
      <c r="B321" s="16" t="str">
        <f>IF(Country_4!$C22="","",Country_4!B22)</f>
        <v/>
      </c>
      <c r="C321" s="16" t="str">
        <f>IF(Country_4!$C22="","",Country_4!C22)</f>
        <v/>
      </c>
      <c r="D321" s="16" t="str">
        <f>IF(Country_4!$C22="","",Country_4!D22)</f>
        <v/>
      </c>
      <c r="E321" s="16" t="str">
        <f>IF(Country_4!$C22="","",Country_4!E22)</f>
        <v/>
      </c>
      <c r="F321" s="16" t="str">
        <f>IF(Country_4!$C22="","",Country_4!F22)</f>
        <v/>
      </c>
      <c r="G321" s="17" t="str">
        <f>IF(Country_4!$C22="","",Country_4!G22)</f>
        <v/>
      </c>
      <c r="H321" s="17" t="str">
        <f>IF(Country_4!$C22="","",Country_4!H22)</f>
        <v/>
      </c>
      <c r="I321" s="16" t="str">
        <f>IF(Country_4!$C22="","",Country_4!I22)</f>
        <v/>
      </c>
      <c r="J321" s="16" t="str">
        <f>IF(Country_4!$C22="","",Country_4!J22)</f>
        <v/>
      </c>
      <c r="K321" s="18" t="str">
        <f>IF(Country_4!$C22="","",Country_4!K22)</f>
        <v/>
      </c>
      <c r="L321" s="18" t="str">
        <f>IF(Country_4!$C22="","",Country_4!L22)</f>
        <v/>
      </c>
      <c r="M321" s="19" t="str">
        <f>IF(Country_4!$C22="","",Country_4!M22)</f>
        <v/>
      </c>
      <c r="N321" s="16" t="str">
        <f>IF(Country_4!$C22="","",Country_4!N22)</f>
        <v/>
      </c>
      <c r="O321" s="16" t="str">
        <f>IF(Country_4!$C22="","",Country_4!O22)</f>
        <v/>
      </c>
      <c r="P321" s="16" t="str">
        <f>IF(Country_4!$C22="","",Country_4!P22)</f>
        <v/>
      </c>
      <c r="Q321" s="16" t="str">
        <f>IF(Country_4!$C22="","",Country_4!Q22)</f>
        <v/>
      </c>
    </row>
    <row r="322" spans="1:17" x14ac:dyDescent="0.25">
      <c r="A322" s="16" t="str">
        <f>IF(Country_4!$C23="","",Country_4!A23)</f>
        <v/>
      </c>
      <c r="B322" s="16" t="str">
        <f>IF(Country_4!$C23="","",Country_4!B23)</f>
        <v/>
      </c>
      <c r="C322" s="16" t="str">
        <f>IF(Country_4!$C23="","",Country_4!C23)</f>
        <v/>
      </c>
      <c r="D322" s="16" t="str">
        <f>IF(Country_4!$C23="","",Country_4!D23)</f>
        <v/>
      </c>
      <c r="E322" s="16" t="str">
        <f>IF(Country_4!$C23="","",Country_4!E23)</f>
        <v/>
      </c>
      <c r="F322" s="16" t="str">
        <f>IF(Country_4!$C23="","",Country_4!F23)</f>
        <v/>
      </c>
      <c r="G322" s="17" t="str">
        <f>IF(Country_4!$C23="","",Country_4!G23)</f>
        <v/>
      </c>
      <c r="H322" s="17" t="str">
        <f>IF(Country_4!$C23="","",Country_4!H23)</f>
        <v/>
      </c>
      <c r="I322" s="16" t="str">
        <f>IF(Country_4!$C23="","",Country_4!I23)</f>
        <v/>
      </c>
      <c r="J322" s="16" t="str">
        <f>IF(Country_4!$C23="","",Country_4!J23)</f>
        <v/>
      </c>
      <c r="K322" s="18" t="str">
        <f>IF(Country_4!$C23="","",Country_4!K23)</f>
        <v/>
      </c>
      <c r="L322" s="18" t="str">
        <f>IF(Country_4!$C23="","",Country_4!L23)</f>
        <v/>
      </c>
      <c r="M322" s="19" t="str">
        <f>IF(Country_4!$C23="","",Country_4!M23)</f>
        <v/>
      </c>
      <c r="N322" s="16" t="str">
        <f>IF(Country_4!$C23="","",Country_4!N23)</f>
        <v/>
      </c>
      <c r="O322" s="16" t="str">
        <f>IF(Country_4!$C23="","",Country_4!O23)</f>
        <v/>
      </c>
      <c r="P322" s="16" t="str">
        <f>IF(Country_4!$C23="","",Country_4!P23)</f>
        <v/>
      </c>
      <c r="Q322" s="16" t="str">
        <f>IF(Country_4!$C23="","",Country_4!Q23)</f>
        <v/>
      </c>
    </row>
    <row r="323" spans="1:17" x14ac:dyDescent="0.25">
      <c r="A323" s="16" t="str">
        <f>IF(Country_4!$C24="","",Country_4!A24)</f>
        <v/>
      </c>
      <c r="B323" s="16" t="str">
        <f>IF(Country_4!$C24="","",Country_4!B24)</f>
        <v/>
      </c>
      <c r="C323" s="16" t="str">
        <f>IF(Country_4!$C24="","",Country_4!C24)</f>
        <v/>
      </c>
      <c r="D323" s="16" t="str">
        <f>IF(Country_4!$C24="","",Country_4!D24)</f>
        <v/>
      </c>
      <c r="E323" s="16" t="str">
        <f>IF(Country_4!$C24="","",Country_4!E24)</f>
        <v/>
      </c>
      <c r="F323" s="16" t="str">
        <f>IF(Country_4!$C24="","",Country_4!F24)</f>
        <v/>
      </c>
      <c r="G323" s="17" t="str">
        <f>IF(Country_4!$C24="","",Country_4!G24)</f>
        <v/>
      </c>
      <c r="H323" s="17" t="str">
        <f>IF(Country_4!$C24="","",Country_4!H24)</f>
        <v/>
      </c>
      <c r="I323" s="16" t="str">
        <f>IF(Country_4!$C24="","",Country_4!I24)</f>
        <v/>
      </c>
      <c r="J323" s="16" t="str">
        <f>IF(Country_4!$C24="","",Country_4!J24)</f>
        <v/>
      </c>
      <c r="K323" s="18" t="str">
        <f>IF(Country_4!$C24="","",Country_4!K24)</f>
        <v/>
      </c>
      <c r="L323" s="18" t="str">
        <f>IF(Country_4!$C24="","",Country_4!L24)</f>
        <v/>
      </c>
      <c r="M323" s="19" t="str">
        <f>IF(Country_4!$C24="","",Country_4!M24)</f>
        <v/>
      </c>
      <c r="N323" s="16" t="str">
        <f>IF(Country_4!$C24="","",Country_4!N24)</f>
        <v/>
      </c>
      <c r="O323" s="16" t="str">
        <f>IF(Country_4!$C24="","",Country_4!O24)</f>
        <v/>
      </c>
      <c r="P323" s="16" t="str">
        <f>IF(Country_4!$C24="","",Country_4!P24)</f>
        <v/>
      </c>
      <c r="Q323" s="16" t="str">
        <f>IF(Country_4!$C24="","",Country_4!Q24)</f>
        <v/>
      </c>
    </row>
    <row r="324" spans="1:17" x14ac:dyDescent="0.25">
      <c r="A324" s="16" t="str">
        <f>IF(Country_4!$C25="","",Country_4!A25)</f>
        <v/>
      </c>
      <c r="B324" s="16" t="str">
        <f>IF(Country_4!$C25="","",Country_4!B25)</f>
        <v/>
      </c>
      <c r="C324" s="16" t="str">
        <f>IF(Country_4!$C25="","",Country_4!C25)</f>
        <v/>
      </c>
      <c r="D324" s="16" t="str">
        <f>IF(Country_4!$C25="","",Country_4!D25)</f>
        <v/>
      </c>
      <c r="E324" s="16" t="str">
        <f>IF(Country_4!$C25="","",Country_4!E25)</f>
        <v/>
      </c>
      <c r="F324" s="16" t="str">
        <f>IF(Country_4!$C25="","",Country_4!F25)</f>
        <v/>
      </c>
      <c r="G324" s="17" t="str">
        <f>IF(Country_4!$C25="","",Country_4!G25)</f>
        <v/>
      </c>
      <c r="H324" s="17" t="str">
        <f>IF(Country_4!$C25="","",Country_4!H25)</f>
        <v/>
      </c>
      <c r="I324" s="16" t="str">
        <f>IF(Country_4!$C25="","",Country_4!I25)</f>
        <v/>
      </c>
      <c r="J324" s="16" t="str">
        <f>IF(Country_4!$C25="","",Country_4!J25)</f>
        <v/>
      </c>
      <c r="K324" s="18" t="str">
        <f>IF(Country_4!$C25="","",Country_4!K25)</f>
        <v/>
      </c>
      <c r="L324" s="18" t="str">
        <f>IF(Country_4!$C25="","",Country_4!L25)</f>
        <v/>
      </c>
      <c r="M324" s="19" t="str">
        <f>IF(Country_4!$C25="","",Country_4!M25)</f>
        <v/>
      </c>
      <c r="N324" s="16" t="str">
        <f>IF(Country_4!$C25="","",Country_4!N25)</f>
        <v/>
      </c>
      <c r="O324" s="16" t="str">
        <f>IF(Country_4!$C25="","",Country_4!O25)</f>
        <v/>
      </c>
      <c r="P324" s="16" t="str">
        <f>IF(Country_4!$C25="","",Country_4!P25)</f>
        <v/>
      </c>
      <c r="Q324" s="16" t="str">
        <f>IF(Country_4!$C25="","",Country_4!Q25)</f>
        <v/>
      </c>
    </row>
    <row r="325" spans="1:17" x14ac:dyDescent="0.25">
      <c r="A325" s="16" t="str">
        <f>IF(Country_4!$C26="","",Country_4!A26)</f>
        <v/>
      </c>
      <c r="B325" s="16" t="str">
        <f>IF(Country_4!$C26="","",Country_4!B26)</f>
        <v/>
      </c>
      <c r="C325" s="16" t="str">
        <f>IF(Country_4!$C26="","",Country_4!C26)</f>
        <v/>
      </c>
      <c r="D325" s="16" t="str">
        <f>IF(Country_4!$C26="","",Country_4!D26)</f>
        <v/>
      </c>
      <c r="E325" s="16" t="str">
        <f>IF(Country_4!$C26="","",Country_4!E26)</f>
        <v/>
      </c>
      <c r="F325" s="16" t="str">
        <f>IF(Country_4!$C26="","",Country_4!F26)</f>
        <v/>
      </c>
      <c r="G325" s="17" t="str">
        <f>IF(Country_4!$C26="","",Country_4!G26)</f>
        <v/>
      </c>
      <c r="H325" s="17" t="str">
        <f>IF(Country_4!$C26="","",Country_4!H26)</f>
        <v/>
      </c>
      <c r="I325" s="16" t="str">
        <f>IF(Country_4!$C26="","",Country_4!I26)</f>
        <v/>
      </c>
      <c r="J325" s="16" t="str">
        <f>IF(Country_4!$C26="","",Country_4!J26)</f>
        <v/>
      </c>
      <c r="K325" s="18" t="str">
        <f>IF(Country_4!$C26="","",Country_4!K26)</f>
        <v/>
      </c>
      <c r="L325" s="18" t="str">
        <f>IF(Country_4!$C26="","",Country_4!L26)</f>
        <v/>
      </c>
      <c r="M325" s="19" t="str">
        <f>IF(Country_4!$C26="","",Country_4!M26)</f>
        <v/>
      </c>
      <c r="N325" s="16" t="str">
        <f>IF(Country_4!$C26="","",Country_4!N26)</f>
        <v/>
      </c>
      <c r="O325" s="16" t="str">
        <f>IF(Country_4!$C26="","",Country_4!O26)</f>
        <v/>
      </c>
      <c r="P325" s="16" t="str">
        <f>IF(Country_4!$C26="","",Country_4!P26)</f>
        <v/>
      </c>
      <c r="Q325" s="16" t="str">
        <f>IF(Country_4!$C26="","",Country_4!Q26)</f>
        <v/>
      </c>
    </row>
    <row r="326" spans="1:17" x14ac:dyDescent="0.25">
      <c r="A326" s="16" t="str">
        <f>IF(Country_4!$C27="","",Country_4!A27)</f>
        <v/>
      </c>
      <c r="B326" s="16" t="str">
        <f>IF(Country_4!$C27="","",Country_4!B27)</f>
        <v/>
      </c>
      <c r="C326" s="16" t="str">
        <f>IF(Country_4!$C27="","",Country_4!C27)</f>
        <v/>
      </c>
      <c r="D326" s="16" t="str">
        <f>IF(Country_4!$C27="","",Country_4!D27)</f>
        <v/>
      </c>
      <c r="E326" s="16" t="str">
        <f>IF(Country_4!$C27="","",Country_4!E27)</f>
        <v/>
      </c>
      <c r="F326" s="16" t="str">
        <f>IF(Country_4!$C27="","",Country_4!F27)</f>
        <v/>
      </c>
      <c r="G326" s="17" t="str">
        <f>IF(Country_4!$C27="","",Country_4!G27)</f>
        <v/>
      </c>
      <c r="H326" s="17" t="str">
        <f>IF(Country_4!$C27="","",Country_4!H27)</f>
        <v/>
      </c>
      <c r="I326" s="16" t="str">
        <f>IF(Country_4!$C27="","",Country_4!I27)</f>
        <v/>
      </c>
      <c r="J326" s="16" t="str">
        <f>IF(Country_4!$C27="","",Country_4!J27)</f>
        <v/>
      </c>
      <c r="K326" s="18" t="str">
        <f>IF(Country_4!$C27="","",Country_4!K27)</f>
        <v/>
      </c>
      <c r="L326" s="18" t="str">
        <f>IF(Country_4!$C27="","",Country_4!L27)</f>
        <v/>
      </c>
      <c r="M326" s="19" t="str">
        <f>IF(Country_4!$C27="","",Country_4!M27)</f>
        <v/>
      </c>
      <c r="N326" s="16" t="str">
        <f>IF(Country_4!$C27="","",Country_4!N27)</f>
        <v/>
      </c>
      <c r="O326" s="16" t="str">
        <f>IF(Country_4!$C27="","",Country_4!O27)</f>
        <v/>
      </c>
      <c r="P326" s="16" t="str">
        <f>IF(Country_4!$C27="","",Country_4!P27)</f>
        <v/>
      </c>
      <c r="Q326" s="16" t="str">
        <f>IF(Country_4!$C27="","",Country_4!Q27)</f>
        <v/>
      </c>
    </row>
    <row r="327" spans="1:17" x14ac:dyDescent="0.25">
      <c r="A327" s="16" t="str">
        <f>IF(Country_4!$C28="","",Country_4!A28)</f>
        <v/>
      </c>
      <c r="B327" s="16" t="str">
        <f>IF(Country_4!$C28="","",Country_4!B28)</f>
        <v/>
      </c>
      <c r="C327" s="16" t="str">
        <f>IF(Country_4!$C28="","",Country_4!C28)</f>
        <v/>
      </c>
      <c r="D327" s="16" t="str">
        <f>IF(Country_4!$C28="","",Country_4!D28)</f>
        <v/>
      </c>
      <c r="E327" s="16" t="str">
        <f>IF(Country_4!$C28="","",Country_4!E28)</f>
        <v/>
      </c>
      <c r="F327" s="16" t="str">
        <f>IF(Country_4!$C28="","",Country_4!F28)</f>
        <v/>
      </c>
      <c r="G327" s="17" t="str">
        <f>IF(Country_4!$C28="","",Country_4!G28)</f>
        <v/>
      </c>
      <c r="H327" s="17" t="str">
        <f>IF(Country_4!$C28="","",Country_4!H28)</f>
        <v/>
      </c>
      <c r="I327" s="16" t="str">
        <f>IF(Country_4!$C28="","",Country_4!I28)</f>
        <v/>
      </c>
      <c r="J327" s="16" t="str">
        <f>IF(Country_4!$C28="","",Country_4!J28)</f>
        <v/>
      </c>
      <c r="K327" s="18" t="str">
        <f>IF(Country_4!$C28="","",Country_4!K28)</f>
        <v/>
      </c>
      <c r="L327" s="18" t="str">
        <f>IF(Country_4!$C28="","",Country_4!L28)</f>
        <v/>
      </c>
      <c r="M327" s="19" t="str">
        <f>IF(Country_4!$C28="","",Country_4!M28)</f>
        <v/>
      </c>
      <c r="N327" s="16" t="str">
        <f>IF(Country_4!$C28="","",Country_4!N28)</f>
        <v/>
      </c>
      <c r="O327" s="16" t="str">
        <f>IF(Country_4!$C28="","",Country_4!O28)</f>
        <v/>
      </c>
      <c r="P327" s="16" t="str">
        <f>IF(Country_4!$C28="","",Country_4!P28)</f>
        <v/>
      </c>
      <c r="Q327" s="16" t="str">
        <f>IF(Country_4!$C28="","",Country_4!Q28)</f>
        <v/>
      </c>
    </row>
    <row r="328" spans="1:17" x14ac:dyDescent="0.25">
      <c r="A328" s="16" t="str">
        <f>IF(Country_4!$C29="","",Country_4!A29)</f>
        <v/>
      </c>
      <c r="B328" s="16" t="str">
        <f>IF(Country_4!$C29="","",Country_4!B29)</f>
        <v/>
      </c>
      <c r="C328" s="16" t="str">
        <f>IF(Country_4!$C29="","",Country_4!C29)</f>
        <v/>
      </c>
      <c r="D328" s="16" t="str">
        <f>IF(Country_4!$C29="","",Country_4!D29)</f>
        <v/>
      </c>
      <c r="E328" s="16" t="str">
        <f>IF(Country_4!$C29="","",Country_4!E29)</f>
        <v/>
      </c>
      <c r="F328" s="16" t="str">
        <f>IF(Country_4!$C29="","",Country_4!F29)</f>
        <v/>
      </c>
      <c r="G328" s="17" t="str">
        <f>IF(Country_4!$C29="","",Country_4!G29)</f>
        <v/>
      </c>
      <c r="H328" s="17" t="str">
        <f>IF(Country_4!$C29="","",Country_4!H29)</f>
        <v/>
      </c>
      <c r="I328" s="16" t="str">
        <f>IF(Country_4!$C29="","",Country_4!I29)</f>
        <v/>
      </c>
      <c r="J328" s="16" t="str">
        <f>IF(Country_4!$C29="","",Country_4!J29)</f>
        <v/>
      </c>
      <c r="K328" s="18" t="str">
        <f>IF(Country_4!$C29="","",Country_4!K29)</f>
        <v/>
      </c>
      <c r="L328" s="18" t="str">
        <f>IF(Country_4!$C29="","",Country_4!L29)</f>
        <v/>
      </c>
      <c r="M328" s="19" t="str">
        <f>IF(Country_4!$C29="","",Country_4!M29)</f>
        <v/>
      </c>
      <c r="N328" s="16" t="str">
        <f>IF(Country_4!$C29="","",Country_4!N29)</f>
        <v/>
      </c>
      <c r="O328" s="16" t="str">
        <f>IF(Country_4!$C29="","",Country_4!O29)</f>
        <v/>
      </c>
      <c r="P328" s="16" t="str">
        <f>IF(Country_4!$C29="","",Country_4!P29)</f>
        <v/>
      </c>
      <c r="Q328" s="16" t="str">
        <f>IF(Country_4!$C29="","",Country_4!Q29)</f>
        <v/>
      </c>
    </row>
    <row r="329" spans="1:17" x14ac:dyDescent="0.25">
      <c r="A329" s="16" t="str">
        <f>IF(Country_4!$C30="","",Country_4!A30)</f>
        <v/>
      </c>
      <c r="B329" s="16" t="str">
        <f>IF(Country_4!$C30="","",Country_4!B30)</f>
        <v/>
      </c>
      <c r="C329" s="16" t="str">
        <f>IF(Country_4!$C30="","",Country_4!C30)</f>
        <v/>
      </c>
      <c r="D329" s="16" t="str">
        <f>IF(Country_4!$C30="","",Country_4!D30)</f>
        <v/>
      </c>
      <c r="E329" s="16" t="str">
        <f>IF(Country_4!$C30="","",Country_4!E30)</f>
        <v/>
      </c>
      <c r="F329" s="16" t="str">
        <f>IF(Country_4!$C30="","",Country_4!F30)</f>
        <v/>
      </c>
      <c r="G329" s="17" t="str">
        <f>IF(Country_4!$C30="","",Country_4!G30)</f>
        <v/>
      </c>
      <c r="H329" s="17" t="str">
        <f>IF(Country_4!$C30="","",Country_4!H30)</f>
        <v/>
      </c>
      <c r="I329" s="16" t="str">
        <f>IF(Country_4!$C30="","",Country_4!I30)</f>
        <v/>
      </c>
      <c r="J329" s="16" t="str">
        <f>IF(Country_4!$C30="","",Country_4!J30)</f>
        <v/>
      </c>
      <c r="K329" s="18" t="str">
        <f>IF(Country_4!$C30="","",Country_4!K30)</f>
        <v/>
      </c>
      <c r="L329" s="18" t="str">
        <f>IF(Country_4!$C30="","",Country_4!L30)</f>
        <v/>
      </c>
      <c r="M329" s="19" t="str">
        <f>IF(Country_4!$C30="","",Country_4!M30)</f>
        <v/>
      </c>
      <c r="N329" s="16" t="str">
        <f>IF(Country_4!$C30="","",Country_4!N30)</f>
        <v/>
      </c>
      <c r="O329" s="16" t="str">
        <f>IF(Country_4!$C30="","",Country_4!O30)</f>
        <v/>
      </c>
      <c r="P329" s="16" t="str">
        <f>IF(Country_4!$C30="","",Country_4!P30)</f>
        <v/>
      </c>
      <c r="Q329" s="16" t="str">
        <f>IF(Country_4!$C30="","",Country_4!Q30)</f>
        <v/>
      </c>
    </row>
    <row r="330" spans="1:17" x14ac:dyDescent="0.25">
      <c r="A330" s="16" t="str">
        <f>IF(Country_4!$C31="","",Country_4!A31)</f>
        <v/>
      </c>
      <c r="B330" s="16" t="str">
        <f>IF(Country_4!$C31="","",Country_4!B31)</f>
        <v/>
      </c>
      <c r="C330" s="16" t="str">
        <f>IF(Country_4!$C31="","",Country_4!C31)</f>
        <v/>
      </c>
      <c r="D330" s="16" t="str">
        <f>IF(Country_4!$C31="","",Country_4!D31)</f>
        <v/>
      </c>
      <c r="E330" s="16" t="str">
        <f>IF(Country_4!$C31="","",Country_4!E31)</f>
        <v/>
      </c>
      <c r="F330" s="16" t="str">
        <f>IF(Country_4!$C31="","",Country_4!F31)</f>
        <v/>
      </c>
      <c r="G330" s="17" t="str">
        <f>IF(Country_4!$C31="","",Country_4!G31)</f>
        <v/>
      </c>
      <c r="H330" s="17" t="str">
        <f>IF(Country_4!$C31="","",Country_4!H31)</f>
        <v/>
      </c>
      <c r="I330" s="16" t="str">
        <f>IF(Country_4!$C31="","",Country_4!I31)</f>
        <v/>
      </c>
      <c r="J330" s="16" t="str">
        <f>IF(Country_4!$C31="","",Country_4!J31)</f>
        <v/>
      </c>
      <c r="K330" s="18" t="str">
        <f>IF(Country_4!$C31="","",Country_4!K31)</f>
        <v/>
      </c>
      <c r="L330" s="18" t="str">
        <f>IF(Country_4!$C31="","",Country_4!L31)</f>
        <v/>
      </c>
      <c r="M330" s="19" t="str">
        <f>IF(Country_4!$C31="","",Country_4!M31)</f>
        <v/>
      </c>
      <c r="N330" s="16" t="str">
        <f>IF(Country_4!$C31="","",Country_4!N31)</f>
        <v/>
      </c>
      <c r="O330" s="16" t="str">
        <f>IF(Country_4!$C31="","",Country_4!O31)</f>
        <v/>
      </c>
      <c r="P330" s="16" t="str">
        <f>IF(Country_4!$C31="","",Country_4!P31)</f>
        <v/>
      </c>
      <c r="Q330" s="16" t="str">
        <f>IF(Country_4!$C31="","",Country_4!Q31)</f>
        <v/>
      </c>
    </row>
    <row r="331" spans="1:17" x14ac:dyDescent="0.25">
      <c r="A331" s="16" t="str">
        <f>IF(Country_4!$C32="","",Country_4!A32)</f>
        <v/>
      </c>
      <c r="B331" s="16" t="str">
        <f>IF(Country_4!$C32="","",Country_4!B32)</f>
        <v/>
      </c>
      <c r="C331" s="16" t="str">
        <f>IF(Country_4!$C32="","",Country_4!C32)</f>
        <v/>
      </c>
      <c r="D331" s="16" t="str">
        <f>IF(Country_4!$C32="","",Country_4!D32)</f>
        <v/>
      </c>
      <c r="E331" s="16" t="str">
        <f>IF(Country_4!$C32="","",Country_4!E32)</f>
        <v/>
      </c>
      <c r="F331" s="16" t="str">
        <f>IF(Country_4!$C32="","",Country_4!F32)</f>
        <v/>
      </c>
      <c r="G331" s="17" t="str">
        <f>IF(Country_4!$C32="","",Country_4!G32)</f>
        <v/>
      </c>
      <c r="H331" s="17" t="str">
        <f>IF(Country_4!$C32="","",Country_4!H32)</f>
        <v/>
      </c>
      <c r="I331" s="16" t="str">
        <f>IF(Country_4!$C32="","",Country_4!I32)</f>
        <v/>
      </c>
      <c r="J331" s="16" t="str">
        <f>IF(Country_4!$C32="","",Country_4!J32)</f>
        <v/>
      </c>
      <c r="K331" s="18" t="str">
        <f>IF(Country_4!$C32="","",Country_4!K32)</f>
        <v/>
      </c>
      <c r="L331" s="18" t="str">
        <f>IF(Country_4!$C32="","",Country_4!L32)</f>
        <v/>
      </c>
      <c r="M331" s="19" t="str">
        <f>IF(Country_4!$C32="","",Country_4!M32)</f>
        <v/>
      </c>
      <c r="N331" s="16" t="str">
        <f>IF(Country_4!$C32="","",Country_4!N32)</f>
        <v/>
      </c>
      <c r="O331" s="16" t="str">
        <f>IF(Country_4!$C32="","",Country_4!O32)</f>
        <v/>
      </c>
      <c r="P331" s="16" t="str">
        <f>IF(Country_4!$C32="","",Country_4!P32)</f>
        <v/>
      </c>
      <c r="Q331" s="16" t="str">
        <f>IF(Country_4!$C32="","",Country_4!Q32)</f>
        <v/>
      </c>
    </row>
    <row r="332" spans="1:17" x14ac:dyDescent="0.25">
      <c r="A332" s="16" t="str">
        <f>IF(Country_4!$C33="","",Country_4!A33)</f>
        <v/>
      </c>
      <c r="B332" s="16" t="str">
        <f>IF(Country_4!$C33="","",Country_4!B33)</f>
        <v/>
      </c>
      <c r="C332" s="16" t="str">
        <f>IF(Country_4!$C33="","",Country_4!C33)</f>
        <v/>
      </c>
      <c r="D332" s="16" t="str">
        <f>IF(Country_4!$C33="","",Country_4!D33)</f>
        <v/>
      </c>
      <c r="E332" s="16" t="str">
        <f>IF(Country_4!$C33="","",Country_4!E33)</f>
        <v/>
      </c>
      <c r="F332" s="16" t="str">
        <f>IF(Country_4!$C33="","",Country_4!F33)</f>
        <v/>
      </c>
      <c r="G332" s="17" t="str">
        <f>IF(Country_4!$C33="","",Country_4!G33)</f>
        <v/>
      </c>
      <c r="H332" s="17" t="str">
        <f>IF(Country_4!$C33="","",Country_4!H33)</f>
        <v/>
      </c>
      <c r="I332" s="16" t="str">
        <f>IF(Country_4!$C33="","",Country_4!I33)</f>
        <v/>
      </c>
      <c r="J332" s="16" t="str">
        <f>IF(Country_4!$C33="","",Country_4!J33)</f>
        <v/>
      </c>
      <c r="K332" s="18" t="str">
        <f>IF(Country_4!$C33="","",Country_4!K33)</f>
        <v/>
      </c>
      <c r="L332" s="18" t="str">
        <f>IF(Country_4!$C33="","",Country_4!L33)</f>
        <v/>
      </c>
      <c r="M332" s="19" t="str">
        <f>IF(Country_4!$C33="","",Country_4!M33)</f>
        <v/>
      </c>
      <c r="N332" s="16" t="str">
        <f>IF(Country_4!$C33="","",Country_4!N33)</f>
        <v/>
      </c>
      <c r="O332" s="16" t="str">
        <f>IF(Country_4!$C33="","",Country_4!O33)</f>
        <v/>
      </c>
      <c r="P332" s="16" t="str">
        <f>IF(Country_4!$C33="","",Country_4!P33)</f>
        <v/>
      </c>
      <c r="Q332" s="16" t="str">
        <f>IF(Country_4!$C33="","",Country_4!Q33)</f>
        <v/>
      </c>
    </row>
    <row r="333" spans="1:17" x14ac:dyDescent="0.25">
      <c r="A333" s="16" t="str">
        <f>IF(Country_4!$C34="","",Country_4!A34)</f>
        <v/>
      </c>
      <c r="B333" s="16" t="str">
        <f>IF(Country_4!$C34="","",Country_4!B34)</f>
        <v/>
      </c>
      <c r="C333" s="16" t="str">
        <f>IF(Country_4!$C34="","",Country_4!C34)</f>
        <v/>
      </c>
      <c r="D333" s="16" t="str">
        <f>IF(Country_4!$C34="","",Country_4!D34)</f>
        <v/>
      </c>
      <c r="E333" s="16" t="str">
        <f>IF(Country_4!$C34="","",Country_4!E34)</f>
        <v/>
      </c>
      <c r="F333" s="16" t="str">
        <f>IF(Country_4!$C34="","",Country_4!F34)</f>
        <v/>
      </c>
      <c r="G333" s="17" t="str">
        <f>IF(Country_4!$C34="","",Country_4!G34)</f>
        <v/>
      </c>
      <c r="H333" s="17" t="str">
        <f>IF(Country_4!$C34="","",Country_4!H34)</f>
        <v/>
      </c>
      <c r="I333" s="16" t="str">
        <f>IF(Country_4!$C34="","",Country_4!I34)</f>
        <v/>
      </c>
      <c r="J333" s="16" t="str">
        <f>IF(Country_4!$C34="","",Country_4!J34)</f>
        <v/>
      </c>
      <c r="K333" s="18" t="str">
        <f>IF(Country_4!$C34="","",Country_4!K34)</f>
        <v/>
      </c>
      <c r="L333" s="18" t="str">
        <f>IF(Country_4!$C34="","",Country_4!L34)</f>
        <v/>
      </c>
      <c r="M333" s="19" t="str">
        <f>IF(Country_4!$C34="","",Country_4!M34)</f>
        <v/>
      </c>
      <c r="N333" s="16" t="str">
        <f>IF(Country_4!$C34="","",Country_4!N34)</f>
        <v/>
      </c>
      <c r="O333" s="16" t="str">
        <f>IF(Country_4!$C34="","",Country_4!O34)</f>
        <v/>
      </c>
      <c r="P333" s="16" t="str">
        <f>IF(Country_4!$C34="","",Country_4!P34)</f>
        <v/>
      </c>
      <c r="Q333" s="16" t="str">
        <f>IF(Country_4!$C34="","",Country_4!Q34)</f>
        <v/>
      </c>
    </row>
    <row r="334" spans="1:17" x14ac:dyDescent="0.25">
      <c r="A334" s="16" t="str">
        <f>IF(Country_4!$C35="","",Country_4!A35)</f>
        <v/>
      </c>
      <c r="B334" s="16" t="str">
        <f>IF(Country_4!$C35="","",Country_4!B35)</f>
        <v/>
      </c>
      <c r="C334" s="16" t="str">
        <f>IF(Country_4!$C35="","",Country_4!C35)</f>
        <v/>
      </c>
      <c r="D334" s="16" t="str">
        <f>IF(Country_4!$C35="","",Country_4!D35)</f>
        <v/>
      </c>
      <c r="E334" s="16" t="str">
        <f>IF(Country_4!$C35="","",Country_4!E35)</f>
        <v/>
      </c>
      <c r="F334" s="16" t="str">
        <f>IF(Country_4!$C35="","",Country_4!F35)</f>
        <v/>
      </c>
      <c r="G334" s="17" t="str">
        <f>IF(Country_4!$C35="","",Country_4!G35)</f>
        <v/>
      </c>
      <c r="H334" s="17" t="str">
        <f>IF(Country_4!$C35="","",Country_4!H35)</f>
        <v/>
      </c>
      <c r="I334" s="16" t="str">
        <f>IF(Country_4!$C35="","",Country_4!I35)</f>
        <v/>
      </c>
      <c r="J334" s="16" t="str">
        <f>IF(Country_4!$C35="","",Country_4!J35)</f>
        <v/>
      </c>
      <c r="K334" s="18" t="str">
        <f>IF(Country_4!$C35="","",Country_4!K35)</f>
        <v/>
      </c>
      <c r="L334" s="18" t="str">
        <f>IF(Country_4!$C35="","",Country_4!L35)</f>
        <v/>
      </c>
      <c r="M334" s="19" t="str">
        <f>IF(Country_4!$C35="","",Country_4!M35)</f>
        <v/>
      </c>
      <c r="N334" s="16" t="str">
        <f>IF(Country_4!$C35="","",Country_4!N35)</f>
        <v/>
      </c>
      <c r="O334" s="16" t="str">
        <f>IF(Country_4!$C35="","",Country_4!O35)</f>
        <v/>
      </c>
      <c r="P334" s="16" t="str">
        <f>IF(Country_4!$C35="","",Country_4!P35)</f>
        <v/>
      </c>
      <c r="Q334" s="16" t="str">
        <f>IF(Country_4!$C35="","",Country_4!Q35)</f>
        <v/>
      </c>
    </row>
    <row r="335" spans="1:17" x14ac:dyDescent="0.25">
      <c r="A335" s="16" t="str">
        <f>IF(Country_4!$C36="","",Country_4!A36)</f>
        <v/>
      </c>
      <c r="B335" s="16" t="str">
        <f>IF(Country_4!$C36="","",Country_4!B36)</f>
        <v/>
      </c>
      <c r="C335" s="16" t="str">
        <f>IF(Country_4!$C36="","",Country_4!C36)</f>
        <v/>
      </c>
      <c r="D335" s="16" t="str">
        <f>IF(Country_4!$C36="","",Country_4!D36)</f>
        <v/>
      </c>
      <c r="E335" s="16" t="str">
        <f>IF(Country_4!$C36="","",Country_4!E36)</f>
        <v/>
      </c>
      <c r="F335" s="16" t="str">
        <f>IF(Country_4!$C36="","",Country_4!F36)</f>
        <v/>
      </c>
      <c r="G335" s="17" t="str">
        <f>IF(Country_4!$C36="","",Country_4!G36)</f>
        <v/>
      </c>
      <c r="H335" s="17" t="str">
        <f>IF(Country_4!$C36="","",Country_4!H36)</f>
        <v/>
      </c>
      <c r="I335" s="16" t="str">
        <f>IF(Country_4!$C36="","",Country_4!I36)</f>
        <v/>
      </c>
      <c r="J335" s="16" t="str">
        <f>IF(Country_4!$C36="","",Country_4!J36)</f>
        <v/>
      </c>
      <c r="K335" s="18" t="str">
        <f>IF(Country_4!$C36="","",Country_4!K36)</f>
        <v/>
      </c>
      <c r="L335" s="18" t="str">
        <f>IF(Country_4!$C36="","",Country_4!L36)</f>
        <v/>
      </c>
      <c r="M335" s="19" t="str">
        <f>IF(Country_4!$C36="","",Country_4!M36)</f>
        <v/>
      </c>
      <c r="N335" s="16" t="str">
        <f>IF(Country_4!$C36="","",Country_4!N36)</f>
        <v/>
      </c>
      <c r="O335" s="16" t="str">
        <f>IF(Country_4!$C36="","",Country_4!O36)</f>
        <v/>
      </c>
      <c r="P335" s="16" t="str">
        <f>IF(Country_4!$C36="","",Country_4!P36)</f>
        <v/>
      </c>
      <c r="Q335" s="16" t="str">
        <f>IF(Country_4!$C36="","",Country_4!Q36)</f>
        <v/>
      </c>
    </row>
    <row r="336" spans="1:17" x14ac:dyDescent="0.25">
      <c r="A336" s="16" t="str">
        <f>IF(Country_4!$C37="","",Country_4!A37)</f>
        <v/>
      </c>
      <c r="B336" s="16" t="str">
        <f>IF(Country_4!$C37="","",Country_4!B37)</f>
        <v/>
      </c>
      <c r="C336" s="16" t="str">
        <f>IF(Country_4!$C37="","",Country_4!C37)</f>
        <v/>
      </c>
      <c r="D336" s="16" t="str">
        <f>IF(Country_4!$C37="","",Country_4!D37)</f>
        <v/>
      </c>
      <c r="E336" s="16" t="str">
        <f>IF(Country_4!$C37="","",Country_4!E37)</f>
        <v/>
      </c>
      <c r="F336" s="16" t="str">
        <f>IF(Country_4!$C37="","",Country_4!F37)</f>
        <v/>
      </c>
      <c r="G336" s="17" t="str">
        <f>IF(Country_4!$C37="","",Country_4!G37)</f>
        <v/>
      </c>
      <c r="H336" s="17" t="str">
        <f>IF(Country_4!$C37="","",Country_4!H37)</f>
        <v/>
      </c>
      <c r="I336" s="16" t="str">
        <f>IF(Country_4!$C37="","",Country_4!I37)</f>
        <v/>
      </c>
      <c r="J336" s="16" t="str">
        <f>IF(Country_4!$C37="","",Country_4!J37)</f>
        <v/>
      </c>
      <c r="K336" s="18" t="str">
        <f>IF(Country_4!$C37="","",Country_4!K37)</f>
        <v/>
      </c>
      <c r="L336" s="18" t="str">
        <f>IF(Country_4!$C37="","",Country_4!L37)</f>
        <v/>
      </c>
      <c r="M336" s="19" t="str">
        <f>IF(Country_4!$C37="","",Country_4!M37)</f>
        <v/>
      </c>
      <c r="N336" s="16" t="str">
        <f>IF(Country_4!$C37="","",Country_4!N37)</f>
        <v/>
      </c>
      <c r="O336" s="16" t="str">
        <f>IF(Country_4!$C37="","",Country_4!O37)</f>
        <v/>
      </c>
      <c r="P336" s="16" t="str">
        <f>IF(Country_4!$C37="","",Country_4!P37)</f>
        <v/>
      </c>
      <c r="Q336" s="16" t="str">
        <f>IF(Country_4!$C37="","",Country_4!Q37)</f>
        <v/>
      </c>
    </row>
    <row r="337" spans="1:17" x14ac:dyDescent="0.25">
      <c r="A337" s="16" t="str">
        <f>IF(Country_4!$C38="","",Country_4!A38)</f>
        <v/>
      </c>
      <c r="B337" s="16" t="str">
        <f>IF(Country_4!$C38="","",Country_4!B38)</f>
        <v/>
      </c>
      <c r="C337" s="16" t="str">
        <f>IF(Country_4!$C38="","",Country_4!C38)</f>
        <v/>
      </c>
      <c r="D337" s="16" t="str">
        <f>IF(Country_4!$C38="","",Country_4!D38)</f>
        <v/>
      </c>
      <c r="E337" s="16" t="str">
        <f>IF(Country_4!$C38="","",Country_4!E38)</f>
        <v/>
      </c>
      <c r="F337" s="16" t="str">
        <f>IF(Country_4!$C38="","",Country_4!F38)</f>
        <v/>
      </c>
      <c r="G337" s="17" t="str">
        <f>IF(Country_4!$C38="","",Country_4!G38)</f>
        <v/>
      </c>
      <c r="H337" s="17" t="str">
        <f>IF(Country_4!$C38="","",Country_4!H38)</f>
        <v/>
      </c>
      <c r="I337" s="16" t="str">
        <f>IF(Country_4!$C38="","",Country_4!I38)</f>
        <v/>
      </c>
      <c r="J337" s="16" t="str">
        <f>IF(Country_4!$C38="","",Country_4!J38)</f>
        <v/>
      </c>
      <c r="K337" s="18" t="str">
        <f>IF(Country_4!$C38="","",Country_4!K38)</f>
        <v/>
      </c>
      <c r="L337" s="18" t="str">
        <f>IF(Country_4!$C38="","",Country_4!L38)</f>
        <v/>
      </c>
      <c r="M337" s="19" t="str">
        <f>IF(Country_4!$C38="","",Country_4!M38)</f>
        <v/>
      </c>
      <c r="N337" s="16" t="str">
        <f>IF(Country_4!$C38="","",Country_4!N38)</f>
        <v/>
      </c>
      <c r="O337" s="16" t="str">
        <f>IF(Country_4!$C38="","",Country_4!O38)</f>
        <v/>
      </c>
      <c r="P337" s="16" t="str">
        <f>IF(Country_4!$C38="","",Country_4!P38)</f>
        <v/>
      </c>
      <c r="Q337" s="16" t="str">
        <f>IF(Country_4!$C38="","",Country_4!Q38)</f>
        <v/>
      </c>
    </row>
    <row r="338" spans="1:17" x14ac:dyDescent="0.25">
      <c r="A338" s="16" t="str">
        <f>IF(Country_4!$C39="","",Country_4!A39)</f>
        <v/>
      </c>
      <c r="B338" s="16" t="str">
        <f>IF(Country_4!$C39="","",Country_4!B39)</f>
        <v/>
      </c>
      <c r="C338" s="16" t="str">
        <f>IF(Country_4!$C39="","",Country_4!C39)</f>
        <v/>
      </c>
      <c r="D338" s="16" t="str">
        <f>IF(Country_4!$C39="","",Country_4!D39)</f>
        <v/>
      </c>
      <c r="E338" s="16" t="str">
        <f>IF(Country_4!$C39="","",Country_4!E39)</f>
        <v/>
      </c>
      <c r="F338" s="16" t="str">
        <f>IF(Country_4!$C39="","",Country_4!F39)</f>
        <v/>
      </c>
      <c r="G338" s="17" t="str">
        <f>IF(Country_4!$C39="","",Country_4!G39)</f>
        <v/>
      </c>
      <c r="H338" s="17" t="str">
        <f>IF(Country_4!$C39="","",Country_4!H39)</f>
        <v/>
      </c>
      <c r="I338" s="16" t="str">
        <f>IF(Country_4!$C39="","",Country_4!I39)</f>
        <v/>
      </c>
      <c r="J338" s="16" t="str">
        <f>IF(Country_4!$C39="","",Country_4!J39)</f>
        <v/>
      </c>
      <c r="K338" s="18" t="str">
        <f>IF(Country_4!$C39="","",Country_4!K39)</f>
        <v/>
      </c>
      <c r="L338" s="18" t="str">
        <f>IF(Country_4!$C39="","",Country_4!L39)</f>
        <v/>
      </c>
      <c r="M338" s="19" t="str">
        <f>IF(Country_4!$C39="","",Country_4!M39)</f>
        <v/>
      </c>
      <c r="N338" s="16" t="str">
        <f>IF(Country_4!$C39="","",Country_4!N39)</f>
        <v/>
      </c>
      <c r="O338" s="16" t="str">
        <f>IF(Country_4!$C39="","",Country_4!O39)</f>
        <v/>
      </c>
      <c r="P338" s="16" t="str">
        <f>IF(Country_4!$C39="","",Country_4!P39)</f>
        <v/>
      </c>
      <c r="Q338" s="16" t="str">
        <f>IF(Country_4!$C39="","",Country_4!Q39)</f>
        <v/>
      </c>
    </row>
    <row r="339" spans="1:17" x14ac:dyDescent="0.25">
      <c r="A339" s="16" t="str">
        <f>IF(Country_4!$C40="","",Country_4!A40)</f>
        <v/>
      </c>
      <c r="B339" s="16" t="str">
        <f>IF(Country_4!$C40="","",Country_4!B40)</f>
        <v/>
      </c>
      <c r="C339" s="16" t="str">
        <f>IF(Country_4!$C40="","",Country_4!C40)</f>
        <v/>
      </c>
      <c r="D339" s="16" t="str">
        <f>IF(Country_4!$C40="","",Country_4!D40)</f>
        <v/>
      </c>
      <c r="E339" s="16" t="str">
        <f>IF(Country_4!$C40="","",Country_4!E40)</f>
        <v/>
      </c>
      <c r="F339" s="16" t="str">
        <f>IF(Country_4!$C40="","",Country_4!F40)</f>
        <v/>
      </c>
      <c r="G339" s="17" t="str">
        <f>IF(Country_4!$C40="","",Country_4!G40)</f>
        <v/>
      </c>
      <c r="H339" s="17" t="str">
        <f>IF(Country_4!$C40="","",Country_4!H40)</f>
        <v/>
      </c>
      <c r="I339" s="16" t="str">
        <f>IF(Country_4!$C40="","",Country_4!I40)</f>
        <v/>
      </c>
      <c r="J339" s="16" t="str">
        <f>IF(Country_4!$C40="","",Country_4!J40)</f>
        <v/>
      </c>
      <c r="K339" s="18" t="str">
        <f>IF(Country_4!$C40="","",Country_4!K40)</f>
        <v/>
      </c>
      <c r="L339" s="18" t="str">
        <f>IF(Country_4!$C40="","",Country_4!L40)</f>
        <v/>
      </c>
      <c r="M339" s="19" t="str">
        <f>IF(Country_4!$C40="","",Country_4!M40)</f>
        <v/>
      </c>
      <c r="N339" s="16" t="str">
        <f>IF(Country_4!$C40="","",Country_4!N40)</f>
        <v/>
      </c>
      <c r="O339" s="16" t="str">
        <f>IF(Country_4!$C40="","",Country_4!O40)</f>
        <v/>
      </c>
      <c r="P339" s="16" t="str">
        <f>IF(Country_4!$C40="","",Country_4!P40)</f>
        <v/>
      </c>
      <c r="Q339" s="16" t="str">
        <f>IF(Country_4!$C40="","",Country_4!Q40)</f>
        <v/>
      </c>
    </row>
    <row r="340" spans="1:17" x14ac:dyDescent="0.25">
      <c r="A340" s="16" t="str">
        <f>IF(Country_4!$C41="","",Country_4!A41)</f>
        <v/>
      </c>
      <c r="B340" s="16" t="str">
        <f>IF(Country_4!$C41="","",Country_4!B41)</f>
        <v/>
      </c>
      <c r="C340" s="16" t="str">
        <f>IF(Country_4!$C41="","",Country_4!C41)</f>
        <v/>
      </c>
      <c r="D340" s="16" t="str">
        <f>IF(Country_4!$C41="","",Country_4!D41)</f>
        <v/>
      </c>
      <c r="E340" s="16" t="str">
        <f>IF(Country_4!$C41="","",Country_4!E41)</f>
        <v/>
      </c>
      <c r="F340" s="16" t="str">
        <f>IF(Country_4!$C41="","",Country_4!F41)</f>
        <v/>
      </c>
      <c r="G340" s="17" t="str">
        <f>IF(Country_4!$C41="","",Country_4!G41)</f>
        <v/>
      </c>
      <c r="H340" s="17" t="str">
        <f>IF(Country_4!$C41="","",Country_4!H41)</f>
        <v/>
      </c>
      <c r="I340" s="16" t="str">
        <f>IF(Country_4!$C41="","",Country_4!I41)</f>
        <v/>
      </c>
      <c r="J340" s="16" t="str">
        <f>IF(Country_4!$C41="","",Country_4!J41)</f>
        <v/>
      </c>
      <c r="K340" s="18" t="str">
        <f>IF(Country_4!$C41="","",Country_4!K41)</f>
        <v/>
      </c>
      <c r="L340" s="18" t="str">
        <f>IF(Country_4!$C41="","",Country_4!L41)</f>
        <v/>
      </c>
      <c r="M340" s="19" t="str">
        <f>IF(Country_4!$C41="","",Country_4!M41)</f>
        <v/>
      </c>
      <c r="N340" s="16" t="str">
        <f>IF(Country_4!$C41="","",Country_4!N41)</f>
        <v/>
      </c>
      <c r="O340" s="16" t="str">
        <f>IF(Country_4!$C41="","",Country_4!O41)</f>
        <v/>
      </c>
      <c r="P340" s="16" t="str">
        <f>IF(Country_4!$C41="","",Country_4!P41)</f>
        <v/>
      </c>
      <c r="Q340" s="16" t="str">
        <f>IF(Country_4!$C41="","",Country_4!Q41)</f>
        <v/>
      </c>
    </row>
    <row r="341" spans="1:17" x14ac:dyDescent="0.25">
      <c r="A341" s="16" t="str">
        <f>IF(Country_4!$C42="","",Country_4!A42)</f>
        <v/>
      </c>
      <c r="B341" s="16" t="str">
        <f>IF(Country_4!$C42="","",Country_4!B42)</f>
        <v/>
      </c>
      <c r="C341" s="16" t="str">
        <f>IF(Country_4!$C42="","",Country_4!C42)</f>
        <v/>
      </c>
      <c r="D341" s="16" t="str">
        <f>IF(Country_4!$C42="","",Country_4!D42)</f>
        <v/>
      </c>
      <c r="E341" s="16" t="str">
        <f>IF(Country_4!$C42="","",Country_4!E42)</f>
        <v/>
      </c>
      <c r="F341" s="16" t="str">
        <f>IF(Country_4!$C42="","",Country_4!F42)</f>
        <v/>
      </c>
      <c r="G341" s="17" t="str">
        <f>IF(Country_4!$C42="","",Country_4!G42)</f>
        <v/>
      </c>
      <c r="H341" s="17" t="str">
        <f>IF(Country_4!$C42="","",Country_4!H42)</f>
        <v/>
      </c>
      <c r="I341" s="16" t="str">
        <f>IF(Country_4!$C42="","",Country_4!I42)</f>
        <v/>
      </c>
      <c r="J341" s="16" t="str">
        <f>IF(Country_4!$C42="","",Country_4!J42)</f>
        <v/>
      </c>
      <c r="K341" s="18" t="str">
        <f>IF(Country_4!$C42="","",Country_4!K42)</f>
        <v/>
      </c>
      <c r="L341" s="18" t="str">
        <f>IF(Country_4!$C42="","",Country_4!L42)</f>
        <v/>
      </c>
      <c r="M341" s="19" t="str">
        <f>IF(Country_4!$C42="","",Country_4!M42)</f>
        <v/>
      </c>
      <c r="N341" s="16" t="str">
        <f>IF(Country_4!$C42="","",Country_4!N42)</f>
        <v/>
      </c>
      <c r="O341" s="16" t="str">
        <f>IF(Country_4!$C42="","",Country_4!O42)</f>
        <v/>
      </c>
      <c r="P341" s="16" t="str">
        <f>IF(Country_4!$C42="","",Country_4!P42)</f>
        <v/>
      </c>
      <c r="Q341" s="16" t="str">
        <f>IF(Country_4!$C42="","",Country_4!Q42)</f>
        <v/>
      </c>
    </row>
    <row r="342" spans="1:17" x14ac:dyDescent="0.25">
      <c r="A342" s="16" t="str">
        <f>IF(Country_4!$C43="","",Country_4!A43)</f>
        <v/>
      </c>
      <c r="B342" s="16" t="str">
        <f>IF(Country_4!$C43="","",Country_4!B43)</f>
        <v/>
      </c>
      <c r="C342" s="16" t="str">
        <f>IF(Country_4!$C43="","",Country_4!C43)</f>
        <v/>
      </c>
      <c r="D342" s="16" t="str">
        <f>IF(Country_4!$C43="","",Country_4!D43)</f>
        <v/>
      </c>
      <c r="E342" s="16" t="str">
        <f>IF(Country_4!$C43="","",Country_4!E43)</f>
        <v/>
      </c>
      <c r="F342" s="16" t="str">
        <f>IF(Country_4!$C43="","",Country_4!F43)</f>
        <v/>
      </c>
      <c r="G342" s="17" t="str">
        <f>IF(Country_4!$C43="","",Country_4!G43)</f>
        <v/>
      </c>
      <c r="H342" s="17" t="str">
        <f>IF(Country_4!$C43="","",Country_4!H43)</f>
        <v/>
      </c>
      <c r="I342" s="16" t="str">
        <f>IF(Country_4!$C43="","",Country_4!I43)</f>
        <v/>
      </c>
      <c r="J342" s="16" t="str">
        <f>IF(Country_4!$C43="","",Country_4!J43)</f>
        <v/>
      </c>
      <c r="K342" s="18" t="str">
        <f>IF(Country_4!$C43="","",Country_4!K43)</f>
        <v/>
      </c>
      <c r="L342" s="18" t="str">
        <f>IF(Country_4!$C43="","",Country_4!L43)</f>
        <v/>
      </c>
      <c r="M342" s="19" t="str">
        <f>IF(Country_4!$C43="","",Country_4!M43)</f>
        <v/>
      </c>
      <c r="N342" s="16" t="str">
        <f>IF(Country_4!$C43="","",Country_4!N43)</f>
        <v/>
      </c>
      <c r="O342" s="16" t="str">
        <f>IF(Country_4!$C43="","",Country_4!O43)</f>
        <v/>
      </c>
      <c r="P342" s="16" t="str">
        <f>IF(Country_4!$C43="","",Country_4!P43)</f>
        <v/>
      </c>
      <c r="Q342" s="16" t="str">
        <f>IF(Country_4!$C43="","",Country_4!Q43)</f>
        <v/>
      </c>
    </row>
    <row r="343" spans="1:17" x14ac:dyDescent="0.25">
      <c r="A343" s="16" t="str">
        <f>IF(Country_4!$C44="","",Country_4!A44)</f>
        <v/>
      </c>
      <c r="B343" s="16" t="str">
        <f>IF(Country_4!$C44="","",Country_4!B44)</f>
        <v/>
      </c>
      <c r="C343" s="16" t="str">
        <f>IF(Country_4!$C44="","",Country_4!C44)</f>
        <v/>
      </c>
      <c r="D343" s="16" t="str">
        <f>IF(Country_4!$C44="","",Country_4!D44)</f>
        <v/>
      </c>
      <c r="E343" s="16" t="str">
        <f>IF(Country_4!$C44="","",Country_4!E44)</f>
        <v/>
      </c>
      <c r="F343" s="16" t="str">
        <f>IF(Country_4!$C44="","",Country_4!F44)</f>
        <v/>
      </c>
      <c r="G343" s="17" t="str">
        <f>IF(Country_4!$C44="","",Country_4!G44)</f>
        <v/>
      </c>
      <c r="H343" s="17" t="str">
        <f>IF(Country_4!$C44="","",Country_4!H44)</f>
        <v/>
      </c>
      <c r="I343" s="16" t="str">
        <f>IF(Country_4!$C44="","",Country_4!I44)</f>
        <v/>
      </c>
      <c r="J343" s="16" t="str">
        <f>IF(Country_4!$C44="","",Country_4!J44)</f>
        <v/>
      </c>
      <c r="K343" s="18" t="str">
        <f>IF(Country_4!$C44="","",Country_4!K44)</f>
        <v/>
      </c>
      <c r="L343" s="18" t="str">
        <f>IF(Country_4!$C44="","",Country_4!L44)</f>
        <v/>
      </c>
      <c r="M343" s="19" t="str">
        <f>IF(Country_4!$C44="","",Country_4!M44)</f>
        <v/>
      </c>
      <c r="N343" s="16" t="str">
        <f>IF(Country_4!$C44="","",Country_4!N44)</f>
        <v/>
      </c>
      <c r="O343" s="16" t="str">
        <f>IF(Country_4!$C44="","",Country_4!O44)</f>
        <v/>
      </c>
      <c r="P343" s="16" t="str">
        <f>IF(Country_4!$C44="","",Country_4!P44)</f>
        <v/>
      </c>
      <c r="Q343" s="16" t="str">
        <f>IF(Country_4!$C44="","",Country_4!Q44)</f>
        <v/>
      </c>
    </row>
    <row r="344" spans="1:17" x14ac:dyDescent="0.25">
      <c r="A344" s="16" t="str">
        <f>IF(Country_4!$C45="","",Country_4!A45)</f>
        <v/>
      </c>
      <c r="B344" s="16" t="str">
        <f>IF(Country_4!$C45="","",Country_4!B45)</f>
        <v/>
      </c>
      <c r="C344" s="16" t="str">
        <f>IF(Country_4!$C45="","",Country_4!C45)</f>
        <v/>
      </c>
      <c r="D344" s="16" t="str">
        <f>IF(Country_4!$C45="","",Country_4!D45)</f>
        <v/>
      </c>
      <c r="E344" s="16" t="str">
        <f>IF(Country_4!$C45="","",Country_4!E45)</f>
        <v/>
      </c>
      <c r="F344" s="16" t="str">
        <f>IF(Country_4!$C45="","",Country_4!F45)</f>
        <v/>
      </c>
      <c r="G344" s="17" t="str">
        <f>IF(Country_4!$C45="","",Country_4!G45)</f>
        <v/>
      </c>
      <c r="H344" s="17" t="str">
        <f>IF(Country_4!$C45="","",Country_4!H45)</f>
        <v/>
      </c>
      <c r="I344" s="16" t="str">
        <f>IF(Country_4!$C45="","",Country_4!I45)</f>
        <v/>
      </c>
      <c r="J344" s="16" t="str">
        <f>IF(Country_4!$C45="","",Country_4!J45)</f>
        <v/>
      </c>
      <c r="K344" s="18" t="str">
        <f>IF(Country_4!$C45="","",Country_4!K45)</f>
        <v/>
      </c>
      <c r="L344" s="18" t="str">
        <f>IF(Country_4!$C45="","",Country_4!L45)</f>
        <v/>
      </c>
      <c r="M344" s="19" t="str">
        <f>IF(Country_4!$C45="","",Country_4!M45)</f>
        <v/>
      </c>
      <c r="N344" s="16" t="str">
        <f>IF(Country_4!$C45="","",Country_4!N45)</f>
        <v/>
      </c>
      <c r="O344" s="16" t="str">
        <f>IF(Country_4!$C45="","",Country_4!O45)</f>
        <v/>
      </c>
      <c r="P344" s="16" t="str">
        <f>IF(Country_4!$C45="","",Country_4!P45)</f>
        <v/>
      </c>
      <c r="Q344" s="16" t="str">
        <f>IF(Country_4!$C45="","",Country_4!Q45)</f>
        <v/>
      </c>
    </row>
    <row r="345" spans="1:17" x14ac:dyDescent="0.25">
      <c r="A345" s="16" t="str">
        <f>IF(Country_4!$C46="","",Country_4!A46)</f>
        <v/>
      </c>
      <c r="B345" s="16" t="str">
        <f>IF(Country_4!$C46="","",Country_4!B46)</f>
        <v/>
      </c>
      <c r="C345" s="16" t="str">
        <f>IF(Country_4!$C46="","",Country_4!C46)</f>
        <v/>
      </c>
      <c r="D345" s="16" t="str">
        <f>IF(Country_4!$C46="","",Country_4!D46)</f>
        <v/>
      </c>
      <c r="E345" s="16" t="str">
        <f>IF(Country_4!$C46="","",Country_4!E46)</f>
        <v/>
      </c>
      <c r="F345" s="16" t="str">
        <f>IF(Country_4!$C46="","",Country_4!F46)</f>
        <v/>
      </c>
      <c r="G345" s="17" t="str">
        <f>IF(Country_4!$C46="","",Country_4!G46)</f>
        <v/>
      </c>
      <c r="H345" s="17" t="str">
        <f>IF(Country_4!$C46="","",Country_4!H46)</f>
        <v/>
      </c>
      <c r="I345" s="16" t="str">
        <f>IF(Country_4!$C46="","",Country_4!I46)</f>
        <v/>
      </c>
      <c r="J345" s="16" t="str">
        <f>IF(Country_4!$C46="","",Country_4!J46)</f>
        <v/>
      </c>
      <c r="K345" s="18" t="str">
        <f>IF(Country_4!$C46="","",Country_4!K46)</f>
        <v/>
      </c>
      <c r="L345" s="18" t="str">
        <f>IF(Country_4!$C46="","",Country_4!L46)</f>
        <v/>
      </c>
      <c r="M345" s="19" t="str">
        <f>IF(Country_4!$C46="","",Country_4!M46)</f>
        <v/>
      </c>
      <c r="N345" s="16" t="str">
        <f>IF(Country_4!$C46="","",Country_4!N46)</f>
        <v/>
      </c>
      <c r="O345" s="16" t="str">
        <f>IF(Country_4!$C46="","",Country_4!O46)</f>
        <v/>
      </c>
      <c r="P345" s="16" t="str">
        <f>IF(Country_4!$C46="","",Country_4!P46)</f>
        <v/>
      </c>
      <c r="Q345" s="16" t="str">
        <f>IF(Country_4!$C46="","",Country_4!Q46)</f>
        <v/>
      </c>
    </row>
    <row r="346" spans="1:17" x14ac:dyDescent="0.25">
      <c r="A346" s="16" t="str">
        <f>IF(Country_4!$C47="","",Country_4!A47)</f>
        <v/>
      </c>
      <c r="B346" s="16" t="str">
        <f>IF(Country_4!$C47="","",Country_4!B47)</f>
        <v/>
      </c>
      <c r="C346" s="16" t="str">
        <f>IF(Country_4!$C47="","",Country_4!C47)</f>
        <v/>
      </c>
      <c r="D346" s="16" t="str">
        <f>IF(Country_4!$C47="","",Country_4!D47)</f>
        <v/>
      </c>
      <c r="E346" s="16" t="str">
        <f>IF(Country_4!$C47="","",Country_4!E47)</f>
        <v/>
      </c>
      <c r="F346" s="16" t="str">
        <f>IF(Country_4!$C47="","",Country_4!F47)</f>
        <v/>
      </c>
      <c r="G346" s="17" t="str">
        <f>IF(Country_4!$C47="","",Country_4!G47)</f>
        <v/>
      </c>
      <c r="H346" s="17" t="str">
        <f>IF(Country_4!$C47="","",Country_4!H47)</f>
        <v/>
      </c>
      <c r="I346" s="16" t="str">
        <f>IF(Country_4!$C47="","",Country_4!I47)</f>
        <v/>
      </c>
      <c r="J346" s="16" t="str">
        <f>IF(Country_4!$C47="","",Country_4!J47)</f>
        <v/>
      </c>
      <c r="K346" s="18" t="str">
        <f>IF(Country_4!$C47="","",Country_4!K47)</f>
        <v/>
      </c>
      <c r="L346" s="18" t="str">
        <f>IF(Country_4!$C47="","",Country_4!L47)</f>
        <v/>
      </c>
      <c r="M346" s="19" t="str">
        <f>IF(Country_4!$C47="","",Country_4!M47)</f>
        <v/>
      </c>
      <c r="N346" s="16" t="str">
        <f>IF(Country_4!$C47="","",Country_4!N47)</f>
        <v/>
      </c>
      <c r="O346" s="16" t="str">
        <f>IF(Country_4!$C47="","",Country_4!O47)</f>
        <v/>
      </c>
      <c r="P346" s="16" t="str">
        <f>IF(Country_4!$C47="","",Country_4!P47)</f>
        <v/>
      </c>
      <c r="Q346" s="16" t="str">
        <f>IF(Country_4!$C47="","",Country_4!Q47)</f>
        <v/>
      </c>
    </row>
    <row r="347" spans="1:17" x14ac:dyDescent="0.25">
      <c r="A347" s="16" t="str">
        <f>IF(Country_4!$C48="","",Country_4!A48)</f>
        <v/>
      </c>
      <c r="B347" s="16" t="str">
        <f>IF(Country_4!$C48="","",Country_4!B48)</f>
        <v/>
      </c>
      <c r="C347" s="16" t="str">
        <f>IF(Country_4!$C48="","",Country_4!C48)</f>
        <v/>
      </c>
      <c r="D347" s="16" t="str">
        <f>IF(Country_4!$C48="","",Country_4!D48)</f>
        <v/>
      </c>
      <c r="E347" s="16" t="str">
        <f>IF(Country_4!$C48="","",Country_4!E48)</f>
        <v/>
      </c>
      <c r="F347" s="16" t="str">
        <f>IF(Country_4!$C48="","",Country_4!F48)</f>
        <v/>
      </c>
      <c r="G347" s="17" t="str">
        <f>IF(Country_4!$C48="","",Country_4!G48)</f>
        <v/>
      </c>
      <c r="H347" s="17" t="str">
        <f>IF(Country_4!$C48="","",Country_4!H48)</f>
        <v/>
      </c>
      <c r="I347" s="16" t="str">
        <f>IF(Country_4!$C48="","",Country_4!I48)</f>
        <v/>
      </c>
      <c r="J347" s="16" t="str">
        <f>IF(Country_4!$C48="","",Country_4!J48)</f>
        <v/>
      </c>
      <c r="K347" s="18" t="str">
        <f>IF(Country_4!$C48="","",Country_4!K48)</f>
        <v/>
      </c>
      <c r="L347" s="18" t="str">
        <f>IF(Country_4!$C48="","",Country_4!L48)</f>
        <v/>
      </c>
      <c r="M347" s="19" t="str">
        <f>IF(Country_4!$C48="","",Country_4!M48)</f>
        <v/>
      </c>
      <c r="N347" s="16" t="str">
        <f>IF(Country_4!$C48="","",Country_4!N48)</f>
        <v/>
      </c>
      <c r="O347" s="16" t="str">
        <f>IF(Country_4!$C48="","",Country_4!O48)</f>
        <v/>
      </c>
      <c r="P347" s="16" t="str">
        <f>IF(Country_4!$C48="","",Country_4!P48)</f>
        <v/>
      </c>
      <c r="Q347" s="16" t="str">
        <f>IF(Country_4!$C48="","",Country_4!Q48)</f>
        <v/>
      </c>
    </row>
    <row r="348" spans="1:17" x14ac:dyDescent="0.25">
      <c r="A348" s="16" t="str">
        <f>IF(Country_4!$C49="","",Country_4!A49)</f>
        <v/>
      </c>
      <c r="B348" s="16" t="str">
        <f>IF(Country_4!$C49="","",Country_4!B49)</f>
        <v/>
      </c>
      <c r="C348" s="16" t="str">
        <f>IF(Country_4!$C49="","",Country_4!C49)</f>
        <v/>
      </c>
      <c r="D348" s="16" t="str">
        <f>IF(Country_4!$C49="","",Country_4!D49)</f>
        <v/>
      </c>
      <c r="E348" s="16" t="str">
        <f>IF(Country_4!$C49="","",Country_4!E49)</f>
        <v/>
      </c>
      <c r="F348" s="16" t="str">
        <f>IF(Country_4!$C49="","",Country_4!F49)</f>
        <v/>
      </c>
      <c r="G348" s="17" t="str">
        <f>IF(Country_4!$C49="","",Country_4!G49)</f>
        <v/>
      </c>
      <c r="H348" s="17" t="str">
        <f>IF(Country_4!$C49="","",Country_4!H49)</f>
        <v/>
      </c>
      <c r="I348" s="16" t="str">
        <f>IF(Country_4!$C49="","",Country_4!I49)</f>
        <v/>
      </c>
      <c r="J348" s="16" t="str">
        <f>IF(Country_4!$C49="","",Country_4!J49)</f>
        <v/>
      </c>
      <c r="K348" s="18" t="str">
        <f>IF(Country_4!$C49="","",Country_4!K49)</f>
        <v/>
      </c>
      <c r="L348" s="18" t="str">
        <f>IF(Country_4!$C49="","",Country_4!L49)</f>
        <v/>
      </c>
      <c r="M348" s="19" t="str">
        <f>IF(Country_4!$C49="","",Country_4!M49)</f>
        <v/>
      </c>
      <c r="N348" s="16" t="str">
        <f>IF(Country_4!$C49="","",Country_4!N49)</f>
        <v/>
      </c>
      <c r="O348" s="16" t="str">
        <f>IF(Country_4!$C49="","",Country_4!O49)</f>
        <v/>
      </c>
      <c r="P348" s="16" t="str">
        <f>IF(Country_4!$C49="","",Country_4!P49)</f>
        <v/>
      </c>
      <c r="Q348" s="16" t="str">
        <f>IF(Country_4!$C49="","",Country_4!Q49)</f>
        <v/>
      </c>
    </row>
    <row r="349" spans="1:17" x14ac:dyDescent="0.25">
      <c r="A349" s="16" t="str">
        <f>IF(Country_4!$C50="","",Country_4!A50)</f>
        <v/>
      </c>
      <c r="B349" s="16" t="str">
        <f>IF(Country_4!$C50="","",Country_4!B50)</f>
        <v/>
      </c>
      <c r="C349" s="16" t="str">
        <f>IF(Country_4!$C50="","",Country_4!C50)</f>
        <v/>
      </c>
      <c r="D349" s="16" t="str">
        <f>IF(Country_4!$C50="","",Country_4!D50)</f>
        <v/>
      </c>
      <c r="E349" s="16" t="str">
        <f>IF(Country_4!$C50="","",Country_4!E50)</f>
        <v/>
      </c>
      <c r="F349" s="16" t="str">
        <f>IF(Country_4!$C50="","",Country_4!F50)</f>
        <v/>
      </c>
      <c r="G349" s="17" t="str">
        <f>IF(Country_4!$C50="","",Country_4!G50)</f>
        <v/>
      </c>
      <c r="H349" s="17" t="str">
        <f>IF(Country_4!$C50="","",Country_4!H50)</f>
        <v/>
      </c>
      <c r="I349" s="16" t="str">
        <f>IF(Country_4!$C50="","",Country_4!I50)</f>
        <v/>
      </c>
      <c r="J349" s="16" t="str">
        <f>IF(Country_4!$C50="","",Country_4!J50)</f>
        <v/>
      </c>
      <c r="K349" s="18" t="str">
        <f>IF(Country_4!$C50="","",Country_4!K50)</f>
        <v/>
      </c>
      <c r="L349" s="18" t="str">
        <f>IF(Country_4!$C50="","",Country_4!L50)</f>
        <v/>
      </c>
      <c r="M349" s="19" t="str">
        <f>IF(Country_4!$C50="","",Country_4!M50)</f>
        <v/>
      </c>
      <c r="N349" s="16" t="str">
        <f>IF(Country_4!$C50="","",Country_4!N50)</f>
        <v/>
      </c>
      <c r="O349" s="16" t="str">
        <f>IF(Country_4!$C50="","",Country_4!O50)</f>
        <v/>
      </c>
      <c r="P349" s="16" t="str">
        <f>IF(Country_4!$C50="","",Country_4!P50)</f>
        <v/>
      </c>
      <c r="Q349" s="16" t="str">
        <f>IF(Country_4!$C50="","",Country_4!Q50)</f>
        <v/>
      </c>
    </row>
    <row r="350" spans="1:17" x14ac:dyDescent="0.25">
      <c r="A350" s="16" t="str">
        <f>IF(Country_4!$C51="","",Country_4!A51)</f>
        <v/>
      </c>
      <c r="B350" s="16" t="str">
        <f>IF(Country_4!$C51="","",Country_4!B51)</f>
        <v/>
      </c>
      <c r="C350" s="16" t="str">
        <f>IF(Country_4!$C51="","",Country_4!C51)</f>
        <v/>
      </c>
      <c r="D350" s="16" t="str">
        <f>IF(Country_4!$C51="","",Country_4!D51)</f>
        <v/>
      </c>
      <c r="E350" s="16" t="str">
        <f>IF(Country_4!$C51="","",Country_4!E51)</f>
        <v/>
      </c>
      <c r="F350" s="16" t="str">
        <f>IF(Country_4!$C51="","",Country_4!F51)</f>
        <v/>
      </c>
      <c r="G350" s="17" t="str">
        <f>IF(Country_4!$C51="","",Country_4!G51)</f>
        <v/>
      </c>
      <c r="H350" s="17" t="str">
        <f>IF(Country_4!$C51="","",Country_4!H51)</f>
        <v/>
      </c>
      <c r="I350" s="16" t="str">
        <f>IF(Country_4!$C51="","",Country_4!I51)</f>
        <v/>
      </c>
      <c r="J350" s="16" t="str">
        <f>IF(Country_4!$C51="","",Country_4!J51)</f>
        <v/>
      </c>
      <c r="K350" s="18" t="str">
        <f>IF(Country_4!$C51="","",Country_4!K51)</f>
        <v/>
      </c>
      <c r="L350" s="18" t="str">
        <f>IF(Country_4!$C51="","",Country_4!L51)</f>
        <v/>
      </c>
      <c r="M350" s="19" t="str">
        <f>IF(Country_4!$C51="","",Country_4!M51)</f>
        <v/>
      </c>
      <c r="N350" s="16" t="str">
        <f>IF(Country_4!$C51="","",Country_4!N51)</f>
        <v/>
      </c>
      <c r="O350" s="16" t="str">
        <f>IF(Country_4!$C51="","",Country_4!O51)</f>
        <v/>
      </c>
      <c r="P350" s="16" t="str">
        <f>IF(Country_4!$C51="","",Country_4!P51)</f>
        <v/>
      </c>
      <c r="Q350" s="16" t="str">
        <f>IF(Country_4!$C51="","",Country_4!Q51)</f>
        <v/>
      </c>
    </row>
    <row r="351" spans="1:17" x14ac:dyDescent="0.25">
      <c r="A351" s="16" t="str">
        <f>IF(Country_4!$C52="","",Country_4!A52)</f>
        <v/>
      </c>
      <c r="B351" s="16" t="str">
        <f>IF(Country_4!$C52="","",Country_4!B52)</f>
        <v/>
      </c>
      <c r="C351" s="16" t="str">
        <f>IF(Country_4!$C52="","",Country_4!C52)</f>
        <v/>
      </c>
      <c r="D351" s="16" t="str">
        <f>IF(Country_4!$C52="","",Country_4!D52)</f>
        <v/>
      </c>
      <c r="E351" s="16" t="str">
        <f>IF(Country_4!$C52="","",Country_4!E52)</f>
        <v/>
      </c>
      <c r="F351" s="16" t="str">
        <f>IF(Country_4!$C52="","",Country_4!F52)</f>
        <v/>
      </c>
      <c r="G351" s="17" t="str">
        <f>IF(Country_4!$C52="","",Country_4!G52)</f>
        <v/>
      </c>
      <c r="H351" s="17" t="str">
        <f>IF(Country_4!$C52="","",Country_4!H52)</f>
        <v/>
      </c>
      <c r="I351" s="16" t="str">
        <f>IF(Country_4!$C52="","",Country_4!I52)</f>
        <v/>
      </c>
      <c r="J351" s="16" t="str">
        <f>IF(Country_4!$C52="","",Country_4!J52)</f>
        <v/>
      </c>
      <c r="K351" s="18" t="str">
        <f>IF(Country_4!$C52="","",Country_4!K52)</f>
        <v/>
      </c>
      <c r="L351" s="18" t="str">
        <f>IF(Country_4!$C52="","",Country_4!L52)</f>
        <v/>
      </c>
      <c r="M351" s="19" t="str">
        <f>IF(Country_4!$C52="","",Country_4!M52)</f>
        <v/>
      </c>
      <c r="N351" s="16" t="str">
        <f>IF(Country_4!$C52="","",Country_4!N52)</f>
        <v/>
      </c>
      <c r="O351" s="16" t="str">
        <f>IF(Country_4!$C52="","",Country_4!O52)</f>
        <v/>
      </c>
      <c r="P351" s="16" t="str">
        <f>IF(Country_4!$C52="","",Country_4!P52)</f>
        <v/>
      </c>
      <c r="Q351" s="16" t="str">
        <f>IF(Country_4!$C52="","",Country_4!Q52)</f>
        <v/>
      </c>
    </row>
    <row r="352" spans="1:17" x14ac:dyDescent="0.25">
      <c r="A352" s="16" t="str">
        <f>IF(Country_4!$C53="","",Country_4!A53)</f>
        <v/>
      </c>
      <c r="B352" s="16" t="str">
        <f>IF(Country_4!$C53="","",Country_4!B53)</f>
        <v/>
      </c>
      <c r="C352" s="16" t="str">
        <f>IF(Country_4!$C53="","",Country_4!C53)</f>
        <v/>
      </c>
      <c r="D352" s="16" t="str">
        <f>IF(Country_4!$C53="","",Country_4!D53)</f>
        <v/>
      </c>
      <c r="E352" s="16" t="str">
        <f>IF(Country_4!$C53="","",Country_4!E53)</f>
        <v/>
      </c>
      <c r="F352" s="16" t="str">
        <f>IF(Country_4!$C53="","",Country_4!F53)</f>
        <v/>
      </c>
      <c r="G352" s="17" t="str">
        <f>IF(Country_4!$C53="","",Country_4!G53)</f>
        <v/>
      </c>
      <c r="H352" s="17" t="str">
        <f>IF(Country_4!$C53="","",Country_4!H53)</f>
        <v/>
      </c>
      <c r="I352" s="16" t="str">
        <f>IF(Country_4!$C53="","",Country_4!I53)</f>
        <v/>
      </c>
      <c r="J352" s="16" t="str">
        <f>IF(Country_4!$C53="","",Country_4!J53)</f>
        <v/>
      </c>
      <c r="K352" s="18" t="str">
        <f>IF(Country_4!$C53="","",Country_4!K53)</f>
        <v/>
      </c>
      <c r="L352" s="18" t="str">
        <f>IF(Country_4!$C53="","",Country_4!L53)</f>
        <v/>
      </c>
      <c r="M352" s="19" t="str">
        <f>IF(Country_4!$C53="","",Country_4!M53)</f>
        <v/>
      </c>
      <c r="N352" s="16" t="str">
        <f>IF(Country_4!$C53="","",Country_4!N53)</f>
        <v/>
      </c>
      <c r="O352" s="16" t="str">
        <f>IF(Country_4!$C53="","",Country_4!O53)</f>
        <v/>
      </c>
      <c r="P352" s="16" t="str">
        <f>IF(Country_4!$C53="","",Country_4!P53)</f>
        <v/>
      </c>
      <c r="Q352" s="16" t="str">
        <f>IF(Country_4!$C53="","",Country_4!Q53)</f>
        <v/>
      </c>
    </row>
    <row r="353" spans="1:17" x14ac:dyDescent="0.25">
      <c r="A353" s="16" t="str">
        <f>IF(Country_4!$C54="","",Country_4!A54)</f>
        <v/>
      </c>
      <c r="B353" s="16" t="str">
        <f>IF(Country_4!$C54="","",Country_4!B54)</f>
        <v/>
      </c>
      <c r="C353" s="16" t="str">
        <f>IF(Country_4!$C54="","",Country_4!C54)</f>
        <v/>
      </c>
      <c r="D353" s="16" t="str">
        <f>IF(Country_4!$C54="","",Country_4!D54)</f>
        <v/>
      </c>
      <c r="E353" s="16" t="str">
        <f>IF(Country_4!$C54="","",Country_4!E54)</f>
        <v/>
      </c>
      <c r="F353" s="16" t="str">
        <f>IF(Country_4!$C54="","",Country_4!F54)</f>
        <v/>
      </c>
      <c r="G353" s="17" t="str">
        <f>IF(Country_4!$C54="","",Country_4!G54)</f>
        <v/>
      </c>
      <c r="H353" s="17" t="str">
        <f>IF(Country_4!$C54="","",Country_4!H54)</f>
        <v/>
      </c>
      <c r="I353" s="16" t="str">
        <f>IF(Country_4!$C54="","",Country_4!I54)</f>
        <v/>
      </c>
      <c r="J353" s="16" t="str">
        <f>IF(Country_4!$C54="","",Country_4!J54)</f>
        <v/>
      </c>
      <c r="K353" s="18" t="str">
        <f>IF(Country_4!$C54="","",Country_4!K54)</f>
        <v/>
      </c>
      <c r="L353" s="18" t="str">
        <f>IF(Country_4!$C54="","",Country_4!L54)</f>
        <v/>
      </c>
      <c r="M353" s="19" t="str">
        <f>IF(Country_4!$C54="","",Country_4!M54)</f>
        <v/>
      </c>
      <c r="N353" s="16" t="str">
        <f>IF(Country_4!$C54="","",Country_4!N54)</f>
        <v/>
      </c>
      <c r="O353" s="16" t="str">
        <f>IF(Country_4!$C54="","",Country_4!O54)</f>
        <v/>
      </c>
      <c r="P353" s="16" t="str">
        <f>IF(Country_4!$C54="","",Country_4!P54)</f>
        <v/>
      </c>
      <c r="Q353" s="16" t="str">
        <f>IF(Country_4!$C54="","",Country_4!Q54)</f>
        <v/>
      </c>
    </row>
    <row r="354" spans="1:17" x14ac:dyDescent="0.25">
      <c r="A354" s="16" t="str">
        <f>IF(Country_4!$C55="","",Country_4!A55)</f>
        <v/>
      </c>
      <c r="B354" s="16" t="str">
        <f>IF(Country_4!$C55="","",Country_4!B55)</f>
        <v/>
      </c>
      <c r="C354" s="16" t="str">
        <f>IF(Country_4!$C55="","",Country_4!C55)</f>
        <v/>
      </c>
      <c r="D354" s="16" t="str">
        <f>IF(Country_4!$C55="","",Country_4!D55)</f>
        <v/>
      </c>
      <c r="E354" s="16" t="str">
        <f>IF(Country_4!$C55="","",Country_4!E55)</f>
        <v/>
      </c>
      <c r="F354" s="16" t="str">
        <f>IF(Country_4!$C55="","",Country_4!F55)</f>
        <v/>
      </c>
      <c r="G354" s="17" t="str">
        <f>IF(Country_4!$C55="","",Country_4!G55)</f>
        <v/>
      </c>
      <c r="H354" s="17" t="str">
        <f>IF(Country_4!$C55="","",Country_4!H55)</f>
        <v/>
      </c>
      <c r="I354" s="16" t="str">
        <f>IF(Country_4!$C55="","",Country_4!I55)</f>
        <v/>
      </c>
      <c r="J354" s="16" t="str">
        <f>IF(Country_4!$C55="","",Country_4!J55)</f>
        <v/>
      </c>
      <c r="K354" s="18" t="str">
        <f>IF(Country_4!$C55="","",Country_4!K55)</f>
        <v/>
      </c>
      <c r="L354" s="18" t="str">
        <f>IF(Country_4!$C55="","",Country_4!L55)</f>
        <v/>
      </c>
      <c r="M354" s="19" t="str">
        <f>IF(Country_4!$C55="","",Country_4!M55)</f>
        <v/>
      </c>
      <c r="N354" s="16" t="str">
        <f>IF(Country_4!$C55="","",Country_4!N55)</f>
        <v/>
      </c>
      <c r="O354" s="16" t="str">
        <f>IF(Country_4!$C55="","",Country_4!O55)</f>
        <v/>
      </c>
      <c r="P354" s="16" t="str">
        <f>IF(Country_4!$C55="","",Country_4!P55)</f>
        <v/>
      </c>
      <c r="Q354" s="16" t="str">
        <f>IF(Country_4!$C55="","",Country_4!Q55)</f>
        <v/>
      </c>
    </row>
    <row r="355" spans="1:17" x14ac:dyDescent="0.25">
      <c r="A355" s="16" t="str">
        <f>IF(Country_4!$C56="","",Country_4!A56)</f>
        <v/>
      </c>
      <c r="B355" s="16" t="str">
        <f>IF(Country_4!$C56="","",Country_4!B56)</f>
        <v/>
      </c>
      <c r="C355" s="16" t="str">
        <f>IF(Country_4!$C56="","",Country_4!C56)</f>
        <v/>
      </c>
      <c r="D355" s="16" t="str">
        <f>IF(Country_4!$C56="","",Country_4!D56)</f>
        <v/>
      </c>
      <c r="E355" s="16" t="str">
        <f>IF(Country_4!$C56="","",Country_4!E56)</f>
        <v/>
      </c>
      <c r="F355" s="16" t="str">
        <f>IF(Country_4!$C56="","",Country_4!F56)</f>
        <v/>
      </c>
      <c r="G355" s="17" t="str">
        <f>IF(Country_4!$C56="","",Country_4!G56)</f>
        <v/>
      </c>
      <c r="H355" s="17" t="str">
        <f>IF(Country_4!$C56="","",Country_4!H56)</f>
        <v/>
      </c>
      <c r="I355" s="16" t="str">
        <f>IF(Country_4!$C56="","",Country_4!I56)</f>
        <v/>
      </c>
      <c r="J355" s="16" t="str">
        <f>IF(Country_4!$C56="","",Country_4!J56)</f>
        <v/>
      </c>
      <c r="K355" s="18" t="str">
        <f>IF(Country_4!$C56="","",Country_4!K56)</f>
        <v/>
      </c>
      <c r="L355" s="18" t="str">
        <f>IF(Country_4!$C56="","",Country_4!L56)</f>
        <v/>
      </c>
      <c r="M355" s="19" t="str">
        <f>IF(Country_4!$C56="","",Country_4!M56)</f>
        <v/>
      </c>
      <c r="N355" s="16" t="str">
        <f>IF(Country_4!$C56="","",Country_4!N56)</f>
        <v/>
      </c>
      <c r="O355" s="16" t="str">
        <f>IF(Country_4!$C56="","",Country_4!O56)</f>
        <v/>
      </c>
      <c r="P355" s="16" t="str">
        <f>IF(Country_4!$C56="","",Country_4!P56)</f>
        <v/>
      </c>
      <c r="Q355" s="16" t="str">
        <f>IF(Country_4!$C56="","",Country_4!Q56)</f>
        <v/>
      </c>
    </row>
    <row r="356" spans="1:17" x14ac:dyDescent="0.25">
      <c r="A356" s="16" t="str">
        <f>IF(Country_4!$C57="","",Country_4!A57)</f>
        <v/>
      </c>
      <c r="B356" s="16" t="str">
        <f>IF(Country_4!$C57="","",Country_4!B57)</f>
        <v/>
      </c>
      <c r="C356" s="16" t="str">
        <f>IF(Country_4!$C57="","",Country_4!C57)</f>
        <v/>
      </c>
      <c r="D356" s="16" t="str">
        <f>IF(Country_4!$C57="","",Country_4!D57)</f>
        <v/>
      </c>
      <c r="E356" s="16" t="str">
        <f>IF(Country_4!$C57="","",Country_4!E57)</f>
        <v/>
      </c>
      <c r="F356" s="16" t="str">
        <f>IF(Country_4!$C57="","",Country_4!F57)</f>
        <v/>
      </c>
      <c r="G356" s="17" t="str">
        <f>IF(Country_4!$C57="","",Country_4!G57)</f>
        <v/>
      </c>
      <c r="H356" s="17" t="str">
        <f>IF(Country_4!$C57="","",Country_4!H57)</f>
        <v/>
      </c>
      <c r="I356" s="16" t="str">
        <f>IF(Country_4!$C57="","",Country_4!I57)</f>
        <v/>
      </c>
      <c r="J356" s="16" t="str">
        <f>IF(Country_4!$C57="","",Country_4!J57)</f>
        <v/>
      </c>
      <c r="K356" s="18" t="str">
        <f>IF(Country_4!$C57="","",Country_4!K57)</f>
        <v/>
      </c>
      <c r="L356" s="18" t="str">
        <f>IF(Country_4!$C57="","",Country_4!L57)</f>
        <v/>
      </c>
      <c r="M356" s="19" t="str">
        <f>IF(Country_4!$C57="","",Country_4!M57)</f>
        <v/>
      </c>
      <c r="N356" s="16" t="str">
        <f>IF(Country_4!$C57="","",Country_4!N57)</f>
        <v/>
      </c>
      <c r="O356" s="16" t="str">
        <f>IF(Country_4!$C57="","",Country_4!O57)</f>
        <v/>
      </c>
      <c r="P356" s="16" t="str">
        <f>IF(Country_4!$C57="","",Country_4!P57)</f>
        <v/>
      </c>
      <c r="Q356" s="16" t="str">
        <f>IF(Country_4!$C57="","",Country_4!Q57)</f>
        <v/>
      </c>
    </row>
    <row r="357" spans="1:17" x14ac:dyDescent="0.25">
      <c r="A357" s="16" t="str">
        <f>IF(Country_4!$C58="","",Country_4!A58)</f>
        <v/>
      </c>
      <c r="B357" s="16" t="str">
        <f>IF(Country_4!$C58="","",Country_4!B58)</f>
        <v/>
      </c>
      <c r="C357" s="16" t="str">
        <f>IF(Country_4!$C58="","",Country_4!C58)</f>
        <v/>
      </c>
      <c r="D357" s="16" t="str">
        <f>IF(Country_4!$C58="","",Country_4!D58)</f>
        <v/>
      </c>
      <c r="E357" s="16" t="str">
        <f>IF(Country_4!$C58="","",Country_4!E58)</f>
        <v/>
      </c>
      <c r="F357" s="16" t="str">
        <f>IF(Country_4!$C58="","",Country_4!F58)</f>
        <v/>
      </c>
      <c r="G357" s="17" t="str">
        <f>IF(Country_4!$C58="","",Country_4!G58)</f>
        <v/>
      </c>
      <c r="H357" s="17" t="str">
        <f>IF(Country_4!$C58="","",Country_4!H58)</f>
        <v/>
      </c>
      <c r="I357" s="16" t="str">
        <f>IF(Country_4!$C58="","",Country_4!I58)</f>
        <v/>
      </c>
      <c r="J357" s="16" t="str">
        <f>IF(Country_4!$C58="","",Country_4!J58)</f>
        <v/>
      </c>
      <c r="K357" s="18" t="str">
        <f>IF(Country_4!$C58="","",Country_4!K58)</f>
        <v/>
      </c>
      <c r="L357" s="18" t="str">
        <f>IF(Country_4!$C58="","",Country_4!L58)</f>
        <v/>
      </c>
      <c r="M357" s="19" t="str">
        <f>IF(Country_4!$C58="","",Country_4!M58)</f>
        <v/>
      </c>
      <c r="N357" s="16" t="str">
        <f>IF(Country_4!$C58="","",Country_4!N58)</f>
        <v/>
      </c>
      <c r="O357" s="16" t="str">
        <f>IF(Country_4!$C58="","",Country_4!O58)</f>
        <v/>
      </c>
      <c r="P357" s="16" t="str">
        <f>IF(Country_4!$C58="","",Country_4!P58)</f>
        <v/>
      </c>
      <c r="Q357" s="16" t="str">
        <f>IF(Country_4!$C58="","",Country_4!Q58)</f>
        <v/>
      </c>
    </row>
    <row r="358" spans="1:17" x14ac:dyDescent="0.25">
      <c r="A358" s="16" t="str">
        <f>IF(Country_4!$C59="","",Country_4!A59)</f>
        <v/>
      </c>
      <c r="B358" s="16" t="str">
        <f>IF(Country_4!$C59="","",Country_4!B59)</f>
        <v/>
      </c>
      <c r="C358" s="16" t="str">
        <f>IF(Country_4!$C59="","",Country_4!C59)</f>
        <v/>
      </c>
      <c r="D358" s="16" t="str">
        <f>IF(Country_4!$C59="","",Country_4!D59)</f>
        <v/>
      </c>
      <c r="E358" s="16" t="str">
        <f>IF(Country_4!$C59="","",Country_4!E59)</f>
        <v/>
      </c>
      <c r="F358" s="16" t="str">
        <f>IF(Country_4!$C59="","",Country_4!F59)</f>
        <v/>
      </c>
      <c r="G358" s="17" t="str">
        <f>IF(Country_4!$C59="","",Country_4!G59)</f>
        <v/>
      </c>
      <c r="H358" s="17" t="str">
        <f>IF(Country_4!$C59="","",Country_4!H59)</f>
        <v/>
      </c>
      <c r="I358" s="16" t="str">
        <f>IF(Country_4!$C59="","",Country_4!I59)</f>
        <v/>
      </c>
      <c r="J358" s="16" t="str">
        <f>IF(Country_4!$C59="","",Country_4!J59)</f>
        <v/>
      </c>
      <c r="K358" s="18" t="str">
        <f>IF(Country_4!$C59="","",Country_4!K59)</f>
        <v/>
      </c>
      <c r="L358" s="18" t="str">
        <f>IF(Country_4!$C59="","",Country_4!L59)</f>
        <v/>
      </c>
      <c r="M358" s="19" t="str">
        <f>IF(Country_4!$C59="","",Country_4!M59)</f>
        <v/>
      </c>
      <c r="N358" s="16" t="str">
        <f>IF(Country_4!$C59="","",Country_4!N59)</f>
        <v/>
      </c>
      <c r="O358" s="16" t="str">
        <f>IF(Country_4!$C59="","",Country_4!O59)</f>
        <v/>
      </c>
      <c r="P358" s="16" t="str">
        <f>IF(Country_4!$C59="","",Country_4!P59)</f>
        <v/>
      </c>
      <c r="Q358" s="16" t="str">
        <f>IF(Country_4!$C59="","",Country_4!Q59)</f>
        <v/>
      </c>
    </row>
    <row r="359" spans="1:17" x14ac:dyDescent="0.25">
      <c r="A359" s="16" t="str">
        <f>IF(Country_4!$C60="","",Country_4!A60)</f>
        <v/>
      </c>
      <c r="B359" s="16" t="str">
        <f>IF(Country_4!$C60="","",Country_4!B60)</f>
        <v/>
      </c>
      <c r="C359" s="16" t="str">
        <f>IF(Country_4!$C60="","",Country_4!C60)</f>
        <v/>
      </c>
      <c r="D359" s="16" t="str">
        <f>IF(Country_4!$C60="","",Country_4!D60)</f>
        <v/>
      </c>
      <c r="E359" s="16" t="str">
        <f>IF(Country_4!$C60="","",Country_4!E60)</f>
        <v/>
      </c>
      <c r="F359" s="16" t="str">
        <f>IF(Country_4!$C60="","",Country_4!F60)</f>
        <v/>
      </c>
      <c r="G359" s="17" t="str">
        <f>IF(Country_4!$C60="","",Country_4!G60)</f>
        <v/>
      </c>
      <c r="H359" s="17" t="str">
        <f>IF(Country_4!$C60="","",Country_4!H60)</f>
        <v/>
      </c>
      <c r="I359" s="16" t="str">
        <f>IF(Country_4!$C60="","",Country_4!I60)</f>
        <v/>
      </c>
      <c r="J359" s="16" t="str">
        <f>IF(Country_4!$C60="","",Country_4!J60)</f>
        <v/>
      </c>
      <c r="K359" s="18" t="str">
        <f>IF(Country_4!$C60="","",Country_4!K60)</f>
        <v/>
      </c>
      <c r="L359" s="18" t="str">
        <f>IF(Country_4!$C60="","",Country_4!L60)</f>
        <v/>
      </c>
      <c r="M359" s="19" t="str">
        <f>IF(Country_4!$C60="","",Country_4!M60)</f>
        <v/>
      </c>
      <c r="N359" s="16" t="str">
        <f>IF(Country_4!$C60="","",Country_4!N60)</f>
        <v/>
      </c>
      <c r="O359" s="16" t="str">
        <f>IF(Country_4!$C60="","",Country_4!O60)</f>
        <v/>
      </c>
      <c r="P359" s="16" t="str">
        <f>IF(Country_4!$C60="","",Country_4!P60)</f>
        <v/>
      </c>
      <c r="Q359" s="16" t="str">
        <f>IF(Country_4!$C60="","",Country_4!Q60)</f>
        <v/>
      </c>
    </row>
    <row r="360" spans="1:17" x14ac:dyDescent="0.25">
      <c r="A360" s="16" t="str">
        <f>IF(Country_4!$C61="","",Country_4!A61)</f>
        <v/>
      </c>
      <c r="B360" s="16" t="str">
        <f>IF(Country_4!$C61="","",Country_4!B61)</f>
        <v/>
      </c>
      <c r="C360" s="16" t="str">
        <f>IF(Country_4!$C61="","",Country_4!C61)</f>
        <v/>
      </c>
      <c r="D360" s="16" t="str">
        <f>IF(Country_4!$C61="","",Country_4!D61)</f>
        <v/>
      </c>
      <c r="E360" s="16" t="str">
        <f>IF(Country_4!$C61="","",Country_4!E61)</f>
        <v/>
      </c>
      <c r="F360" s="16" t="str">
        <f>IF(Country_4!$C61="","",Country_4!F61)</f>
        <v/>
      </c>
      <c r="G360" s="17" t="str">
        <f>IF(Country_4!$C61="","",Country_4!G61)</f>
        <v/>
      </c>
      <c r="H360" s="17" t="str">
        <f>IF(Country_4!$C61="","",Country_4!H61)</f>
        <v/>
      </c>
      <c r="I360" s="16" t="str">
        <f>IF(Country_4!$C61="","",Country_4!I61)</f>
        <v/>
      </c>
      <c r="J360" s="16" t="str">
        <f>IF(Country_4!$C61="","",Country_4!J61)</f>
        <v/>
      </c>
      <c r="K360" s="18" t="str">
        <f>IF(Country_4!$C61="","",Country_4!K61)</f>
        <v/>
      </c>
      <c r="L360" s="18" t="str">
        <f>IF(Country_4!$C61="","",Country_4!L61)</f>
        <v/>
      </c>
      <c r="M360" s="19" t="str">
        <f>IF(Country_4!$C61="","",Country_4!M61)</f>
        <v/>
      </c>
      <c r="N360" s="16" t="str">
        <f>IF(Country_4!$C61="","",Country_4!N61)</f>
        <v/>
      </c>
      <c r="O360" s="16" t="str">
        <f>IF(Country_4!$C61="","",Country_4!O61)</f>
        <v/>
      </c>
      <c r="P360" s="16" t="str">
        <f>IF(Country_4!$C61="","",Country_4!P61)</f>
        <v/>
      </c>
      <c r="Q360" s="16" t="str">
        <f>IF(Country_4!$C61="","",Country_4!Q61)</f>
        <v/>
      </c>
    </row>
    <row r="361" spans="1:17" x14ac:dyDescent="0.25">
      <c r="A361" s="16" t="str">
        <f>IF(Country_4!$C62="","",Country_4!A62)</f>
        <v/>
      </c>
      <c r="B361" s="16" t="str">
        <f>IF(Country_4!$C62="","",Country_4!B62)</f>
        <v/>
      </c>
      <c r="C361" s="16" t="str">
        <f>IF(Country_4!$C62="","",Country_4!C62)</f>
        <v/>
      </c>
      <c r="D361" s="16" t="str">
        <f>IF(Country_4!$C62="","",Country_4!D62)</f>
        <v/>
      </c>
      <c r="E361" s="16" t="str">
        <f>IF(Country_4!$C62="","",Country_4!E62)</f>
        <v/>
      </c>
      <c r="F361" s="16" t="str">
        <f>IF(Country_4!$C62="","",Country_4!F62)</f>
        <v/>
      </c>
      <c r="G361" s="17" t="str">
        <f>IF(Country_4!$C62="","",Country_4!G62)</f>
        <v/>
      </c>
      <c r="H361" s="17" t="str">
        <f>IF(Country_4!$C62="","",Country_4!H62)</f>
        <v/>
      </c>
      <c r="I361" s="16" t="str">
        <f>IF(Country_4!$C62="","",Country_4!I62)</f>
        <v/>
      </c>
      <c r="J361" s="16" t="str">
        <f>IF(Country_4!$C62="","",Country_4!J62)</f>
        <v/>
      </c>
      <c r="K361" s="18" t="str">
        <f>IF(Country_4!$C62="","",Country_4!K62)</f>
        <v/>
      </c>
      <c r="L361" s="18" t="str">
        <f>IF(Country_4!$C62="","",Country_4!L62)</f>
        <v/>
      </c>
      <c r="M361" s="19" t="str">
        <f>IF(Country_4!$C62="","",Country_4!M62)</f>
        <v/>
      </c>
      <c r="N361" s="16" t="str">
        <f>IF(Country_4!$C62="","",Country_4!N62)</f>
        <v/>
      </c>
      <c r="O361" s="16" t="str">
        <f>IF(Country_4!$C62="","",Country_4!O62)</f>
        <v/>
      </c>
      <c r="P361" s="16" t="str">
        <f>IF(Country_4!$C62="","",Country_4!P62)</f>
        <v/>
      </c>
      <c r="Q361" s="16" t="str">
        <f>IF(Country_4!$C62="","",Country_4!Q62)</f>
        <v/>
      </c>
    </row>
    <row r="362" spans="1:17" x14ac:dyDescent="0.25">
      <c r="A362" s="16" t="str">
        <f>IF(Country_4!$C63="","",Country_4!A63)</f>
        <v/>
      </c>
      <c r="B362" s="16" t="str">
        <f>IF(Country_4!$C63="","",Country_4!B63)</f>
        <v/>
      </c>
      <c r="C362" s="16" t="str">
        <f>IF(Country_4!$C63="","",Country_4!C63)</f>
        <v/>
      </c>
      <c r="D362" s="16" t="str">
        <f>IF(Country_4!$C63="","",Country_4!D63)</f>
        <v/>
      </c>
      <c r="E362" s="16" t="str">
        <f>IF(Country_4!$C63="","",Country_4!E63)</f>
        <v/>
      </c>
      <c r="F362" s="16" t="str">
        <f>IF(Country_4!$C63="","",Country_4!F63)</f>
        <v/>
      </c>
      <c r="G362" s="17" t="str">
        <f>IF(Country_4!$C63="","",Country_4!G63)</f>
        <v/>
      </c>
      <c r="H362" s="17" t="str">
        <f>IF(Country_4!$C63="","",Country_4!H63)</f>
        <v/>
      </c>
      <c r="I362" s="16" t="str">
        <f>IF(Country_4!$C63="","",Country_4!I63)</f>
        <v/>
      </c>
      <c r="J362" s="16" t="str">
        <f>IF(Country_4!$C63="","",Country_4!J63)</f>
        <v/>
      </c>
      <c r="K362" s="18" t="str">
        <f>IF(Country_4!$C63="","",Country_4!K63)</f>
        <v/>
      </c>
      <c r="L362" s="18" t="str">
        <f>IF(Country_4!$C63="","",Country_4!L63)</f>
        <v/>
      </c>
      <c r="M362" s="19" t="str">
        <f>IF(Country_4!$C63="","",Country_4!M63)</f>
        <v/>
      </c>
      <c r="N362" s="16" t="str">
        <f>IF(Country_4!$C63="","",Country_4!N63)</f>
        <v/>
      </c>
      <c r="O362" s="16" t="str">
        <f>IF(Country_4!$C63="","",Country_4!O63)</f>
        <v/>
      </c>
      <c r="P362" s="16" t="str">
        <f>IF(Country_4!$C63="","",Country_4!P63)</f>
        <v/>
      </c>
      <c r="Q362" s="16" t="str">
        <f>IF(Country_4!$C63="","",Country_4!Q63)</f>
        <v/>
      </c>
    </row>
    <row r="363" spans="1:17" x14ac:dyDescent="0.25">
      <c r="A363" s="16" t="str">
        <f>IF(Country_4!$C64="","",Country_4!A64)</f>
        <v/>
      </c>
      <c r="B363" s="16" t="str">
        <f>IF(Country_4!$C64="","",Country_4!B64)</f>
        <v/>
      </c>
      <c r="C363" s="16" t="str">
        <f>IF(Country_4!$C64="","",Country_4!C64)</f>
        <v/>
      </c>
      <c r="D363" s="16" t="str">
        <f>IF(Country_4!$C64="","",Country_4!D64)</f>
        <v/>
      </c>
      <c r="E363" s="16" t="str">
        <f>IF(Country_4!$C64="","",Country_4!E64)</f>
        <v/>
      </c>
      <c r="F363" s="16" t="str">
        <f>IF(Country_4!$C64="","",Country_4!F64)</f>
        <v/>
      </c>
      <c r="G363" s="17" t="str">
        <f>IF(Country_4!$C64="","",Country_4!G64)</f>
        <v/>
      </c>
      <c r="H363" s="17" t="str">
        <f>IF(Country_4!$C64="","",Country_4!H64)</f>
        <v/>
      </c>
      <c r="I363" s="16" t="str">
        <f>IF(Country_4!$C64="","",Country_4!I64)</f>
        <v/>
      </c>
      <c r="J363" s="16" t="str">
        <f>IF(Country_4!$C64="","",Country_4!J64)</f>
        <v/>
      </c>
      <c r="K363" s="18" t="str">
        <f>IF(Country_4!$C64="","",Country_4!K64)</f>
        <v/>
      </c>
      <c r="L363" s="18" t="str">
        <f>IF(Country_4!$C64="","",Country_4!L64)</f>
        <v/>
      </c>
      <c r="M363" s="19" t="str">
        <f>IF(Country_4!$C64="","",Country_4!M64)</f>
        <v/>
      </c>
      <c r="N363" s="16" t="str">
        <f>IF(Country_4!$C64="","",Country_4!N64)</f>
        <v/>
      </c>
      <c r="O363" s="16" t="str">
        <f>IF(Country_4!$C64="","",Country_4!O64)</f>
        <v/>
      </c>
      <c r="P363" s="16" t="str">
        <f>IF(Country_4!$C64="","",Country_4!P64)</f>
        <v/>
      </c>
      <c r="Q363" s="16" t="str">
        <f>IF(Country_4!$C64="","",Country_4!Q64)</f>
        <v/>
      </c>
    </row>
    <row r="364" spans="1:17" x14ac:dyDescent="0.25">
      <c r="A364" s="16" t="str">
        <f>IF(Country_4!$C65="","",Country_4!A65)</f>
        <v/>
      </c>
      <c r="B364" s="16" t="str">
        <f>IF(Country_4!$C65="","",Country_4!B65)</f>
        <v/>
      </c>
      <c r="C364" s="16" t="str">
        <f>IF(Country_4!$C65="","",Country_4!C65)</f>
        <v/>
      </c>
      <c r="D364" s="16" t="str">
        <f>IF(Country_4!$C65="","",Country_4!D65)</f>
        <v/>
      </c>
      <c r="E364" s="16" t="str">
        <f>IF(Country_4!$C65="","",Country_4!E65)</f>
        <v/>
      </c>
      <c r="F364" s="16" t="str">
        <f>IF(Country_4!$C65="","",Country_4!F65)</f>
        <v/>
      </c>
      <c r="G364" s="17" t="str">
        <f>IF(Country_4!$C65="","",Country_4!G65)</f>
        <v/>
      </c>
      <c r="H364" s="17" t="str">
        <f>IF(Country_4!$C65="","",Country_4!H65)</f>
        <v/>
      </c>
      <c r="I364" s="16" t="str">
        <f>IF(Country_4!$C65="","",Country_4!I65)</f>
        <v/>
      </c>
      <c r="J364" s="16" t="str">
        <f>IF(Country_4!$C65="","",Country_4!J65)</f>
        <v/>
      </c>
      <c r="K364" s="18" t="str">
        <f>IF(Country_4!$C65="","",Country_4!K65)</f>
        <v/>
      </c>
      <c r="L364" s="18" t="str">
        <f>IF(Country_4!$C65="","",Country_4!L65)</f>
        <v/>
      </c>
      <c r="M364" s="19" t="str">
        <f>IF(Country_4!$C65="","",Country_4!M65)</f>
        <v/>
      </c>
      <c r="N364" s="16" t="str">
        <f>IF(Country_4!$C65="","",Country_4!N65)</f>
        <v/>
      </c>
      <c r="O364" s="16" t="str">
        <f>IF(Country_4!$C65="","",Country_4!O65)</f>
        <v/>
      </c>
      <c r="P364" s="16" t="str">
        <f>IF(Country_4!$C65="","",Country_4!P65)</f>
        <v/>
      </c>
      <c r="Q364" s="16" t="str">
        <f>IF(Country_4!$C65="","",Country_4!Q65)</f>
        <v/>
      </c>
    </row>
    <row r="365" spans="1:17" x14ac:dyDescent="0.25">
      <c r="A365" s="16" t="str">
        <f>IF(Country_4!$C66="","",Country_4!A66)</f>
        <v/>
      </c>
      <c r="B365" s="16" t="str">
        <f>IF(Country_4!$C66="","",Country_4!B66)</f>
        <v/>
      </c>
      <c r="C365" s="16" t="str">
        <f>IF(Country_4!$C66="","",Country_4!C66)</f>
        <v/>
      </c>
      <c r="D365" s="16" t="str">
        <f>IF(Country_4!$C66="","",Country_4!D66)</f>
        <v/>
      </c>
      <c r="E365" s="16" t="str">
        <f>IF(Country_4!$C66="","",Country_4!E66)</f>
        <v/>
      </c>
      <c r="F365" s="16" t="str">
        <f>IF(Country_4!$C66="","",Country_4!F66)</f>
        <v/>
      </c>
      <c r="G365" s="17" t="str">
        <f>IF(Country_4!$C66="","",Country_4!G66)</f>
        <v/>
      </c>
      <c r="H365" s="17" t="str">
        <f>IF(Country_4!$C66="","",Country_4!H66)</f>
        <v/>
      </c>
      <c r="I365" s="16" t="str">
        <f>IF(Country_4!$C66="","",Country_4!I66)</f>
        <v/>
      </c>
      <c r="J365" s="16" t="str">
        <f>IF(Country_4!$C66="","",Country_4!J66)</f>
        <v/>
      </c>
      <c r="K365" s="18" t="str">
        <f>IF(Country_4!$C66="","",Country_4!K66)</f>
        <v/>
      </c>
      <c r="L365" s="18" t="str">
        <f>IF(Country_4!$C66="","",Country_4!L66)</f>
        <v/>
      </c>
      <c r="M365" s="19" t="str">
        <f>IF(Country_4!$C66="","",Country_4!M66)</f>
        <v/>
      </c>
      <c r="N365" s="16" t="str">
        <f>IF(Country_4!$C66="","",Country_4!N66)</f>
        <v/>
      </c>
      <c r="O365" s="16" t="str">
        <f>IF(Country_4!$C66="","",Country_4!O66)</f>
        <v/>
      </c>
      <c r="P365" s="16" t="str">
        <f>IF(Country_4!$C66="","",Country_4!P66)</f>
        <v/>
      </c>
      <c r="Q365" s="16" t="str">
        <f>IF(Country_4!$C66="","",Country_4!Q66)</f>
        <v/>
      </c>
    </row>
    <row r="366" spans="1:17" x14ac:dyDescent="0.25">
      <c r="A366" s="16" t="str">
        <f>IF(Country_4!$C67="","",Country_4!A67)</f>
        <v/>
      </c>
      <c r="B366" s="16" t="str">
        <f>IF(Country_4!$C67="","",Country_4!B67)</f>
        <v/>
      </c>
      <c r="C366" s="16" t="str">
        <f>IF(Country_4!$C67="","",Country_4!C67)</f>
        <v/>
      </c>
      <c r="D366" s="16" t="str">
        <f>IF(Country_4!$C67="","",Country_4!D67)</f>
        <v/>
      </c>
      <c r="E366" s="16" t="str">
        <f>IF(Country_4!$C67="","",Country_4!E67)</f>
        <v/>
      </c>
      <c r="F366" s="16" t="str">
        <f>IF(Country_4!$C67="","",Country_4!F67)</f>
        <v/>
      </c>
      <c r="G366" s="17" t="str">
        <f>IF(Country_4!$C67="","",Country_4!G67)</f>
        <v/>
      </c>
      <c r="H366" s="17" t="str">
        <f>IF(Country_4!$C67="","",Country_4!H67)</f>
        <v/>
      </c>
      <c r="I366" s="16" t="str">
        <f>IF(Country_4!$C67="","",Country_4!I67)</f>
        <v/>
      </c>
      <c r="J366" s="16" t="str">
        <f>IF(Country_4!$C67="","",Country_4!J67)</f>
        <v/>
      </c>
      <c r="K366" s="18" t="str">
        <f>IF(Country_4!$C67="","",Country_4!K67)</f>
        <v/>
      </c>
      <c r="L366" s="18" t="str">
        <f>IF(Country_4!$C67="","",Country_4!L67)</f>
        <v/>
      </c>
      <c r="M366" s="19" t="str">
        <f>IF(Country_4!$C67="","",Country_4!M67)</f>
        <v/>
      </c>
      <c r="N366" s="16" t="str">
        <f>IF(Country_4!$C67="","",Country_4!N67)</f>
        <v/>
      </c>
      <c r="O366" s="16" t="str">
        <f>IF(Country_4!$C67="","",Country_4!O67)</f>
        <v/>
      </c>
      <c r="P366" s="16" t="str">
        <f>IF(Country_4!$C67="","",Country_4!P67)</f>
        <v/>
      </c>
      <c r="Q366" s="16" t="str">
        <f>IF(Country_4!$C67="","",Country_4!Q67)</f>
        <v/>
      </c>
    </row>
    <row r="367" spans="1:17" x14ac:dyDescent="0.25">
      <c r="A367" s="16" t="str">
        <f>IF(Country_4!$C68="","",Country_4!A68)</f>
        <v/>
      </c>
      <c r="B367" s="16" t="str">
        <f>IF(Country_4!$C68="","",Country_4!B68)</f>
        <v/>
      </c>
      <c r="C367" s="16" t="str">
        <f>IF(Country_4!$C68="","",Country_4!C68)</f>
        <v/>
      </c>
      <c r="D367" s="16" t="str">
        <f>IF(Country_4!$C68="","",Country_4!D68)</f>
        <v/>
      </c>
      <c r="E367" s="16" t="str">
        <f>IF(Country_4!$C68="","",Country_4!E68)</f>
        <v/>
      </c>
      <c r="F367" s="16" t="str">
        <f>IF(Country_4!$C68="","",Country_4!F68)</f>
        <v/>
      </c>
      <c r="G367" s="17" t="str">
        <f>IF(Country_4!$C68="","",Country_4!G68)</f>
        <v/>
      </c>
      <c r="H367" s="17" t="str">
        <f>IF(Country_4!$C68="","",Country_4!H68)</f>
        <v/>
      </c>
      <c r="I367" s="16" t="str">
        <f>IF(Country_4!$C68="","",Country_4!I68)</f>
        <v/>
      </c>
      <c r="J367" s="16" t="str">
        <f>IF(Country_4!$C68="","",Country_4!J68)</f>
        <v/>
      </c>
      <c r="K367" s="18" t="str">
        <f>IF(Country_4!$C68="","",Country_4!K68)</f>
        <v/>
      </c>
      <c r="L367" s="18" t="str">
        <f>IF(Country_4!$C68="","",Country_4!L68)</f>
        <v/>
      </c>
      <c r="M367" s="19" t="str">
        <f>IF(Country_4!$C68="","",Country_4!M68)</f>
        <v/>
      </c>
      <c r="N367" s="16" t="str">
        <f>IF(Country_4!$C68="","",Country_4!N68)</f>
        <v/>
      </c>
      <c r="O367" s="16" t="str">
        <f>IF(Country_4!$C68="","",Country_4!O68)</f>
        <v/>
      </c>
      <c r="P367" s="16" t="str">
        <f>IF(Country_4!$C68="","",Country_4!P68)</f>
        <v/>
      </c>
      <c r="Q367" s="16" t="str">
        <f>IF(Country_4!$C68="","",Country_4!Q68)</f>
        <v/>
      </c>
    </row>
    <row r="368" spans="1:17" x14ac:dyDescent="0.25">
      <c r="A368" s="16" t="str">
        <f>IF(Country_4!$C69="","",Country_4!A69)</f>
        <v/>
      </c>
      <c r="B368" s="16" t="str">
        <f>IF(Country_4!$C69="","",Country_4!B69)</f>
        <v/>
      </c>
      <c r="C368" s="16" t="str">
        <f>IF(Country_4!$C69="","",Country_4!C69)</f>
        <v/>
      </c>
      <c r="D368" s="16" t="str">
        <f>IF(Country_4!$C69="","",Country_4!D69)</f>
        <v/>
      </c>
      <c r="E368" s="16" t="str">
        <f>IF(Country_4!$C69="","",Country_4!E69)</f>
        <v/>
      </c>
      <c r="F368" s="16" t="str">
        <f>IF(Country_4!$C69="","",Country_4!F69)</f>
        <v/>
      </c>
      <c r="G368" s="17" t="str">
        <f>IF(Country_4!$C69="","",Country_4!G69)</f>
        <v/>
      </c>
      <c r="H368" s="17" t="str">
        <f>IF(Country_4!$C69="","",Country_4!H69)</f>
        <v/>
      </c>
      <c r="I368" s="16" t="str">
        <f>IF(Country_4!$C69="","",Country_4!I69)</f>
        <v/>
      </c>
      <c r="J368" s="16" t="str">
        <f>IF(Country_4!$C69="","",Country_4!J69)</f>
        <v/>
      </c>
      <c r="K368" s="18" t="str">
        <f>IF(Country_4!$C69="","",Country_4!K69)</f>
        <v/>
      </c>
      <c r="L368" s="18" t="str">
        <f>IF(Country_4!$C69="","",Country_4!L69)</f>
        <v/>
      </c>
      <c r="M368" s="19" t="str">
        <f>IF(Country_4!$C69="","",Country_4!M69)</f>
        <v/>
      </c>
      <c r="N368" s="16" t="str">
        <f>IF(Country_4!$C69="","",Country_4!N69)</f>
        <v/>
      </c>
      <c r="O368" s="16" t="str">
        <f>IF(Country_4!$C69="","",Country_4!O69)</f>
        <v/>
      </c>
      <c r="P368" s="16" t="str">
        <f>IF(Country_4!$C69="","",Country_4!P69)</f>
        <v/>
      </c>
      <c r="Q368" s="16" t="str">
        <f>IF(Country_4!$C69="","",Country_4!Q69)</f>
        <v/>
      </c>
    </row>
    <row r="369" spans="1:17" x14ac:dyDescent="0.25">
      <c r="A369" s="16" t="str">
        <f>IF(Country_4!$C70="","",Country_4!A70)</f>
        <v/>
      </c>
      <c r="B369" s="16" t="str">
        <f>IF(Country_4!$C70="","",Country_4!B70)</f>
        <v/>
      </c>
      <c r="C369" s="16" t="str">
        <f>IF(Country_4!$C70="","",Country_4!C70)</f>
        <v/>
      </c>
      <c r="D369" s="16" t="str">
        <f>IF(Country_4!$C70="","",Country_4!D70)</f>
        <v/>
      </c>
      <c r="E369" s="16" t="str">
        <f>IF(Country_4!$C70="","",Country_4!E70)</f>
        <v/>
      </c>
      <c r="F369" s="16" t="str">
        <f>IF(Country_4!$C70="","",Country_4!F70)</f>
        <v/>
      </c>
      <c r="G369" s="17" t="str">
        <f>IF(Country_4!$C70="","",Country_4!G70)</f>
        <v/>
      </c>
      <c r="H369" s="17" t="str">
        <f>IF(Country_4!$C70="","",Country_4!H70)</f>
        <v/>
      </c>
      <c r="I369" s="16" t="str">
        <f>IF(Country_4!$C70="","",Country_4!I70)</f>
        <v/>
      </c>
      <c r="J369" s="16" t="str">
        <f>IF(Country_4!$C70="","",Country_4!J70)</f>
        <v/>
      </c>
      <c r="K369" s="18" t="str">
        <f>IF(Country_4!$C70="","",Country_4!K70)</f>
        <v/>
      </c>
      <c r="L369" s="18" t="str">
        <f>IF(Country_4!$C70="","",Country_4!L70)</f>
        <v/>
      </c>
      <c r="M369" s="19" t="str">
        <f>IF(Country_4!$C70="","",Country_4!M70)</f>
        <v/>
      </c>
      <c r="N369" s="16" t="str">
        <f>IF(Country_4!$C70="","",Country_4!N70)</f>
        <v/>
      </c>
      <c r="O369" s="16" t="str">
        <f>IF(Country_4!$C70="","",Country_4!O70)</f>
        <v/>
      </c>
      <c r="P369" s="16" t="str">
        <f>IF(Country_4!$C70="","",Country_4!P70)</f>
        <v/>
      </c>
      <c r="Q369" s="16" t="str">
        <f>IF(Country_4!$C70="","",Country_4!Q70)</f>
        <v/>
      </c>
    </row>
    <row r="370" spans="1:17" x14ac:dyDescent="0.25">
      <c r="A370" s="16" t="str">
        <f>IF(Country_4!$C71="","",Country_4!A71)</f>
        <v/>
      </c>
      <c r="B370" s="16" t="str">
        <f>IF(Country_4!$C71="","",Country_4!B71)</f>
        <v/>
      </c>
      <c r="C370" s="16" t="str">
        <f>IF(Country_4!$C71="","",Country_4!C71)</f>
        <v/>
      </c>
      <c r="D370" s="16" t="str">
        <f>IF(Country_4!$C71="","",Country_4!D71)</f>
        <v/>
      </c>
      <c r="E370" s="16" t="str">
        <f>IF(Country_4!$C71="","",Country_4!E71)</f>
        <v/>
      </c>
      <c r="F370" s="16" t="str">
        <f>IF(Country_4!$C71="","",Country_4!F71)</f>
        <v/>
      </c>
      <c r="G370" s="17" t="str">
        <f>IF(Country_4!$C71="","",Country_4!G71)</f>
        <v/>
      </c>
      <c r="H370" s="17" t="str">
        <f>IF(Country_4!$C71="","",Country_4!H71)</f>
        <v/>
      </c>
      <c r="I370" s="16" t="str">
        <f>IF(Country_4!$C71="","",Country_4!I71)</f>
        <v/>
      </c>
      <c r="J370" s="16" t="str">
        <f>IF(Country_4!$C71="","",Country_4!J71)</f>
        <v/>
      </c>
      <c r="K370" s="18" t="str">
        <f>IF(Country_4!$C71="","",Country_4!K71)</f>
        <v/>
      </c>
      <c r="L370" s="18" t="str">
        <f>IF(Country_4!$C71="","",Country_4!L71)</f>
        <v/>
      </c>
      <c r="M370" s="19" t="str">
        <f>IF(Country_4!$C71="","",Country_4!M71)</f>
        <v/>
      </c>
      <c r="N370" s="16" t="str">
        <f>IF(Country_4!$C71="","",Country_4!N71)</f>
        <v/>
      </c>
      <c r="O370" s="16" t="str">
        <f>IF(Country_4!$C71="","",Country_4!O71)</f>
        <v/>
      </c>
      <c r="P370" s="16" t="str">
        <f>IF(Country_4!$C71="","",Country_4!P71)</f>
        <v/>
      </c>
      <c r="Q370" s="16" t="str">
        <f>IF(Country_4!$C71="","",Country_4!Q71)</f>
        <v/>
      </c>
    </row>
    <row r="371" spans="1:17" x14ac:dyDescent="0.25">
      <c r="A371" s="16" t="str">
        <f>IF(Country_4!$C72="","",Country_4!A72)</f>
        <v/>
      </c>
      <c r="B371" s="16" t="str">
        <f>IF(Country_4!$C72="","",Country_4!B72)</f>
        <v/>
      </c>
      <c r="C371" s="16" t="str">
        <f>IF(Country_4!$C72="","",Country_4!C72)</f>
        <v/>
      </c>
      <c r="D371" s="16" t="str">
        <f>IF(Country_4!$C72="","",Country_4!D72)</f>
        <v/>
      </c>
      <c r="E371" s="16" t="str">
        <f>IF(Country_4!$C72="","",Country_4!E72)</f>
        <v/>
      </c>
      <c r="F371" s="16" t="str">
        <f>IF(Country_4!$C72="","",Country_4!F72)</f>
        <v/>
      </c>
      <c r="G371" s="17" t="str">
        <f>IF(Country_4!$C72="","",Country_4!G72)</f>
        <v/>
      </c>
      <c r="H371" s="17" t="str">
        <f>IF(Country_4!$C72="","",Country_4!H72)</f>
        <v/>
      </c>
      <c r="I371" s="16" t="str">
        <f>IF(Country_4!$C72="","",Country_4!I72)</f>
        <v/>
      </c>
      <c r="J371" s="16" t="str">
        <f>IF(Country_4!$C72="","",Country_4!J72)</f>
        <v/>
      </c>
      <c r="K371" s="18" t="str">
        <f>IF(Country_4!$C72="","",Country_4!K72)</f>
        <v/>
      </c>
      <c r="L371" s="18" t="str">
        <f>IF(Country_4!$C72="","",Country_4!L72)</f>
        <v/>
      </c>
      <c r="M371" s="19" t="str">
        <f>IF(Country_4!$C72="","",Country_4!M72)</f>
        <v/>
      </c>
      <c r="N371" s="16" t="str">
        <f>IF(Country_4!$C72="","",Country_4!N72)</f>
        <v/>
      </c>
      <c r="O371" s="16" t="str">
        <f>IF(Country_4!$C72="","",Country_4!O72)</f>
        <v/>
      </c>
      <c r="P371" s="16" t="str">
        <f>IF(Country_4!$C72="","",Country_4!P72)</f>
        <v/>
      </c>
      <c r="Q371" s="16" t="str">
        <f>IF(Country_4!$C72="","",Country_4!Q72)</f>
        <v/>
      </c>
    </row>
    <row r="372" spans="1:17" x14ac:dyDescent="0.25">
      <c r="A372" s="16" t="str">
        <f>IF(Country_4!$C73="","",Country_4!A73)</f>
        <v/>
      </c>
      <c r="B372" s="16" t="str">
        <f>IF(Country_4!$C73="","",Country_4!B73)</f>
        <v/>
      </c>
      <c r="C372" s="16" t="str">
        <f>IF(Country_4!$C73="","",Country_4!C73)</f>
        <v/>
      </c>
      <c r="D372" s="16" t="str">
        <f>IF(Country_4!$C73="","",Country_4!D73)</f>
        <v/>
      </c>
      <c r="E372" s="16" t="str">
        <f>IF(Country_4!$C73="","",Country_4!E73)</f>
        <v/>
      </c>
      <c r="F372" s="16" t="str">
        <f>IF(Country_4!$C73="","",Country_4!F73)</f>
        <v/>
      </c>
      <c r="G372" s="17" t="str">
        <f>IF(Country_4!$C73="","",Country_4!G73)</f>
        <v/>
      </c>
      <c r="H372" s="17" t="str">
        <f>IF(Country_4!$C73="","",Country_4!H73)</f>
        <v/>
      </c>
      <c r="I372" s="16" t="str">
        <f>IF(Country_4!$C73="","",Country_4!I73)</f>
        <v/>
      </c>
      <c r="J372" s="16" t="str">
        <f>IF(Country_4!$C73="","",Country_4!J73)</f>
        <v/>
      </c>
      <c r="K372" s="18" t="str">
        <f>IF(Country_4!$C73="","",Country_4!K73)</f>
        <v/>
      </c>
      <c r="L372" s="18" t="str">
        <f>IF(Country_4!$C73="","",Country_4!L73)</f>
        <v/>
      </c>
      <c r="M372" s="19" t="str">
        <f>IF(Country_4!$C73="","",Country_4!M73)</f>
        <v/>
      </c>
      <c r="N372" s="16" t="str">
        <f>IF(Country_4!$C73="","",Country_4!N73)</f>
        <v/>
      </c>
      <c r="O372" s="16" t="str">
        <f>IF(Country_4!$C73="","",Country_4!O73)</f>
        <v/>
      </c>
      <c r="P372" s="16" t="str">
        <f>IF(Country_4!$C73="","",Country_4!P73)</f>
        <v/>
      </c>
      <c r="Q372" s="16" t="str">
        <f>IF(Country_4!$C73="","",Country_4!Q73)</f>
        <v/>
      </c>
    </row>
    <row r="373" spans="1:17" x14ac:dyDescent="0.25">
      <c r="A373" s="16" t="str">
        <f>IF(Country_4!$C74="","",Country_4!A74)</f>
        <v/>
      </c>
      <c r="B373" s="16" t="str">
        <f>IF(Country_4!$C74="","",Country_4!B74)</f>
        <v/>
      </c>
      <c r="C373" s="16" t="str">
        <f>IF(Country_4!$C74="","",Country_4!C74)</f>
        <v/>
      </c>
      <c r="D373" s="16" t="str">
        <f>IF(Country_4!$C74="","",Country_4!D74)</f>
        <v/>
      </c>
      <c r="E373" s="16" t="str">
        <f>IF(Country_4!$C74="","",Country_4!E74)</f>
        <v/>
      </c>
      <c r="F373" s="16" t="str">
        <f>IF(Country_4!$C74="","",Country_4!F74)</f>
        <v/>
      </c>
      <c r="G373" s="17" t="str">
        <f>IF(Country_4!$C74="","",Country_4!G74)</f>
        <v/>
      </c>
      <c r="H373" s="17" t="str">
        <f>IF(Country_4!$C74="","",Country_4!H74)</f>
        <v/>
      </c>
      <c r="I373" s="16" t="str">
        <f>IF(Country_4!$C74="","",Country_4!I74)</f>
        <v/>
      </c>
      <c r="J373" s="16" t="str">
        <f>IF(Country_4!$C74="","",Country_4!J74)</f>
        <v/>
      </c>
      <c r="K373" s="18" t="str">
        <f>IF(Country_4!$C74="","",Country_4!K74)</f>
        <v/>
      </c>
      <c r="L373" s="18" t="str">
        <f>IF(Country_4!$C74="","",Country_4!L74)</f>
        <v/>
      </c>
      <c r="M373" s="19" t="str">
        <f>IF(Country_4!$C74="","",Country_4!M74)</f>
        <v/>
      </c>
      <c r="N373" s="16" t="str">
        <f>IF(Country_4!$C74="","",Country_4!N74)</f>
        <v/>
      </c>
      <c r="O373" s="16" t="str">
        <f>IF(Country_4!$C74="","",Country_4!O74)</f>
        <v/>
      </c>
      <c r="P373" s="16" t="str">
        <f>IF(Country_4!$C74="","",Country_4!P74)</f>
        <v/>
      </c>
      <c r="Q373" s="16" t="str">
        <f>IF(Country_4!$C74="","",Country_4!Q74)</f>
        <v/>
      </c>
    </row>
    <row r="374" spans="1:17" x14ac:dyDescent="0.25">
      <c r="A374" s="16" t="str">
        <f>IF(Country_4!$C75="","",Country_4!A75)</f>
        <v/>
      </c>
      <c r="B374" s="16" t="str">
        <f>IF(Country_4!$C75="","",Country_4!B75)</f>
        <v/>
      </c>
      <c r="C374" s="16" t="str">
        <f>IF(Country_4!$C75="","",Country_4!C75)</f>
        <v/>
      </c>
      <c r="D374" s="16" t="str">
        <f>IF(Country_4!$C75="","",Country_4!D75)</f>
        <v/>
      </c>
      <c r="E374" s="16" t="str">
        <f>IF(Country_4!$C75="","",Country_4!E75)</f>
        <v/>
      </c>
      <c r="F374" s="16" t="str">
        <f>IF(Country_4!$C75="","",Country_4!F75)</f>
        <v/>
      </c>
      <c r="G374" s="17" t="str">
        <f>IF(Country_4!$C75="","",Country_4!G75)</f>
        <v/>
      </c>
      <c r="H374" s="17" t="str">
        <f>IF(Country_4!$C75="","",Country_4!H75)</f>
        <v/>
      </c>
      <c r="I374" s="16" t="str">
        <f>IF(Country_4!$C75="","",Country_4!I75)</f>
        <v/>
      </c>
      <c r="J374" s="16" t="str">
        <f>IF(Country_4!$C75="","",Country_4!J75)</f>
        <v/>
      </c>
      <c r="K374" s="18" t="str">
        <f>IF(Country_4!$C75="","",Country_4!K75)</f>
        <v/>
      </c>
      <c r="L374" s="18" t="str">
        <f>IF(Country_4!$C75="","",Country_4!L75)</f>
        <v/>
      </c>
      <c r="M374" s="19" t="str">
        <f>IF(Country_4!$C75="","",Country_4!M75)</f>
        <v/>
      </c>
      <c r="N374" s="16" t="str">
        <f>IF(Country_4!$C75="","",Country_4!N75)</f>
        <v/>
      </c>
      <c r="O374" s="16" t="str">
        <f>IF(Country_4!$C75="","",Country_4!O75)</f>
        <v/>
      </c>
      <c r="P374" s="16" t="str">
        <f>IF(Country_4!$C75="","",Country_4!P75)</f>
        <v/>
      </c>
      <c r="Q374" s="16" t="str">
        <f>IF(Country_4!$C75="","",Country_4!Q75)</f>
        <v/>
      </c>
    </row>
    <row r="375" spans="1:17" x14ac:dyDescent="0.25">
      <c r="A375" s="16" t="str">
        <f>IF(Country_4!$C76="","",Country_4!A76)</f>
        <v/>
      </c>
      <c r="B375" s="16" t="str">
        <f>IF(Country_4!$C76="","",Country_4!B76)</f>
        <v/>
      </c>
      <c r="C375" s="16" t="str">
        <f>IF(Country_4!$C76="","",Country_4!C76)</f>
        <v/>
      </c>
      <c r="D375" s="16" t="str">
        <f>IF(Country_4!$C76="","",Country_4!D76)</f>
        <v/>
      </c>
      <c r="E375" s="16" t="str">
        <f>IF(Country_4!$C76="","",Country_4!E76)</f>
        <v/>
      </c>
      <c r="F375" s="16" t="str">
        <f>IF(Country_4!$C76="","",Country_4!F76)</f>
        <v/>
      </c>
      <c r="G375" s="17" t="str">
        <f>IF(Country_4!$C76="","",Country_4!G76)</f>
        <v/>
      </c>
      <c r="H375" s="17" t="str">
        <f>IF(Country_4!$C76="","",Country_4!H76)</f>
        <v/>
      </c>
      <c r="I375" s="16" t="str">
        <f>IF(Country_4!$C76="","",Country_4!I76)</f>
        <v/>
      </c>
      <c r="J375" s="16" t="str">
        <f>IF(Country_4!$C76="","",Country_4!J76)</f>
        <v/>
      </c>
      <c r="K375" s="18" t="str">
        <f>IF(Country_4!$C76="","",Country_4!K76)</f>
        <v/>
      </c>
      <c r="L375" s="18" t="str">
        <f>IF(Country_4!$C76="","",Country_4!L76)</f>
        <v/>
      </c>
      <c r="M375" s="19" t="str">
        <f>IF(Country_4!$C76="","",Country_4!M76)</f>
        <v/>
      </c>
      <c r="N375" s="16" t="str">
        <f>IF(Country_4!$C76="","",Country_4!N76)</f>
        <v/>
      </c>
      <c r="O375" s="16" t="str">
        <f>IF(Country_4!$C76="","",Country_4!O76)</f>
        <v/>
      </c>
      <c r="P375" s="16" t="str">
        <f>IF(Country_4!$C76="","",Country_4!P76)</f>
        <v/>
      </c>
      <c r="Q375" s="16" t="str">
        <f>IF(Country_4!$C76="","",Country_4!Q76)</f>
        <v/>
      </c>
    </row>
    <row r="376" spans="1:17" x14ac:dyDescent="0.25">
      <c r="A376" s="16" t="str">
        <f>IF(Country_4!$C77="","",Country_4!A77)</f>
        <v/>
      </c>
      <c r="B376" s="16" t="str">
        <f>IF(Country_4!$C77="","",Country_4!B77)</f>
        <v/>
      </c>
      <c r="C376" s="16" t="str">
        <f>IF(Country_4!$C77="","",Country_4!C77)</f>
        <v/>
      </c>
      <c r="D376" s="16" t="str">
        <f>IF(Country_4!$C77="","",Country_4!D77)</f>
        <v/>
      </c>
      <c r="E376" s="16" t="str">
        <f>IF(Country_4!$C77="","",Country_4!E77)</f>
        <v/>
      </c>
      <c r="F376" s="16" t="str">
        <f>IF(Country_4!$C77="","",Country_4!F77)</f>
        <v/>
      </c>
      <c r="G376" s="17" t="str">
        <f>IF(Country_4!$C77="","",Country_4!G77)</f>
        <v/>
      </c>
      <c r="H376" s="17" t="str">
        <f>IF(Country_4!$C77="","",Country_4!H77)</f>
        <v/>
      </c>
      <c r="I376" s="16" t="str">
        <f>IF(Country_4!$C77="","",Country_4!I77)</f>
        <v/>
      </c>
      <c r="J376" s="16" t="str">
        <f>IF(Country_4!$C77="","",Country_4!J77)</f>
        <v/>
      </c>
      <c r="K376" s="18" t="str">
        <f>IF(Country_4!$C77="","",Country_4!K77)</f>
        <v/>
      </c>
      <c r="L376" s="18" t="str">
        <f>IF(Country_4!$C77="","",Country_4!L77)</f>
        <v/>
      </c>
      <c r="M376" s="19" t="str">
        <f>IF(Country_4!$C77="","",Country_4!M77)</f>
        <v/>
      </c>
      <c r="N376" s="16" t="str">
        <f>IF(Country_4!$C77="","",Country_4!N77)</f>
        <v/>
      </c>
      <c r="O376" s="16" t="str">
        <f>IF(Country_4!$C77="","",Country_4!O77)</f>
        <v/>
      </c>
      <c r="P376" s="16" t="str">
        <f>IF(Country_4!$C77="","",Country_4!P77)</f>
        <v/>
      </c>
      <c r="Q376" s="16" t="str">
        <f>IF(Country_4!$C77="","",Country_4!Q77)</f>
        <v/>
      </c>
    </row>
    <row r="377" spans="1:17" x14ac:dyDescent="0.25">
      <c r="A377" s="16" t="str">
        <f>IF(Country_4!$C78="","",Country_4!A78)</f>
        <v/>
      </c>
      <c r="B377" s="16" t="str">
        <f>IF(Country_4!$C78="","",Country_4!B78)</f>
        <v/>
      </c>
      <c r="C377" s="16" t="str">
        <f>IF(Country_4!$C78="","",Country_4!C78)</f>
        <v/>
      </c>
      <c r="D377" s="16" t="str">
        <f>IF(Country_4!$C78="","",Country_4!D78)</f>
        <v/>
      </c>
      <c r="E377" s="16" t="str">
        <f>IF(Country_4!$C78="","",Country_4!E78)</f>
        <v/>
      </c>
      <c r="F377" s="16" t="str">
        <f>IF(Country_4!$C78="","",Country_4!F78)</f>
        <v/>
      </c>
      <c r="G377" s="17" t="str">
        <f>IF(Country_4!$C78="","",Country_4!G78)</f>
        <v/>
      </c>
      <c r="H377" s="17" t="str">
        <f>IF(Country_4!$C78="","",Country_4!H78)</f>
        <v/>
      </c>
      <c r="I377" s="16" t="str">
        <f>IF(Country_4!$C78="","",Country_4!I78)</f>
        <v/>
      </c>
      <c r="J377" s="16" t="str">
        <f>IF(Country_4!$C78="","",Country_4!J78)</f>
        <v/>
      </c>
      <c r="K377" s="18" t="str">
        <f>IF(Country_4!$C78="","",Country_4!K78)</f>
        <v/>
      </c>
      <c r="L377" s="18" t="str">
        <f>IF(Country_4!$C78="","",Country_4!L78)</f>
        <v/>
      </c>
      <c r="M377" s="19" t="str">
        <f>IF(Country_4!$C78="","",Country_4!M78)</f>
        <v/>
      </c>
      <c r="N377" s="16" t="str">
        <f>IF(Country_4!$C78="","",Country_4!N78)</f>
        <v/>
      </c>
      <c r="O377" s="16" t="str">
        <f>IF(Country_4!$C78="","",Country_4!O78)</f>
        <v/>
      </c>
      <c r="P377" s="16" t="str">
        <f>IF(Country_4!$C78="","",Country_4!P78)</f>
        <v/>
      </c>
      <c r="Q377" s="16" t="str">
        <f>IF(Country_4!$C78="","",Country_4!Q78)</f>
        <v/>
      </c>
    </row>
    <row r="378" spans="1:17" x14ac:dyDescent="0.25">
      <c r="A378" s="16" t="str">
        <f>IF(Country_4!$C79="","",Country_4!A79)</f>
        <v/>
      </c>
      <c r="B378" s="16" t="str">
        <f>IF(Country_4!$C79="","",Country_4!B79)</f>
        <v/>
      </c>
      <c r="C378" s="16" t="str">
        <f>IF(Country_4!$C79="","",Country_4!C79)</f>
        <v/>
      </c>
      <c r="D378" s="16" t="str">
        <f>IF(Country_4!$C79="","",Country_4!D79)</f>
        <v/>
      </c>
      <c r="E378" s="16" t="str">
        <f>IF(Country_4!$C79="","",Country_4!E79)</f>
        <v/>
      </c>
      <c r="F378" s="16" t="str">
        <f>IF(Country_4!$C79="","",Country_4!F79)</f>
        <v/>
      </c>
      <c r="G378" s="17" t="str">
        <f>IF(Country_4!$C79="","",Country_4!G79)</f>
        <v/>
      </c>
      <c r="H378" s="17" t="str">
        <f>IF(Country_4!$C79="","",Country_4!H79)</f>
        <v/>
      </c>
      <c r="I378" s="16" t="str">
        <f>IF(Country_4!$C79="","",Country_4!I79)</f>
        <v/>
      </c>
      <c r="J378" s="16" t="str">
        <f>IF(Country_4!$C79="","",Country_4!J79)</f>
        <v/>
      </c>
      <c r="K378" s="18" t="str">
        <f>IF(Country_4!$C79="","",Country_4!K79)</f>
        <v/>
      </c>
      <c r="L378" s="18" t="str">
        <f>IF(Country_4!$C79="","",Country_4!L79)</f>
        <v/>
      </c>
      <c r="M378" s="19" t="str">
        <f>IF(Country_4!$C79="","",Country_4!M79)</f>
        <v/>
      </c>
      <c r="N378" s="16" t="str">
        <f>IF(Country_4!$C79="","",Country_4!N79)</f>
        <v/>
      </c>
      <c r="O378" s="16" t="str">
        <f>IF(Country_4!$C79="","",Country_4!O79)</f>
        <v/>
      </c>
      <c r="P378" s="16" t="str">
        <f>IF(Country_4!$C79="","",Country_4!P79)</f>
        <v/>
      </c>
      <c r="Q378" s="16" t="str">
        <f>IF(Country_4!$C79="","",Country_4!Q79)</f>
        <v/>
      </c>
    </row>
    <row r="379" spans="1:17" x14ac:dyDescent="0.25">
      <c r="A379" s="16" t="str">
        <f>IF(Country_4!$C80="","",Country_4!A80)</f>
        <v/>
      </c>
      <c r="B379" s="16" t="str">
        <f>IF(Country_4!$C80="","",Country_4!B80)</f>
        <v/>
      </c>
      <c r="C379" s="16" t="str">
        <f>IF(Country_4!$C80="","",Country_4!C80)</f>
        <v/>
      </c>
      <c r="D379" s="16" t="str">
        <f>IF(Country_4!$C80="","",Country_4!D80)</f>
        <v/>
      </c>
      <c r="E379" s="16" t="str">
        <f>IF(Country_4!$C80="","",Country_4!E80)</f>
        <v/>
      </c>
      <c r="F379" s="16" t="str">
        <f>IF(Country_4!$C80="","",Country_4!F80)</f>
        <v/>
      </c>
      <c r="G379" s="17" t="str">
        <f>IF(Country_4!$C80="","",Country_4!G80)</f>
        <v/>
      </c>
      <c r="H379" s="17" t="str">
        <f>IF(Country_4!$C80="","",Country_4!H80)</f>
        <v/>
      </c>
      <c r="I379" s="16" t="str">
        <f>IF(Country_4!$C80="","",Country_4!I80)</f>
        <v/>
      </c>
      <c r="J379" s="16" t="str">
        <f>IF(Country_4!$C80="","",Country_4!J80)</f>
        <v/>
      </c>
      <c r="K379" s="18" t="str">
        <f>IF(Country_4!$C80="","",Country_4!K80)</f>
        <v/>
      </c>
      <c r="L379" s="18" t="str">
        <f>IF(Country_4!$C80="","",Country_4!L80)</f>
        <v/>
      </c>
      <c r="M379" s="19" t="str">
        <f>IF(Country_4!$C80="","",Country_4!M80)</f>
        <v/>
      </c>
      <c r="N379" s="16" t="str">
        <f>IF(Country_4!$C80="","",Country_4!N80)</f>
        <v/>
      </c>
      <c r="O379" s="16" t="str">
        <f>IF(Country_4!$C80="","",Country_4!O80)</f>
        <v/>
      </c>
      <c r="P379" s="16" t="str">
        <f>IF(Country_4!$C80="","",Country_4!P80)</f>
        <v/>
      </c>
      <c r="Q379" s="16" t="str">
        <f>IF(Country_4!$C80="","",Country_4!Q80)</f>
        <v/>
      </c>
    </row>
    <row r="380" spans="1:17" x14ac:dyDescent="0.25">
      <c r="A380" s="16" t="str">
        <f>IF(Country_4!$C81="","",Country_4!A81)</f>
        <v/>
      </c>
      <c r="B380" s="16" t="str">
        <f>IF(Country_4!$C81="","",Country_4!B81)</f>
        <v/>
      </c>
      <c r="C380" s="16" t="str">
        <f>IF(Country_4!$C81="","",Country_4!C81)</f>
        <v/>
      </c>
      <c r="D380" s="16" t="str">
        <f>IF(Country_4!$C81="","",Country_4!D81)</f>
        <v/>
      </c>
      <c r="E380" s="16" t="str">
        <f>IF(Country_4!$C81="","",Country_4!E81)</f>
        <v/>
      </c>
      <c r="F380" s="16" t="str">
        <f>IF(Country_4!$C81="","",Country_4!F81)</f>
        <v/>
      </c>
      <c r="G380" s="17" t="str">
        <f>IF(Country_4!$C81="","",Country_4!G81)</f>
        <v/>
      </c>
      <c r="H380" s="17" t="str">
        <f>IF(Country_4!$C81="","",Country_4!H81)</f>
        <v/>
      </c>
      <c r="I380" s="16" t="str">
        <f>IF(Country_4!$C81="","",Country_4!I81)</f>
        <v/>
      </c>
      <c r="J380" s="16" t="str">
        <f>IF(Country_4!$C81="","",Country_4!J81)</f>
        <v/>
      </c>
      <c r="K380" s="18" t="str">
        <f>IF(Country_4!$C81="","",Country_4!K81)</f>
        <v/>
      </c>
      <c r="L380" s="18" t="str">
        <f>IF(Country_4!$C81="","",Country_4!L81)</f>
        <v/>
      </c>
      <c r="M380" s="19" t="str">
        <f>IF(Country_4!$C81="","",Country_4!M81)</f>
        <v/>
      </c>
      <c r="N380" s="16" t="str">
        <f>IF(Country_4!$C81="","",Country_4!N81)</f>
        <v/>
      </c>
      <c r="O380" s="16" t="str">
        <f>IF(Country_4!$C81="","",Country_4!O81)</f>
        <v/>
      </c>
      <c r="P380" s="16" t="str">
        <f>IF(Country_4!$C81="","",Country_4!P81)</f>
        <v/>
      </c>
      <c r="Q380" s="16" t="str">
        <f>IF(Country_4!$C81="","",Country_4!Q81)</f>
        <v/>
      </c>
    </row>
    <row r="381" spans="1:17" x14ac:dyDescent="0.25">
      <c r="A381" s="16" t="str">
        <f>IF(Country_4!$C82="","",Country_4!A82)</f>
        <v/>
      </c>
      <c r="B381" s="16" t="str">
        <f>IF(Country_4!$C82="","",Country_4!B82)</f>
        <v/>
      </c>
      <c r="C381" s="16" t="str">
        <f>IF(Country_4!$C82="","",Country_4!C82)</f>
        <v/>
      </c>
      <c r="D381" s="16" t="str">
        <f>IF(Country_4!$C82="","",Country_4!D82)</f>
        <v/>
      </c>
      <c r="E381" s="16" t="str">
        <f>IF(Country_4!$C82="","",Country_4!E82)</f>
        <v/>
      </c>
      <c r="F381" s="16" t="str">
        <f>IF(Country_4!$C82="","",Country_4!F82)</f>
        <v/>
      </c>
      <c r="G381" s="17" t="str">
        <f>IF(Country_4!$C82="","",Country_4!G82)</f>
        <v/>
      </c>
      <c r="H381" s="17" t="str">
        <f>IF(Country_4!$C82="","",Country_4!H82)</f>
        <v/>
      </c>
      <c r="I381" s="16" t="str">
        <f>IF(Country_4!$C82="","",Country_4!I82)</f>
        <v/>
      </c>
      <c r="J381" s="16" t="str">
        <f>IF(Country_4!$C82="","",Country_4!J82)</f>
        <v/>
      </c>
      <c r="K381" s="18" t="str">
        <f>IF(Country_4!$C82="","",Country_4!K82)</f>
        <v/>
      </c>
      <c r="L381" s="18" t="str">
        <f>IF(Country_4!$C82="","",Country_4!L82)</f>
        <v/>
      </c>
      <c r="M381" s="19" t="str">
        <f>IF(Country_4!$C82="","",Country_4!M82)</f>
        <v/>
      </c>
      <c r="N381" s="16" t="str">
        <f>IF(Country_4!$C82="","",Country_4!N82)</f>
        <v/>
      </c>
      <c r="O381" s="16" t="str">
        <f>IF(Country_4!$C82="","",Country_4!O82)</f>
        <v/>
      </c>
      <c r="P381" s="16" t="str">
        <f>IF(Country_4!$C82="","",Country_4!P82)</f>
        <v/>
      </c>
      <c r="Q381" s="16" t="str">
        <f>IF(Country_4!$C82="","",Country_4!Q82)</f>
        <v/>
      </c>
    </row>
    <row r="382" spans="1:17" x14ac:dyDescent="0.25">
      <c r="A382" s="16" t="str">
        <f>IF(Country_4!$C83="","",Country_4!A83)</f>
        <v/>
      </c>
      <c r="B382" s="16" t="str">
        <f>IF(Country_4!$C83="","",Country_4!B83)</f>
        <v/>
      </c>
      <c r="C382" s="16" t="str">
        <f>IF(Country_4!$C83="","",Country_4!C83)</f>
        <v/>
      </c>
      <c r="D382" s="16" t="str">
        <f>IF(Country_4!$C83="","",Country_4!D83)</f>
        <v/>
      </c>
      <c r="E382" s="16" t="str">
        <f>IF(Country_4!$C83="","",Country_4!E83)</f>
        <v/>
      </c>
      <c r="F382" s="16" t="str">
        <f>IF(Country_4!$C83="","",Country_4!F83)</f>
        <v/>
      </c>
      <c r="G382" s="17" t="str">
        <f>IF(Country_4!$C83="","",Country_4!G83)</f>
        <v/>
      </c>
      <c r="H382" s="17" t="str">
        <f>IF(Country_4!$C83="","",Country_4!H83)</f>
        <v/>
      </c>
      <c r="I382" s="16" t="str">
        <f>IF(Country_4!$C83="","",Country_4!I83)</f>
        <v/>
      </c>
      <c r="J382" s="16" t="str">
        <f>IF(Country_4!$C83="","",Country_4!J83)</f>
        <v/>
      </c>
      <c r="K382" s="18" t="str">
        <f>IF(Country_4!$C83="","",Country_4!K83)</f>
        <v/>
      </c>
      <c r="L382" s="18" t="str">
        <f>IF(Country_4!$C83="","",Country_4!L83)</f>
        <v/>
      </c>
      <c r="M382" s="19" t="str">
        <f>IF(Country_4!$C83="","",Country_4!M83)</f>
        <v/>
      </c>
      <c r="N382" s="16" t="str">
        <f>IF(Country_4!$C83="","",Country_4!N83)</f>
        <v/>
      </c>
      <c r="O382" s="16" t="str">
        <f>IF(Country_4!$C83="","",Country_4!O83)</f>
        <v/>
      </c>
      <c r="P382" s="16" t="str">
        <f>IF(Country_4!$C83="","",Country_4!P83)</f>
        <v/>
      </c>
      <c r="Q382" s="16" t="str">
        <f>IF(Country_4!$C83="","",Country_4!Q83)</f>
        <v/>
      </c>
    </row>
    <row r="383" spans="1:17" x14ac:dyDescent="0.25">
      <c r="A383" s="16" t="str">
        <f>IF(Country_4!$C84="","",Country_4!A84)</f>
        <v/>
      </c>
      <c r="B383" s="16" t="str">
        <f>IF(Country_4!$C84="","",Country_4!B84)</f>
        <v/>
      </c>
      <c r="C383" s="16" t="str">
        <f>IF(Country_4!$C84="","",Country_4!C84)</f>
        <v/>
      </c>
      <c r="D383" s="16" t="str">
        <f>IF(Country_4!$C84="","",Country_4!D84)</f>
        <v/>
      </c>
      <c r="E383" s="16" t="str">
        <f>IF(Country_4!$C84="","",Country_4!E84)</f>
        <v/>
      </c>
      <c r="F383" s="16" t="str">
        <f>IF(Country_4!$C84="","",Country_4!F84)</f>
        <v/>
      </c>
      <c r="G383" s="17" t="str">
        <f>IF(Country_4!$C84="","",Country_4!G84)</f>
        <v/>
      </c>
      <c r="H383" s="17" t="str">
        <f>IF(Country_4!$C84="","",Country_4!H84)</f>
        <v/>
      </c>
      <c r="I383" s="16" t="str">
        <f>IF(Country_4!$C84="","",Country_4!I84)</f>
        <v/>
      </c>
      <c r="J383" s="16" t="str">
        <f>IF(Country_4!$C84="","",Country_4!J84)</f>
        <v/>
      </c>
      <c r="K383" s="18" t="str">
        <f>IF(Country_4!$C84="","",Country_4!K84)</f>
        <v/>
      </c>
      <c r="L383" s="18" t="str">
        <f>IF(Country_4!$C84="","",Country_4!L84)</f>
        <v/>
      </c>
      <c r="M383" s="19" t="str">
        <f>IF(Country_4!$C84="","",Country_4!M84)</f>
        <v/>
      </c>
      <c r="N383" s="16" t="str">
        <f>IF(Country_4!$C84="","",Country_4!N84)</f>
        <v/>
      </c>
      <c r="O383" s="16" t="str">
        <f>IF(Country_4!$C84="","",Country_4!O84)</f>
        <v/>
      </c>
      <c r="P383" s="16" t="str">
        <f>IF(Country_4!$C84="","",Country_4!P84)</f>
        <v/>
      </c>
      <c r="Q383" s="16" t="str">
        <f>IF(Country_4!$C84="","",Country_4!Q84)</f>
        <v/>
      </c>
    </row>
    <row r="384" spans="1:17" x14ac:dyDescent="0.25">
      <c r="A384" s="16" t="str">
        <f>IF(Country_4!$C85="","",Country_4!A85)</f>
        <v/>
      </c>
      <c r="B384" s="16" t="str">
        <f>IF(Country_4!$C85="","",Country_4!B85)</f>
        <v/>
      </c>
      <c r="C384" s="16" t="str">
        <f>IF(Country_4!$C85="","",Country_4!C85)</f>
        <v/>
      </c>
      <c r="D384" s="16" t="str">
        <f>IF(Country_4!$C85="","",Country_4!D85)</f>
        <v/>
      </c>
      <c r="E384" s="16" t="str">
        <f>IF(Country_4!$C85="","",Country_4!E85)</f>
        <v/>
      </c>
      <c r="F384" s="16" t="str">
        <f>IF(Country_4!$C85="","",Country_4!F85)</f>
        <v/>
      </c>
      <c r="G384" s="17" t="str">
        <f>IF(Country_4!$C85="","",Country_4!G85)</f>
        <v/>
      </c>
      <c r="H384" s="17" t="str">
        <f>IF(Country_4!$C85="","",Country_4!H85)</f>
        <v/>
      </c>
      <c r="I384" s="16" t="str">
        <f>IF(Country_4!$C85="","",Country_4!I85)</f>
        <v/>
      </c>
      <c r="J384" s="16" t="str">
        <f>IF(Country_4!$C85="","",Country_4!J85)</f>
        <v/>
      </c>
      <c r="K384" s="18" t="str">
        <f>IF(Country_4!$C85="","",Country_4!K85)</f>
        <v/>
      </c>
      <c r="L384" s="18" t="str">
        <f>IF(Country_4!$C85="","",Country_4!L85)</f>
        <v/>
      </c>
      <c r="M384" s="19" t="str">
        <f>IF(Country_4!$C85="","",Country_4!M85)</f>
        <v/>
      </c>
      <c r="N384" s="16" t="str">
        <f>IF(Country_4!$C85="","",Country_4!N85)</f>
        <v/>
      </c>
      <c r="O384" s="16" t="str">
        <f>IF(Country_4!$C85="","",Country_4!O85)</f>
        <v/>
      </c>
      <c r="P384" s="16" t="str">
        <f>IF(Country_4!$C85="","",Country_4!P85)</f>
        <v/>
      </c>
      <c r="Q384" s="16" t="str">
        <f>IF(Country_4!$C85="","",Country_4!Q85)</f>
        <v/>
      </c>
    </row>
    <row r="385" spans="1:17" x14ac:dyDescent="0.25">
      <c r="A385" s="16" t="str">
        <f>IF(Country_4!$C86="","",Country_4!A86)</f>
        <v/>
      </c>
      <c r="B385" s="16" t="str">
        <f>IF(Country_4!$C86="","",Country_4!B86)</f>
        <v/>
      </c>
      <c r="C385" s="16" t="str">
        <f>IF(Country_4!$C86="","",Country_4!C86)</f>
        <v/>
      </c>
      <c r="D385" s="16" t="str">
        <f>IF(Country_4!$C86="","",Country_4!D86)</f>
        <v/>
      </c>
      <c r="E385" s="16" t="str">
        <f>IF(Country_4!$C86="","",Country_4!E86)</f>
        <v/>
      </c>
      <c r="F385" s="16" t="str">
        <f>IF(Country_4!$C86="","",Country_4!F86)</f>
        <v/>
      </c>
      <c r="G385" s="17" t="str">
        <f>IF(Country_4!$C86="","",Country_4!G86)</f>
        <v/>
      </c>
      <c r="H385" s="17" t="str">
        <f>IF(Country_4!$C86="","",Country_4!H86)</f>
        <v/>
      </c>
      <c r="I385" s="16" t="str">
        <f>IF(Country_4!$C86="","",Country_4!I86)</f>
        <v/>
      </c>
      <c r="J385" s="16" t="str">
        <f>IF(Country_4!$C86="","",Country_4!J86)</f>
        <v/>
      </c>
      <c r="K385" s="18" t="str">
        <f>IF(Country_4!$C86="","",Country_4!K86)</f>
        <v/>
      </c>
      <c r="L385" s="18" t="str">
        <f>IF(Country_4!$C86="","",Country_4!L86)</f>
        <v/>
      </c>
      <c r="M385" s="19" t="str">
        <f>IF(Country_4!$C86="","",Country_4!M86)</f>
        <v/>
      </c>
      <c r="N385" s="16" t="str">
        <f>IF(Country_4!$C86="","",Country_4!N86)</f>
        <v/>
      </c>
      <c r="O385" s="16" t="str">
        <f>IF(Country_4!$C86="","",Country_4!O86)</f>
        <v/>
      </c>
      <c r="P385" s="16" t="str">
        <f>IF(Country_4!$C86="","",Country_4!P86)</f>
        <v/>
      </c>
      <c r="Q385" s="16" t="str">
        <f>IF(Country_4!$C86="","",Country_4!Q86)</f>
        <v/>
      </c>
    </row>
    <row r="386" spans="1:17" x14ac:dyDescent="0.25">
      <c r="A386" s="16" t="str">
        <f>IF(Country_4!$C87="","",Country_4!A87)</f>
        <v/>
      </c>
      <c r="B386" s="16" t="str">
        <f>IF(Country_4!$C87="","",Country_4!B87)</f>
        <v/>
      </c>
      <c r="C386" s="16" t="str">
        <f>IF(Country_4!$C87="","",Country_4!C87)</f>
        <v/>
      </c>
      <c r="D386" s="16" t="str">
        <f>IF(Country_4!$C87="","",Country_4!D87)</f>
        <v/>
      </c>
      <c r="E386" s="16" t="str">
        <f>IF(Country_4!$C87="","",Country_4!E87)</f>
        <v/>
      </c>
      <c r="F386" s="16" t="str">
        <f>IF(Country_4!$C87="","",Country_4!F87)</f>
        <v/>
      </c>
      <c r="G386" s="17" t="str">
        <f>IF(Country_4!$C87="","",Country_4!G87)</f>
        <v/>
      </c>
      <c r="H386" s="17" t="str">
        <f>IF(Country_4!$C87="","",Country_4!H87)</f>
        <v/>
      </c>
      <c r="I386" s="16" t="str">
        <f>IF(Country_4!$C87="","",Country_4!I87)</f>
        <v/>
      </c>
      <c r="J386" s="16" t="str">
        <f>IF(Country_4!$C87="","",Country_4!J87)</f>
        <v/>
      </c>
      <c r="K386" s="18" t="str">
        <f>IF(Country_4!$C87="","",Country_4!K87)</f>
        <v/>
      </c>
      <c r="L386" s="18" t="str">
        <f>IF(Country_4!$C87="","",Country_4!L87)</f>
        <v/>
      </c>
      <c r="M386" s="19" t="str">
        <f>IF(Country_4!$C87="","",Country_4!M87)</f>
        <v/>
      </c>
      <c r="N386" s="16" t="str">
        <f>IF(Country_4!$C87="","",Country_4!N87)</f>
        <v/>
      </c>
      <c r="O386" s="16" t="str">
        <f>IF(Country_4!$C87="","",Country_4!O87)</f>
        <v/>
      </c>
      <c r="P386" s="16" t="str">
        <f>IF(Country_4!$C87="","",Country_4!P87)</f>
        <v/>
      </c>
      <c r="Q386" s="16" t="str">
        <f>IF(Country_4!$C87="","",Country_4!Q87)</f>
        <v/>
      </c>
    </row>
    <row r="387" spans="1:17" x14ac:dyDescent="0.25">
      <c r="A387" s="16" t="str">
        <f>IF(Country_4!$C88="","",Country_4!A88)</f>
        <v/>
      </c>
      <c r="B387" s="16" t="str">
        <f>IF(Country_4!$C88="","",Country_4!B88)</f>
        <v/>
      </c>
      <c r="C387" s="16" t="str">
        <f>IF(Country_4!$C88="","",Country_4!C88)</f>
        <v/>
      </c>
      <c r="D387" s="16" t="str">
        <f>IF(Country_4!$C88="","",Country_4!D88)</f>
        <v/>
      </c>
      <c r="E387" s="16" t="str">
        <f>IF(Country_4!$C88="","",Country_4!E88)</f>
        <v/>
      </c>
      <c r="F387" s="16" t="str">
        <f>IF(Country_4!$C88="","",Country_4!F88)</f>
        <v/>
      </c>
      <c r="G387" s="17" t="str">
        <f>IF(Country_4!$C88="","",Country_4!G88)</f>
        <v/>
      </c>
      <c r="H387" s="17" t="str">
        <f>IF(Country_4!$C88="","",Country_4!H88)</f>
        <v/>
      </c>
      <c r="I387" s="16" t="str">
        <f>IF(Country_4!$C88="","",Country_4!I88)</f>
        <v/>
      </c>
      <c r="J387" s="16" t="str">
        <f>IF(Country_4!$C88="","",Country_4!J88)</f>
        <v/>
      </c>
      <c r="K387" s="18" t="str">
        <f>IF(Country_4!$C88="","",Country_4!K88)</f>
        <v/>
      </c>
      <c r="L387" s="18" t="str">
        <f>IF(Country_4!$C88="","",Country_4!L88)</f>
        <v/>
      </c>
      <c r="M387" s="19" t="str">
        <f>IF(Country_4!$C88="","",Country_4!M88)</f>
        <v/>
      </c>
      <c r="N387" s="16" t="str">
        <f>IF(Country_4!$C88="","",Country_4!N88)</f>
        <v/>
      </c>
      <c r="O387" s="16" t="str">
        <f>IF(Country_4!$C88="","",Country_4!O88)</f>
        <v/>
      </c>
      <c r="P387" s="16" t="str">
        <f>IF(Country_4!$C88="","",Country_4!P88)</f>
        <v/>
      </c>
      <c r="Q387" s="16" t="str">
        <f>IF(Country_4!$C88="","",Country_4!Q88)</f>
        <v/>
      </c>
    </row>
    <row r="388" spans="1:17" x14ac:dyDescent="0.25">
      <c r="A388" s="16" t="str">
        <f>IF(Country_4!$C89="","",Country_4!A89)</f>
        <v/>
      </c>
      <c r="B388" s="16" t="str">
        <f>IF(Country_4!$C89="","",Country_4!B89)</f>
        <v/>
      </c>
      <c r="C388" s="16" t="str">
        <f>IF(Country_4!$C89="","",Country_4!C89)</f>
        <v/>
      </c>
      <c r="D388" s="16" t="str">
        <f>IF(Country_4!$C89="","",Country_4!D89)</f>
        <v/>
      </c>
      <c r="E388" s="16" t="str">
        <f>IF(Country_4!$C89="","",Country_4!E89)</f>
        <v/>
      </c>
      <c r="F388" s="16" t="str">
        <f>IF(Country_4!$C89="","",Country_4!F89)</f>
        <v/>
      </c>
      <c r="G388" s="17" t="str">
        <f>IF(Country_4!$C89="","",Country_4!G89)</f>
        <v/>
      </c>
      <c r="H388" s="17" t="str">
        <f>IF(Country_4!$C89="","",Country_4!H89)</f>
        <v/>
      </c>
      <c r="I388" s="16" t="str">
        <f>IF(Country_4!$C89="","",Country_4!I89)</f>
        <v/>
      </c>
      <c r="J388" s="16" t="str">
        <f>IF(Country_4!$C89="","",Country_4!J89)</f>
        <v/>
      </c>
      <c r="K388" s="18" t="str">
        <f>IF(Country_4!$C89="","",Country_4!K89)</f>
        <v/>
      </c>
      <c r="L388" s="18" t="str">
        <f>IF(Country_4!$C89="","",Country_4!L89)</f>
        <v/>
      </c>
      <c r="M388" s="19" t="str">
        <f>IF(Country_4!$C89="","",Country_4!M89)</f>
        <v/>
      </c>
      <c r="N388" s="16" t="str">
        <f>IF(Country_4!$C89="","",Country_4!N89)</f>
        <v/>
      </c>
      <c r="O388" s="16" t="str">
        <f>IF(Country_4!$C89="","",Country_4!O89)</f>
        <v/>
      </c>
      <c r="P388" s="16" t="str">
        <f>IF(Country_4!$C89="","",Country_4!P89)</f>
        <v/>
      </c>
      <c r="Q388" s="16" t="str">
        <f>IF(Country_4!$C89="","",Country_4!Q89)</f>
        <v/>
      </c>
    </row>
    <row r="389" spans="1:17" x14ac:dyDescent="0.25">
      <c r="A389" s="16" t="str">
        <f>IF(Country_4!$C90="","",Country_4!A90)</f>
        <v/>
      </c>
      <c r="B389" s="16" t="str">
        <f>IF(Country_4!$C90="","",Country_4!B90)</f>
        <v/>
      </c>
      <c r="C389" s="16" t="str">
        <f>IF(Country_4!$C90="","",Country_4!C90)</f>
        <v/>
      </c>
      <c r="D389" s="16" t="str">
        <f>IF(Country_4!$C90="","",Country_4!D90)</f>
        <v/>
      </c>
      <c r="E389" s="16" t="str">
        <f>IF(Country_4!$C90="","",Country_4!E90)</f>
        <v/>
      </c>
      <c r="F389" s="16" t="str">
        <f>IF(Country_4!$C90="","",Country_4!F90)</f>
        <v/>
      </c>
      <c r="G389" s="17" t="str">
        <f>IF(Country_4!$C90="","",Country_4!G90)</f>
        <v/>
      </c>
      <c r="H389" s="17" t="str">
        <f>IF(Country_4!$C90="","",Country_4!H90)</f>
        <v/>
      </c>
      <c r="I389" s="16" t="str">
        <f>IF(Country_4!$C90="","",Country_4!I90)</f>
        <v/>
      </c>
      <c r="J389" s="16" t="str">
        <f>IF(Country_4!$C90="","",Country_4!J90)</f>
        <v/>
      </c>
      <c r="K389" s="18" t="str">
        <f>IF(Country_4!$C90="","",Country_4!K90)</f>
        <v/>
      </c>
      <c r="L389" s="18" t="str">
        <f>IF(Country_4!$C90="","",Country_4!L90)</f>
        <v/>
      </c>
      <c r="M389" s="19" t="str">
        <f>IF(Country_4!$C90="","",Country_4!M90)</f>
        <v/>
      </c>
      <c r="N389" s="16" t="str">
        <f>IF(Country_4!$C90="","",Country_4!N90)</f>
        <v/>
      </c>
      <c r="O389" s="16" t="str">
        <f>IF(Country_4!$C90="","",Country_4!O90)</f>
        <v/>
      </c>
      <c r="P389" s="16" t="str">
        <f>IF(Country_4!$C90="","",Country_4!P90)</f>
        <v/>
      </c>
      <c r="Q389" s="16" t="str">
        <f>IF(Country_4!$C90="","",Country_4!Q90)</f>
        <v/>
      </c>
    </row>
    <row r="390" spans="1:17" x14ac:dyDescent="0.25">
      <c r="A390" s="16" t="str">
        <f>IF(Country_4!$C91="","",Country_4!A91)</f>
        <v/>
      </c>
      <c r="B390" s="16" t="str">
        <f>IF(Country_4!$C91="","",Country_4!B91)</f>
        <v/>
      </c>
      <c r="C390" s="16" t="str">
        <f>IF(Country_4!$C91="","",Country_4!C91)</f>
        <v/>
      </c>
      <c r="D390" s="16" t="str">
        <f>IF(Country_4!$C91="","",Country_4!D91)</f>
        <v/>
      </c>
      <c r="E390" s="16" t="str">
        <f>IF(Country_4!$C91="","",Country_4!E91)</f>
        <v/>
      </c>
      <c r="F390" s="16" t="str">
        <f>IF(Country_4!$C91="","",Country_4!F91)</f>
        <v/>
      </c>
      <c r="G390" s="17" t="str">
        <f>IF(Country_4!$C91="","",Country_4!G91)</f>
        <v/>
      </c>
      <c r="H390" s="17" t="str">
        <f>IF(Country_4!$C91="","",Country_4!H91)</f>
        <v/>
      </c>
      <c r="I390" s="16" t="str">
        <f>IF(Country_4!$C91="","",Country_4!I91)</f>
        <v/>
      </c>
      <c r="J390" s="16" t="str">
        <f>IF(Country_4!$C91="","",Country_4!J91)</f>
        <v/>
      </c>
      <c r="K390" s="18" t="str">
        <f>IF(Country_4!$C91="","",Country_4!K91)</f>
        <v/>
      </c>
      <c r="L390" s="18" t="str">
        <f>IF(Country_4!$C91="","",Country_4!L91)</f>
        <v/>
      </c>
      <c r="M390" s="19" t="str">
        <f>IF(Country_4!$C91="","",Country_4!M91)</f>
        <v/>
      </c>
      <c r="N390" s="16" t="str">
        <f>IF(Country_4!$C91="","",Country_4!N91)</f>
        <v/>
      </c>
      <c r="O390" s="16" t="str">
        <f>IF(Country_4!$C91="","",Country_4!O91)</f>
        <v/>
      </c>
      <c r="P390" s="16" t="str">
        <f>IF(Country_4!$C91="","",Country_4!P91)</f>
        <v/>
      </c>
      <c r="Q390" s="16" t="str">
        <f>IF(Country_4!$C91="","",Country_4!Q91)</f>
        <v/>
      </c>
    </row>
    <row r="391" spans="1:17" x14ac:dyDescent="0.25">
      <c r="A391" s="16" t="str">
        <f>IF(Country_4!$C92="","",Country_4!A92)</f>
        <v/>
      </c>
      <c r="B391" s="16" t="str">
        <f>IF(Country_4!$C92="","",Country_4!B92)</f>
        <v/>
      </c>
      <c r="C391" s="16" t="str">
        <f>IF(Country_4!$C92="","",Country_4!C92)</f>
        <v/>
      </c>
      <c r="D391" s="16" t="str">
        <f>IF(Country_4!$C92="","",Country_4!D92)</f>
        <v/>
      </c>
      <c r="E391" s="16" t="str">
        <f>IF(Country_4!$C92="","",Country_4!E92)</f>
        <v/>
      </c>
      <c r="F391" s="16" t="str">
        <f>IF(Country_4!$C92="","",Country_4!F92)</f>
        <v/>
      </c>
      <c r="G391" s="17" t="str">
        <f>IF(Country_4!$C92="","",Country_4!G92)</f>
        <v/>
      </c>
      <c r="H391" s="17" t="str">
        <f>IF(Country_4!$C92="","",Country_4!H92)</f>
        <v/>
      </c>
      <c r="I391" s="16" t="str">
        <f>IF(Country_4!$C92="","",Country_4!I92)</f>
        <v/>
      </c>
      <c r="J391" s="16" t="str">
        <f>IF(Country_4!$C92="","",Country_4!J92)</f>
        <v/>
      </c>
      <c r="K391" s="18" t="str">
        <f>IF(Country_4!$C92="","",Country_4!K92)</f>
        <v/>
      </c>
      <c r="L391" s="18" t="str">
        <f>IF(Country_4!$C92="","",Country_4!L92)</f>
        <v/>
      </c>
      <c r="M391" s="19" t="str">
        <f>IF(Country_4!$C92="","",Country_4!M92)</f>
        <v/>
      </c>
      <c r="N391" s="16" t="str">
        <f>IF(Country_4!$C92="","",Country_4!N92)</f>
        <v/>
      </c>
      <c r="O391" s="16" t="str">
        <f>IF(Country_4!$C92="","",Country_4!O92)</f>
        <v/>
      </c>
      <c r="P391" s="16" t="str">
        <f>IF(Country_4!$C92="","",Country_4!P92)</f>
        <v/>
      </c>
      <c r="Q391" s="16" t="str">
        <f>IF(Country_4!$C92="","",Country_4!Q92)</f>
        <v/>
      </c>
    </row>
    <row r="392" spans="1:17" x14ac:dyDescent="0.25">
      <c r="A392" s="16" t="str">
        <f>IF(Country_4!$C93="","",Country_4!A93)</f>
        <v/>
      </c>
      <c r="B392" s="16" t="str">
        <f>IF(Country_4!$C93="","",Country_4!B93)</f>
        <v/>
      </c>
      <c r="C392" s="16" t="str">
        <f>IF(Country_4!$C93="","",Country_4!C93)</f>
        <v/>
      </c>
      <c r="D392" s="16" t="str">
        <f>IF(Country_4!$C93="","",Country_4!D93)</f>
        <v/>
      </c>
      <c r="E392" s="16" t="str">
        <f>IF(Country_4!$C93="","",Country_4!E93)</f>
        <v/>
      </c>
      <c r="F392" s="16" t="str">
        <f>IF(Country_4!$C93="","",Country_4!F93)</f>
        <v/>
      </c>
      <c r="G392" s="17" t="str">
        <f>IF(Country_4!$C93="","",Country_4!G93)</f>
        <v/>
      </c>
      <c r="H392" s="17" t="str">
        <f>IF(Country_4!$C93="","",Country_4!H93)</f>
        <v/>
      </c>
      <c r="I392" s="16" t="str">
        <f>IF(Country_4!$C93="","",Country_4!I93)</f>
        <v/>
      </c>
      <c r="J392" s="16" t="str">
        <f>IF(Country_4!$C93="","",Country_4!J93)</f>
        <v/>
      </c>
      <c r="K392" s="18" t="str">
        <f>IF(Country_4!$C93="","",Country_4!K93)</f>
        <v/>
      </c>
      <c r="L392" s="18" t="str">
        <f>IF(Country_4!$C93="","",Country_4!L93)</f>
        <v/>
      </c>
      <c r="M392" s="19" t="str">
        <f>IF(Country_4!$C93="","",Country_4!M93)</f>
        <v/>
      </c>
      <c r="N392" s="16" t="str">
        <f>IF(Country_4!$C93="","",Country_4!N93)</f>
        <v/>
      </c>
      <c r="O392" s="16" t="str">
        <f>IF(Country_4!$C93="","",Country_4!O93)</f>
        <v/>
      </c>
      <c r="P392" s="16" t="str">
        <f>IF(Country_4!$C93="","",Country_4!P93)</f>
        <v/>
      </c>
      <c r="Q392" s="16" t="str">
        <f>IF(Country_4!$C93="","",Country_4!Q93)</f>
        <v/>
      </c>
    </row>
    <row r="393" spans="1:17" x14ac:dyDescent="0.25">
      <c r="A393" s="16" t="str">
        <f>IF(Country_4!$C94="","",Country_4!A94)</f>
        <v/>
      </c>
      <c r="B393" s="16" t="str">
        <f>IF(Country_4!$C94="","",Country_4!B94)</f>
        <v/>
      </c>
      <c r="C393" s="16" t="str">
        <f>IF(Country_4!$C94="","",Country_4!C94)</f>
        <v/>
      </c>
      <c r="D393" s="16" t="str">
        <f>IF(Country_4!$C94="","",Country_4!D94)</f>
        <v/>
      </c>
      <c r="E393" s="16" t="str">
        <f>IF(Country_4!$C94="","",Country_4!E94)</f>
        <v/>
      </c>
      <c r="F393" s="16" t="str">
        <f>IF(Country_4!$C94="","",Country_4!F94)</f>
        <v/>
      </c>
      <c r="G393" s="17" t="str">
        <f>IF(Country_4!$C94="","",Country_4!G94)</f>
        <v/>
      </c>
      <c r="H393" s="17" t="str">
        <f>IF(Country_4!$C94="","",Country_4!H94)</f>
        <v/>
      </c>
      <c r="I393" s="16" t="str">
        <f>IF(Country_4!$C94="","",Country_4!I94)</f>
        <v/>
      </c>
      <c r="J393" s="16" t="str">
        <f>IF(Country_4!$C94="","",Country_4!J94)</f>
        <v/>
      </c>
      <c r="K393" s="18" t="str">
        <f>IF(Country_4!$C94="","",Country_4!K94)</f>
        <v/>
      </c>
      <c r="L393" s="18" t="str">
        <f>IF(Country_4!$C94="","",Country_4!L94)</f>
        <v/>
      </c>
      <c r="M393" s="19" t="str">
        <f>IF(Country_4!$C94="","",Country_4!M94)</f>
        <v/>
      </c>
      <c r="N393" s="16" t="str">
        <f>IF(Country_4!$C94="","",Country_4!N94)</f>
        <v/>
      </c>
      <c r="O393" s="16" t="str">
        <f>IF(Country_4!$C94="","",Country_4!O94)</f>
        <v/>
      </c>
      <c r="P393" s="16" t="str">
        <f>IF(Country_4!$C94="","",Country_4!P94)</f>
        <v/>
      </c>
      <c r="Q393" s="16" t="str">
        <f>IF(Country_4!$C94="","",Country_4!Q94)</f>
        <v/>
      </c>
    </row>
    <row r="394" spans="1:17" x14ac:dyDescent="0.25">
      <c r="A394" s="16" t="str">
        <f>IF(Country_4!$C95="","",Country_4!A95)</f>
        <v/>
      </c>
      <c r="B394" s="16" t="str">
        <f>IF(Country_4!$C95="","",Country_4!B95)</f>
        <v/>
      </c>
      <c r="C394" s="16" t="str">
        <f>IF(Country_4!$C95="","",Country_4!C95)</f>
        <v/>
      </c>
      <c r="D394" s="16" t="str">
        <f>IF(Country_4!$C95="","",Country_4!D95)</f>
        <v/>
      </c>
      <c r="E394" s="16" t="str">
        <f>IF(Country_4!$C95="","",Country_4!E95)</f>
        <v/>
      </c>
      <c r="F394" s="16" t="str">
        <f>IF(Country_4!$C95="","",Country_4!F95)</f>
        <v/>
      </c>
      <c r="G394" s="17" t="str">
        <f>IF(Country_4!$C95="","",Country_4!G95)</f>
        <v/>
      </c>
      <c r="H394" s="17" t="str">
        <f>IF(Country_4!$C95="","",Country_4!H95)</f>
        <v/>
      </c>
      <c r="I394" s="16" t="str">
        <f>IF(Country_4!$C95="","",Country_4!I95)</f>
        <v/>
      </c>
      <c r="J394" s="16" t="str">
        <f>IF(Country_4!$C95="","",Country_4!J95)</f>
        <v/>
      </c>
      <c r="K394" s="18" t="str">
        <f>IF(Country_4!$C95="","",Country_4!K95)</f>
        <v/>
      </c>
      <c r="L394" s="18" t="str">
        <f>IF(Country_4!$C95="","",Country_4!L95)</f>
        <v/>
      </c>
      <c r="M394" s="19" t="str">
        <f>IF(Country_4!$C95="","",Country_4!M95)</f>
        <v/>
      </c>
      <c r="N394" s="16" t="str">
        <f>IF(Country_4!$C95="","",Country_4!N95)</f>
        <v/>
      </c>
      <c r="O394" s="16" t="str">
        <f>IF(Country_4!$C95="","",Country_4!O95)</f>
        <v/>
      </c>
      <c r="P394" s="16" t="str">
        <f>IF(Country_4!$C95="","",Country_4!P95)</f>
        <v/>
      </c>
      <c r="Q394" s="16" t="str">
        <f>IF(Country_4!$C95="","",Country_4!Q95)</f>
        <v/>
      </c>
    </row>
    <row r="395" spans="1:17" x14ac:dyDescent="0.25">
      <c r="A395" s="16" t="str">
        <f>IF(Country_4!$C96="","",Country_4!A96)</f>
        <v/>
      </c>
      <c r="B395" s="16" t="str">
        <f>IF(Country_4!$C96="","",Country_4!B96)</f>
        <v/>
      </c>
      <c r="C395" s="16" t="str">
        <f>IF(Country_4!$C96="","",Country_4!C96)</f>
        <v/>
      </c>
      <c r="D395" s="16" t="str">
        <f>IF(Country_4!$C96="","",Country_4!D96)</f>
        <v/>
      </c>
      <c r="E395" s="16" t="str">
        <f>IF(Country_4!$C96="","",Country_4!E96)</f>
        <v/>
      </c>
      <c r="F395" s="16" t="str">
        <f>IF(Country_4!$C96="","",Country_4!F96)</f>
        <v/>
      </c>
      <c r="G395" s="17" t="str">
        <f>IF(Country_4!$C96="","",Country_4!G96)</f>
        <v/>
      </c>
      <c r="H395" s="17" t="str">
        <f>IF(Country_4!$C96="","",Country_4!H96)</f>
        <v/>
      </c>
      <c r="I395" s="16" t="str">
        <f>IF(Country_4!$C96="","",Country_4!I96)</f>
        <v/>
      </c>
      <c r="J395" s="16" t="str">
        <f>IF(Country_4!$C96="","",Country_4!J96)</f>
        <v/>
      </c>
      <c r="K395" s="18" t="str">
        <f>IF(Country_4!$C96="","",Country_4!K96)</f>
        <v/>
      </c>
      <c r="L395" s="18" t="str">
        <f>IF(Country_4!$C96="","",Country_4!L96)</f>
        <v/>
      </c>
      <c r="M395" s="19" t="str">
        <f>IF(Country_4!$C96="","",Country_4!M96)</f>
        <v/>
      </c>
      <c r="N395" s="16" t="str">
        <f>IF(Country_4!$C96="","",Country_4!N96)</f>
        <v/>
      </c>
      <c r="O395" s="16" t="str">
        <f>IF(Country_4!$C96="","",Country_4!O96)</f>
        <v/>
      </c>
      <c r="P395" s="16" t="str">
        <f>IF(Country_4!$C96="","",Country_4!P96)</f>
        <v/>
      </c>
      <c r="Q395" s="16" t="str">
        <f>IF(Country_4!$C96="","",Country_4!Q96)</f>
        <v/>
      </c>
    </row>
    <row r="396" spans="1:17" x14ac:dyDescent="0.25">
      <c r="A396" s="16" t="str">
        <f>IF(Country_4!$C97="","",Country_4!A97)</f>
        <v/>
      </c>
      <c r="B396" s="16" t="str">
        <f>IF(Country_4!$C97="","",Country_4!B97)</f>
        <v/>
      </c>
      <c r="C396" s="16" t="str">
        <f>IF(Country_4!$C97="","",Country_4!C97)</f>
        <v/>
      </c>
      <c r="D396" s="16" t="str">
        <f>IF(Country_4!$C97="","",Country_4!D97)</f>
        <v/>
      </c>
      <c r="E396" s="16" t="str">
        <f>IF(Country_4!$C97="","",Country_4!E97)</f>
        <v/>
      </c>
      <c r="F396" s="16" t="str">
        <f>IF(Country_4!$C97="","",Country_4!F97)</f>
        <v/>
      </c>
      <c r="G396" s="17" t="str">
        <f>IF(Country_4!$C97="","",Country_4!G97)</f>
        <v/>
      </c>
      <c r="H396" s="17" t="str">
        <f>IF(Country_4!$C97="","",Country_4!H97)</f>
        <v/>
      </c>
      <c r="I396" s="16" t="str">
        <f>IF(Country_4!$C97="","",Country_4!I97)</f>
        <v/>
      </c>
      <c r="J396" s="16" t="str">
        <f>IF(Country_4!$C97="","",Country_4!J97)</f>
        <v/>
      </c>
      <c r="K396" s="18" t="str">
        <f>IF(Country_4!$C97="","",Country_4!K97)</f>
        <v/>
      </c>
      <c r="L396" s="18" t="str">
        <f>IF(Country_4!$C97="","",Country_4!L97)</f>
        <v/>
      </c>
      <c r="M396" s="19" t="str">
        <f>IF(Country_4!$C97="","",Country_4!M97)</f>
        <v/>
      </c>
      <c r="N396" s="16" t="str">
        <f>IF(Country_4!$C97="","",Country_4!N97)</f>
        <v/>
      </c>
      <c r="O396" s="16" t="str">
        <f>IF(Country_4!$C97="","",Country_4!O97)</f>
        <v/>
      </c>
      <c r="P396" s="16" t="str">
        <f>IF(Country_4!$C97="","",Country_4!P97)</f>
        <v/>
      </c>
      <c r="Q396" s="16" t="str">
        <f>IF(Country_4!$C97="","",Country_4!Q97)</f>
        <v/>
      </c>
    </row>
    <row r="397" spans="1:17" x14ac:dyDescent="0.25">
      <c r="A397" s="16" t="str">
        <f>IF(Country_4!$C98="","",Country_4!A98)</f>
        <v/>
      </c>
      <c r="B397" s="16" t="str">
        <f>IF(Country_4!$C98="","",Country_4!B98)</f>
        <v/>
      </c>
      <c r="C397" s="16" t="str">
        <f>IF(Country_4!$C98="","",Country_4!C98)</f>
        <v/>
      </c>
      <c r="D397" s="16" t="str">
        <f>IF(Country_4!$C98="","",Country_4!D98)</f>
        <v/>
      </c>
      <c r="E397" s="16" t="str">
        <f>IF(Country_4!$C98="","",Country_4!E98)</f>
        <v/>
      </c>
      <c r="F397" s="16" t="str">
        <f>IF(Country_4!$C98="","",Country_4!F98)</f>
        <v/>
      </c>
      <c r="G397" s="17" t="str">
        <f>IF(Country_4!$C98="","",Country_4!G98)</f>
        <v/>
      </c>
      <c r="H397" s="17" t="str">
        <f>IF(Country_4!$C98="","",Country_4!H98)</f>
        <v/>
      </c>
      <c r="I397" s="16" t="str">
        <f>IF(Country_4!$C98="","",Country_4!I98)</f>
        <v/>
      </c>
      <c r="J397" s="16" t="str">
        <f>IF(Country_4!$C98="","",Country_4!J98)</f>
        <v/>
      </c>
      <c r="K397" s="18" t="str">
        <f>IF(Country_4!$C98="","",Country_4!K98)</f>
        <v/>
      </c>
      <c r="L397" s="18" t="str">
        <f>IF(Country_4!$C98="","",Country_4!L98)</f>
        <v/>
      </c>
      <c r="M397" s="19" t="str">
        <f>IF(Country_4!$C98="","",Country_4!M98)</f>
        <v/>
      </c>
      <c r="N397" s="16" t="str">
        <f>IF(Country_4!$C98="","",Country_4!N98)</f>
        <v/>
      </c>
      <c r="O397" s="16" t="str">
        <f>IF(Country_4!$C98="","",Country_4!O98)</f>
        <v/>
      </c>
      <c r="P397" s="16" t="str">
        <f>IF(Country_4!$C98="","",Country_4!P98)</f>
        <v/>
      </c>
      <c r="Q397" s="16" t="str">
        <f>IF(Country_4!$C98="","",Country_4!Q98)</f>
        <v/>
      </c>
    </row>
    <row r="398" spans="1:17" x14ac:dyDescent="0.25">
      <c r="A398" s="16" t="str">
        <f>IF(Country_4!$C99="","",Country_4!A99)</f>
        <v/>
      </c>
      <c r="B398" s="16" t="str">
        <f>IF(Country_4!$C99="","",Country_4!B99)</f>
        <v/>
      </c>
      <c r="C398" s="16" t="str">
        <f>IF(Country_4!$C99="","",Country_4!C99)</f>
        <v/>
      </c>
      <c r="D398" s="16" t="str">
        <f>IF(Country_4!$C99="","",Country_4!D99)</f>
        <v/>
      </c>
      <c r="E398" s="16" t="str">
        <f>IF(Country_4!$C99="","",Country_4!E99)</f>
        <v/>
      </c>
      <c r="F398" s="16" t="str">
        <f>IF(Country_4!$C99="","",Country_4!F99)</f>
        <v/>
      </c>
      <c r="G398" s="17" t="str">
        <f>IF(Country_4!$C99="","",Country_4!G99)</f>
        <v/>
      </c>
      <c r="H398" s="17" t="str">
        <f>IF(Country_4!$C99="","",Country_4!H99)</f>
        <v/>
      </c>
      <c r="I398" s="16" t="str">
        <f>IF(Country_4!$C99="","",Country_4!I99)</f>
        <v/>
      </c>
      <c r="J398" s="16" t="str">
        <f>IF(Country_4!$C99="","",Country_4!J99)</f>
        <v/>
      </c>
      <c r="K398" s="18" t="str">
        <f>IF(Country_4!$C99="","",Country_4!K99)</f>
        <v/>
      </c>
      <c r="L398" s="18" t="str">
        <f>IF(Country_4!$C99="","",Country_4!L99)</f>
        <v/>
      </c>
      <c r="M398" s="19" t="str">
        <f>IF(Country_4!$C99="","",Country_4!M99)</f>
        <v/>
      </c>
      <c r="N398" s="16" t="str">
        <f>IF(Country_4!$C99="","",Country_4!N99)</f>
        <v/>
      </c>
      <c r="O398" s="16" t="str">
        <f>IF(Country_4!$C99="","",Country_4!O99)</f>
        <v/>
      </c>
      <c r="P398" s="16" t="str">
        <f>IF(Country_4!$C99="","",Country_4!P99)</f>
        <v/>
      </c>
      <c r="Q398" s="16" t="str">
        <f>IF(Country_4!$C99="","",Country_4!Q99)</f>
        <v/>
      </c>
    </row>
    <row r="399" spans="1:17" x14ac:dyDescent="0.25">
      <c r="A399" s="16" t="str">
        <f>IF(Country_4!$C100="","",Country_4!A100)</f>
        <v/>
      </c>
      <c r="B399" s="16" t="str">
        <f>IF(Country_4!$C100="","",Country_4!B100)</f>
        <v/>
      </c>
      <c r="C399" s="16" t="str">
        <f>IF(Country_4!$C100="","",Country_4!C100)</f>
        <v/>
      </c>
      <c r="D399" s="16" t="str">
        <f>IF(Country_4!$C100="","",Country_4!D100)</f>
        <v/>
      </c>
      <c r="E399" s="16" t="str">
        <f>IF(Country_4!$C100="","",Country_4!E100)</f>
        <v/>
      </c>
      <c r="F399" s="16" t="str">
        <f>IF(Country_4!$C100="","",Country_4!F100)</f>
        <v/>
      </c>
      <c r="G399" s="17" t="str">
        <f>IF(Country_4!$C100="","",Country_4!G100)</f>
        <v/>
      </c>
      <c r="H399" s="17" t="str">
        <f>IF(Country_4!$C100="","",Country_4!H100)</f>
        <v/>
      </c>
      <c r="I399" s="16" t="str">
        <f>IF(Country_4!$C100="","",Country_4!I100)</f>
        <v/>
      </c>
      <c r="J399" s="16" t="str">
        <f>IF(Country_4!$C100="","",Country_4!J100)</f>
        <v/>
      </c>
      <c r="K399" s="18" t="str">
        <f>IF(Country_4!$C100="","",Country_4!K100)</f>
        <v/>
      </c>
      <c r="L399" s="18" t="str">
        <f>IF(Country_4!$C100="","",Country_4!L100)</f>
        <v/>
      </c>
      <c r="M399" s="19" t="str">
        <f>IF(Country_4!$C100="","",Country_4!M100)</f>
        <v/>
      </c>
      <c r="N399" s="16" t="str">
        <f>IF(Country_4!$C100="","",Country_4!N100)</f>
        <v/>
      </c>
      <c r="O399" s="16" t="str">
        <f>IF(Country_4!$C100="","",Country_4!O100)</f>
        <v/>
      </c>
      <c r="P399" s="16" t="str">
        <f>IF(Country_4!$C100="","",Country_4!P100)</f>
        <v/>
      </c>
      <c r="Q399" s="16" t="str">
        <f>IF(Country_4!$C100="","",Country_4!Q100)</f>
        <v/>
      </c>
    </row>
    <row r="400" spans="1:17" x14ac:dyDescent="0.25">
      <c r="A400" s="16" t="str">
        <f>IF(Country_4!$C101="","",Country_4!A101)</f>
        <v/>
      </c>
      <c r="B400" s="16" t="str">
        <f>IF(Country_4!$C101="","",Country_4!B101)</f>
        <v/>
      </c>
      <c r="C400" s="16" t="str">
        <f>IF(Country_4!$C101="","",Country_4!C101)</f>
        <v/>
      </c>
      <c r="D400" s="16" t="str">
        <f>IF(Country_4!$C101="","",Country_4!D101)</f>
        <v/>
      </c>
      <c r="E400" s="16" t="str">
        <f>IF(Country_4!$C101="","",Country_4!E101)</f>
        <v/>
      </c>
      <c r="F400" s="16" t="str">
        <f>IF(Country_4!$C101="","",Country_4!F101)</f>
        <v/>
      </c>
      <c r="G400" s="17" t="str">
        <f>IF(Country_4!$C101="","",Country_4!G101)</f>
        <v/>
      </c>
      <c r="H400" s="17" t="str">
        <f>IF(Country_4!$C101="","",Country_4!H101)</f>
        <v/>
      </c>
      <c r="I400" s="16" t="str">
        <f>IF(Country_4!$C101="","",Country_4!I101)</f>
        <v/>
      </c>
      <c r="J400" s="16" t="str">
        <f>IF(Country_4!$C101="","",Country_4!J101)</f>
        <v/>
      </c>
      <c r="K400" s="18" t="str">
        <f>IF(Country_4!$C101="","",Country_4!K101)</f>
        <v/>
      </c>
      <c r="L400" s="18" t="str">
        <f>IF(Country_4!$C101="","",Country_4!L101)</f>
        <v/>
      </c>
      <c r="M400" s="19" t="str">
        <f>IF(Country_4!$C101="","",Country_4!M101)</f>
        <v/>
      </c>
      <c r="N400" s="16" t="str">
        <f>IF(Country_4!$C101="","",Country_4!N101)</f>
        <v/>
      </c>
      <c r="O400" s="16" t="str">
        <f>IF(Country_4!$C101="","",Country_4!O101)</f>
        <v/>
      </c>
      <c r="P400" s="16" t="str">
        <f>IF(Country_4!$C101="","",Country_4!P101)</f>
        <v/>
      </c>
      <c r="Q400" s="16" t="str">
        <f>IF(Country_4!$C101="","",Country_4!Q101)</f>
        <v/>
      </c>
    </row>
    <row r="401" spans="1:17" x14ac:dyDescent="0.25">
      <c r="A401" s="16" t="str">
        <f>IF(Country_4!$C102="","",Country_4!A102)</f>
        <v/>
      </c>
      <c r="B401" s="16" t="str">
        <f>IF(Country_4!$C102="","",Country_4!B102)</f>
        <v/>
      </c>
      <c r="C401" s="16" t="str">
        <f>IF(Country_4!$C102="","",Country_4!C102)</f>
        <v/>
      </c>
      <c r="D401" s="16" t="str">
        <f>IF(Country_4!$C102="","",Country_4!D102)</f>
        <v/>
      </c>
      <c r="E401" s="16" t="str">
        <f>IF(Country_4!$C102="","",Country_4!E102)</f>
        <v/>
      </c>
      <c r="F401" s="16" t="str">
        <f>IF(Country_4!$C102="","",Country_4!F102)</f>
        <v/>
      </c>
      <c r="G401" s="17" t="str">
        <f>IF(Country_4!$C102="","",Country_4!G102)</f>
        <v/>
      </c>
      <c r="H401" s="17" t="str">
        <f>IF(Country_4!$C102="","",Country_4!H102)</f>
        <v/>
      </c>
      <c r="I401" s="16" t="str">
        <f>IF(Country_4!$C102="","",Country_4!I102)</f>
        <v/>
      </c>
      <c r="J401" s="16" t="str">
        <f>IF(Country_4!$C102="","",Country_4!J102)</f>
        <v/>
      </c>
      <c r="K401" s="18" t="str">
        <f>IF(Country_4!$C102="","",Country_4!K102)</f>
        <v/>
      </c>
      <c r="L401" s="18" t="str">
        <f>IF(Country_4!$C102="","",Country_4!L102)</f>
        <v/>
      </c>
      <c r="M401" s="19" t="str">
        <f>IF(Country_4!$C102="","",Country_4!M102)</f>
        <v/>
      </c>
      <c r="N401" s="16" t="str">
        <f>IF(Country_4!$C102="","",Country_4!N102)</f>
        <v/>
      </c>
      <c r="O401" s="16" t="str">
        <f>IF(Country_4!$C102="","",Country_4!O102)</f>
        <v/>
      </c>
      <c r="P401" s="16" t="str">
        <f>IF(Country_4!$C102="","",Country_4!P102)</f>
        <v/>
      </c>
      <c r="Q401" s="16" t="str">
        <f>IF(Country_4!$C102="","",Country_4!Q102)</f>
        <v/>
      </c>
    </row>
    <row r="402" spans="1:17" x14ac:dyDescent="0.25">
      <c r="A402" s="16" t="str">
        <f>IF(Country_5!$C3="","",Country_5!A3)</f>
        <v>OI-101</v>
      </c>
      <c r="B402" s="16" t="str">
        <f>IF(Country_5!$C3="","",Country_5!B3)</f>
        <v>People trained in targeted skills</v>
      </c>
      <c r="C402" s="16" t="str">
        <f>IF(Country_5!$C3="","",Country_5!C3)</f>
        <v>C5A001</v>
      </c>
      <c r="D402" s="16" t="str">
        <f>IF(Country_5!$C3="","",Country_5!D3)</f>
        <v>Training workshop 1</v>
      </c>
      <c r="E402" s="16" t="str">
        <f>IF(Country_5!$C3="","",Country_5!E3)</f>
        <v>Training</v>
      </c>
      <c r="F402" s="16" t="str">
        <f>IF(Country_5!$C3="","",Country_5!F3)</f>
        <v>Country_5</v>
      </c>
      <c r="G402" s="17">
        <f>IF(Country_5!$C3="","",Country_5!G3)</f>
        <v>45292</v>
      </c>
      <c r="H402" s="17">
        <f>IF(Country_5!$C3="","",Country_5!H3)</f>
        <v>45382</v>
      </c>
      <c r="I402" s="16" t="str">
        <f>IF(Country_5!$C3="","",Country_5!I3)</f>
        <v>Year 1</v>
      </c>
      <c r="J402" s="16" t="str">
        <f>IF(Country_5!$C3="","",Country_5!J3)</f>
        <v>Y1Q1</v>
      </c>
      <c r="K402" s="18">
        <f>IF(Country_5!$C3="","",Country_5!K3)</f>
        <v>70</v>
      </c>
      <c r="L402" s="18">
        <f>IF(Country_5!$C3="","",Country_5!L3)</f>
        <v>71</v>
      </c>
      <c r="M402" s="19">
        <f>IF(Country_5!$C3="","",Country_5!M3)</f>
        <v>1.0142857142857142</v>
      </c>
      <c r="N402" s="16" t="str">
        <f>IF(Country_5!$C3="","",Country_5!N3)</f>
        <v>Signed attendance sheet; pre/post test forms</v>
      </c>
      <c r="O402" s="16" t="str">
        <f>IF(Country_5!$C3="","",Country_5!O3)</f>
        <v>Yes</v>
      </c>
      <c r="P402" s="16" t="str">
        <f>IF(Country_5!$C3="","",Country_5!P3)</f>
        <v>Completed</v>
      </c>
      <c r="Q402" s="16" t="str">
        <f>IF(Country_5!$C3="","",Country_5!Q3)</f>
        <v>Completed as scheduled.</v>
      </c>
    </row>
    <row r="403" spans="1:17" x14ac:dyDescent="0.25">
      <c r="A403" s="16" t="str">
        <f>IF(Country_5!$C4="","",Country_5!A4)</f>
        <v>OI-102</v>
      </c>
      <c r="B403" s="16" t="str">
        <f>IF(Country_5!$C4="","",Country_5!B4)</f>
        <v>Community outreach events delivered</v>
      </c>
      <c r="C403" s="16" t="str">
        <f>IF(Country_5!$C4="","",Country_5!C4)</f>
        <v>C5A002</v>
      </c>
      <c r="D403" s="16" t="str">
        <f>IF(Country_5!$C4="","",Country_5!D4)</f>
        <v>Community outreach campaign 2</v>
      </c>
      <c r="E403" s="16" t="str">
        <f>IF(Country_5!$C4="","",Country_5!E4)</f>
        <v>Outreach</v>
      </c>
      <c r="F403" s="16" t="str">
        <f>IF(Country_5!$C4="","",Country_5!F4)</f>
        <v>Country_5</v>
      </c>
      <c r="G403" s="17">
        <f>IF(Country_5!$C4="","",Country_5!G4)</f>
        <v>45383</v>
      </c>
      <c r="H403" s="17">
        <f>IF(Country_5!$C4="","",Country_5!H4)</f>
        <v>45473</v>
      </c>
      <c r="I403" s="16" t="str">
        <f>IF(Country_5!$C4="","",Country_5!I4)</f>
        <v>Year 1</v>
      </c>
      <c r="J403" s="16" t="str">
        <f>IF(Country_5!$C4="","",Country_5!J4)</f>
        <v>Y1Q2</v>
      </c>
      <c r="K403" s="18">
        <f>IF(Country_5!$C4="","",Country_5!K4)</f>
        <v>75</v>
      </c>
      <c r="L403" s="18">
        <f>IF(Country_5!$C4="","",Country_5!L4)</f>
        <v>72</v>
      </c>
      <c r="M403" s="19">
        <f>IF(Country_5!$C4="","",Country_5!M4)</f>
        <v>0.96</v>
      </c>
      <c r="N403" s="16" t="str">
        <f>IF(Country_5!$C4="","",Country_5!N4)</f>
        <v>Activity report; photo log</v>
      </c>
      <c r="O403" s="16" t="str">
        <f>IF(Country_5!$C4="","",Country_5!O4)</f>
        <v>No</v>
      </c>
      <c r="P403" s="16" t="str">
        <f>IF(Country_5!$C4="","",Country_5!P4)</f>
        <v>In progress</v>
      </c>
      <c r="Q403" s="16" t="str">
        <f>IF(Country_5!$C4="","",Country_5!Q4)</f>
        <v>Final attendance reconciliation pending.</v>
      </c>
    </row>
    <row r="404" spans="1:17" x14ac:dyDescent="0.25">
      <c r="A404" s="16" t="str">
        <f>IF(Country_5!$C5="","",Country_5!A5)</f>
        <v>OI-103</v>
      </c>
      <c r="B404" s="16" t="str">
        <f>IF(Country_5!$C5="","",Country_5!B5)</f>
        <v>Supportive supervision visits conducted</v>
      </c>
      <c r="C404" s="16" t="str">
        <f>IF(Country_5!$C5="","",Country_5!C5)</f>
        <v>C5A003</v>
      </c>
      <c r="D404" s="16" t="str">
        <f>IF(Country_5!$C5="","",Country_5!D5)</f>
        <v>Supportive supervision visit 3</v>
      </c>
      <c r="E404" s="16" t="str">
        <f>IF(Country_5!$C5="","",Country_5!E5)</f>
        <v>Monitoring</v>
      </c>
      <c r="F404" s="16" t="str">
        <f>IF(Country_5!$C5="","",Country_5!F5)</f>
        <v>Country_5</v>
      </c>
      <c r="G404" s="17">
        <f>IF(Country_5!$C5="","",Country_5!G5)</f>
        <v>45474</v>
      </c>
      <c r="H404" s="17">
        <f>IF(Country_5!$C5="","",Country_5!H5)</f>
        <v>45565</v>
      </c>
      <c r="I404" s="16" t="str">
        <f>IF(Country_5!$C5="","",Country_5!I5)</f>
        <v>Year 1</v>
      </c>
      <c r="J404" s="16" t="str">
        <f>IF(Country_5!$C5="","",Country_5!J5)</f>
        <v>Y1Q3</v>
      </c>
      <c r="K404" s="18">
        <f>IF(Country_5!$C5="","",Country_5!K5)</f>
        <v>30</v>
      </c>
      <c r="L404" s="18">
        <f>IF(Country_5!$C5="","",Country_5!L5)</f>
        <v>23</v>
      </c>
      <c r="M404" s="19">
        <f>IF(Country_5!$C5="","",Country_5!M5)</f>
        <v>0.76666666666666672</v>
      </c>
      <c r="N404" s="16" t="str">
        <f>IF(Country_5!$C5="","",Country_5!N5)</f>
        <v>Supervision checklist; visit report</v>
      </c>
      <c r="O404" s="16" t="str">
        <f>IF(Country_5!$C5="","",Country_5!O5)</f>
        <v>No</v>
      </c>
      <c r="P404" s="16" t="str">
        <f>IF(Country_5!$C5="","",Country_5!P5)</f>
        <v>In progress</v>
      </c>
      <c r="Q404" s="16" t="str">
        <f>IF(Country_5!$C5="","",Country_5!Q5)</f>
        <v>Final attendance reconciliation pending.</v>
      </c>
    </row>
    <row r="405" spans="1:17" x14ac:dyDescent="0.25">
      <c r="A405" s="16" t="str">
        <f>IF(Country_5!$C6="","",Country_5!A6)</f>
        <v>OI-104</v>
      </c>
      <c r="B405" s="16" t="str">
        <f>IF(Country_5!$C6="","",Country_5!B6)</f>
        <v>Policy dialogues facilitated</v>
      </c>
      <c r="C405" s="16" t="str">
        <f>IF(Country_5!$C6="","",Country_5!C6)</f>
        <v>C5A004</v>
      </c>
      <c r="D405" s="16" t="str">
        <f>IF(Country_5!$C6="","",Country_5!D6)</f>
        <v>Policy dialogue 4</v>
      </c>
      <c r="E405" s="16" t="str">
        <f>IF(Country_5!$C6="","",Country_5!E6)</f>
        <v>Advocacy</v>
      </c>
      <c r="F405" s="16" t="str">
        <f>IF(Country_5!$C6="","",Country_5!F6)</f>
        <v>Country_5</v>
      </c>
      <c r="G405" s="17">
        <f>IF(Country_5!$C6="","",Country_5!G6)</f>
        <v>45566</v>
      </c>
      <c r="H405" s="17">
        <f>IF(Country_5!$C6="","",Country_5!H6)</f>
        <v>45657</v>
      </c>
      <c r="I405" s="16" t="str">
        <f>IF(Country_5!$C6="","",Country_5!I6)</f>
        <v>Year 1</v>
      </c>
      <c r="J405" s="16" t="str">
        <f>IF(Country_5!$C6="","",Country_5!J6)</f>
        <v>Y1Q4</v>
      </c>
      <c r="K405" s="18">
        <f>IF(Country_5!$C6="","",Country_5!K6)</f>
        <v>35</v>
      </c>
      <c r="L405" s="18">
        <f>IF(Country_5!$C6="","",Country_5!L6)</f>
        <v>45</v>
      </c>
      <c r="M405" s="19">
        <f>IF(Country_5!$C6="","",Country_5!M6)</f>
        <v>1.2857142857142858</v>
      </c>
      <c r="N405" s="16" t="str">
        <f>IF(Country_5!$C6="","",Country_5!N6)</f>
        <v>Meeting minutes; participant list</v>
      </c>
      <c r="O405" s="16" t="str">
        <f>IF(Country_5!$C6="","",Country_5!O6)</f>
        <v>Yes</v>
      </c>
      <c r="P405" s="16" t="str">
        <f>IF(Country_5!$C6="","",Country_5!P6)</f>
        <v>Completed</v>
      </c>
      <c r="Q405" s="16" t="str">
        <f>IF(Country_5!$C6="","",Country_5!Q6)</f>
        <v>Completed as scheduled.</v>
      </c>
    </row>
    <row r="406" spans="1:17" x14ac:dyDescent="0.25">
      <c r="A406" s="16" t="str">
        <f>IF(Country_5!$C7="","",Country_5!A7)</f>
        <v>OI-101</v>
      </c>
      <c r="B406" s="16" t="str">
        <f>IF(Country_5!$C7="","",Country_5!B7)</f>
        <v>People trained in targeted skills</v>
      </c>
      <c r="C406" s="16" t="str">
        <f>IF(Country_5!$C7="","",Country_5!C7)</f>
        <v>C5A005</v>
      </c>
      <c r="D406" s="16" t="str">
        <f>IF(Country_5!$C7="","",Country_5!D7)</f>
        <v>Training workshop 5</v>
      </c>
      <c r="E406" s="16" t="str">
        <f>IF(Country_5!$C7="","",Country_5!E7)</f>
        <v>Training</v>
      </c>
      <c r="F406" s="16" t="str">
        <f>IF(Country_5!$C7="","",Country_5!F7)</f>
        <v>Country_5</v>
      </c>
      <c r="G406" s="17">
        <f>IF(Country_5!$C7="","",Country_5!G7)</f>
        <v>45658</v>
      </c>
      <c r="H406" s="17">
        <f>IF(Country_5!$C7="","",Country_5!H7)</f>
        <v>45747</v>
      </c>
      <c r="I406" s="16" t="str">
        <f>IF(Country_5!$C7="","",Country_5!I7)</f>
        <v>Year 2</v>
      </c>
      <c r="J406" s="16" t="str">
        <f>IF(Country_5!$C7="","",Country_5!J7)</f>
        <v>Y2Q1</v>
      </c>
      <c r="K406" s="18">
        <f>IF(Country_5!$C7="","",Country_5!K7)</f>
        <v>40</v>
      </c>
      <c r="L406" s="18">
        <f>IF(Country_5!$C7="","",Country_5!L7)</f>
        <v>46</v>
      </c>
      <c r="M406" s="19">
        <f>IF(Country_5!$C7="","",Country_5!M7)</f>
        <v>1.1499999999999999</v>
      </c>
      <c r="N406" s="16" t="str">
        <f>IF(Country_5!$C7="","",Country_5!N7)</f>
        <v>Signed attendance sheet; pre/post test forms</v>
      </c>
      <c r="O406" s="16" t="str">
        <f>IF(Country_5!$C7="","",Country_5!O7)</f>
        <v>No</v>
      </c>
      <c r="P406" s="16" t="str">
        <f>IF(Country_5!$C7="","",Country_5!P7)</f>
        <v>Completed</v>
      </c>
      <c r="Q406" s="16" t="str">
        <f>IF(Country_5!$C7="","",Country_5!Q7)</f>
        <v>Completed as scheduled.</v>
      </c>
    </row>
    <row r="407" spans="1:17" x14ac:dyDescent="0.25">
      <c r="A407" s="16" t="str">
        <f>IF(Country_5!$C8="","",Country_5!A8)</f>
        <v>OI-102</v>
      </c>
      <c r="B407" s="16" t="str">
        <f>IF(Country_5!$C8="","",Country_5!B8)</f>
        <v>Community outreach events delivered</v>
      </c>
      <c r="C407" s="16" t="str">
        <f>IF(Country_5!$C8="","",Country_5!C8)</f>
        <v>C5A006</v>
      </c>
      <c r="D407" s="16" t="str">
        <f>IF(Country_5!$C8="","",Country_5!D8)</f>
        <v>Community outreach campaign 6</v>
      </c>
      <c r="E407" s="16" t="str">
        <f>IF(Country_5!$C8="","",Country_5!E8)</f>
        <v>Outreach</v>
      </c>
      <c r="F407" s="16" t="str">
        <f>IF(Country_5!$C8="","",Country_5!F8)</f>
        <v>Country_5</v>
      </c>
      <c r="G407" s="17">
        <f>IF(Country_5!$C8="","",Country_5!G8)</f>
        <v>45748</v>
      </c>
      <c r="H407" s="17">
        <f>IF(Country_5!$C8="","",Country_5!H8)</f>
        <v>45838</v>
      </c>
      <c r="I407" s="16" t="str">
        <f>IF(Country_5!$C8="","",Country_5!I8)</f>
        <v>Year 2</v>
      </c>
      <c r="J407" s="16" t="str">
        <f>IF(Country_5!$C8="","",Country_5!J8)</f>
        <v>Y2Q2</v>
      </c>
      <c r="K407" s="18">
        <f>IF(Country_5!$C8="","",Country_5!K8)</f>
        <v>45</v>
      </c>
      <c r="L407" s="18">
        <f>IF(Country_5!$C8="","",Country_5!L8)</f>
        <v>47</v>
      </c>
      <c r="M407" s="19">
        <f>IF(Country_5!$C8="","",Country_5!M8)</f>
        <v>1.0444444444444445</v>
      </c>
      <c r="N407" s="16" t="str">
        <f>IF(Country_5!$C8="","",Country_5!N8)</f>
        <v>Activity report; photo log</v>
      </c>
      <c r="O407" s="16" t="str">
        <f>IF(Country_5!$C8="","",Country_5!O8)</f>
        <v>No</v>
      </c>
      <c r="P407" s="16" t="str">
        <f>IF(Country_5!$C8="","",Country_5!P8)</f>
        <v>Completed</v>
      </c>
      <c r="Q407" s="16" t="str">
        <f>IF(Country_5!$C8="","",Country_5!Q8)</f>
        <v>Completed as scheduled.</v>
      </c>
    </row>
    <row r="408" spans="1:17" x14ac:dyDescent="0.25">
      <c r="A408" s="16" t="str">
        <f>IF(Country_5!$C9="","",Country_5!A9)</f>
        <v/>
      </c>
      <c r="B408" s="16" t="str">
        <f>IF(Country_5!$C9="","",Country_5!B9)</f>
        <v/>
      </c>
      <c r="C408" s="16" t="str">
        <f>IF(Country_5!$C9="","",Country_5!C9)</f>
        <v/>
      </c>
      <c r="D408" s="16" t="str">
        <f>IF(Country_5!$C9="","",Country_5!D9)</f>
        <v/>
      </c>
      <c r="E408" s="16" t="str">
        <f>IF(Country_5!$C9="","",Country_5!E9)</f>
        <v/>
      </c>
      <c r="F408" s="16" t="str">
        <f>IF(Country_5!$C9="","",Country_5!F9)</f>
        <v/>
      </c>
      <c r="G408" s="17" t="str">
        <f>IF(Country_5!$C9="","",Country_5!G9)</f>
        <v/>
      </c>
      <c r="H408" s="17" t="str">
        <f>IF(Country_5!$C9="","",Country_5!H9)</f>
        <v/>
      </c>
      <c r="I408" s="16" t="str">
        <f>IF(Country_5!$C9="","",Country_5!I9)</f>
        <v/>
      </c>
      <c r="J408" s="16" t="str">
        <f>IF(Country_5!$C9="","",Country_5!J9)</f>
        <v/>
      </c>
      <c r="K408" s="18" t="str">
        <f>IF(Country_5!$C9="","",Country_5!K9)</f>
        <v/>
      </c>
      <c r="L408" s="18" t="str">
        <f>IF(Country_5!$C9="","",Country_5!L9)</f>
        <v/>
      </c>
      <c r="M408" s="19" t="str">
        <f>IF(Country_5!$C9="","",Country_5!M9)</f>
        <v/>
      </c>
      <c r="N408" s="16" t="str">
        <f>IF(Country_5!$C9="","",Country_5!N9)</f>
        <v/>
      </c>
      <c r="O408" s="16" t="str">
        <f>IF(Country_5!$C9="","",Country_5!O9)</f>
        <v/>
      </c>
      <c r="P408" s="16" t="str">
        <f>IF(Country_5!$C9="","",Country_5!P9)</f>
        <v/>
      </c>
      <c r="Q408" s="16" t="str">
        <f>IF(Country_5!$C9="","",Country_5!Q9)</f>
        <v/>
      </c>
    </row>
    <row r="409" spans="1:17" x14ac:dyDescent="0.25">
      <c r="A409" s="16" t="str">
        <f>IF(Country_5!$C10="","",Country_5!A10)</f>
        <v/>
      </c>
      <c r="B409" s="16" t="str">
        <f>IF(Country_5!$C10="","",Country_5!B10)</f>
        <v/>
      </c>
      <c r="C409" s="16" t="str">
        <f>IF(Country_5!$C10="","",Country_5!C10)</f>
        <v/>
      </c>
      <c r="D409" s="16" t="str">
        <f>IF(Country_5!$C10="","",Country_5!D10)</f>
        <v/>
      </c>
      <c r="E409" s="16" t="str">
        <f>IF(Country_5!$C10="","",Country_5!E10)</f>
        <v/>
      </c>
      <c r="F409" s="16" t="str">
        <f>IF(Country_5!$C10="","",Country_5!F10)</f>
        <v/>
      </c>
      <c r="G409" s="17" t="str">
        <f>IF(Country_5!$C10="","",Country_5!G10)</f>
        <v/>
      </c>
      <c r="H409" s="17" t="str">
        <f>IF(Country_5!$C10="","",Country_5!H10)</f>
        <v/>
      </c>
      <c r="I409" s="16" t="str">
        <f>IF(Country_5!$C10="","",Country_5!I10)</f>
        <v/>
      </c>
      <c r="J409" s="16" t="str">
        <f>IF(Country_5!$C10="","",Country_5!J10)</f>
        <v/>
      </c>
      <c r="K409" s="18" t="str">
        <f>IF(Country_5!$C10="","",Country_5!K10)</f>
        <v/>
      </c>
      <c r="L409" s="18" t="str">
        <f>IF(Country_5!$C10="","",Country_5!L10)</f>
        <v/>
      </c>
      <c r="M409" s="19" t="str">
        <f>IF(Country_5!$C10="","",Country_5!M10)</f>
        <v/>
      </c>
      <c r="N409" s="16" t="str">
        <f>IF(Country_5!$C10="","",Country_5!N10)</f>
        <v/>
      </c>
      <c r="O409" s="16" t="str">
        <f>IF(Country_5!$C10="","",Country_5!O10)</f>
        <v/>
      </c>
      <c r="P409" s="16" t="str">
        <f>IF(Country_5!$C10="","",Country_5!P10)</f>
        <v/>
      </c>
      <c r="Q409" s="16" t="str">
        <f>IF(Country_5!$C10="","",Country_5!Q10)</f>
        <v/>
      </c>
    </row>
    <row r="410" spans="1:17" x14ac:dyDescent="0.25">
      <c r="A410" s="16" t="str">
        <f>IF(Country_5!$C11="","",Country_5!A11)</f>
        <v/>
      </c>
      <c r="B410" s="16" t="str">
        <f>IF(Country_5!$C11="","",Country_5!B11)</f>
        <v/>
      </c>
      <c r="C410" s="16" t="str">
        <f>IF(Country_5!$C11="","",Country_5!C11)</f>
        <v/>
      </c>
      <c r="D410" s="16" t="str">
        <f>IF(Country_5!$C11="","",Country_5!D11)</f>
        <v/>
      </c>
      <c r="E410" s="16" t="str">
        <f>IF(Country_5!$C11="","",Country_5!E11)</f>
        <v/>
      </c>
      <c r="F410" s="16" t="str">
        <f>IF(Country_5!$C11="","",Country_5!F11)</f>
        <v/>
      </c>
      <c r="G410" s="17" t="str">
        <f>IF(Country_5!$C11="","",Country_5!G11)</f>
        <v/>
      </c>
      <c r="H410" s="17" t="str">
        <f>IF(Country_5!$C11="","",Country_5!H11)</f>
        <v/>
      </c>
      <c r="I410" s="16" t="str">
        <f>IF(Country_5!$C11="","",Country_5!I11)</f>
        <v/>
      </c>
      <c r="J410" s="16" t="str">
        <f>IF(Country_5!$C11="","",Country_5!J11)</f>
        <v/>
      </c>
      <c r="K410" s="18" t="str">
        <f>IF(Country_5!$C11="","",Country_5!K11)</f>
        <v/>
      </c>
      <c r="L410" s="18" t="str">
        <f>IF(Country_5!$C11="","",Country_5!L11)</f>
        <v/>
      </c>
      <c r="M410" s="19" t="str">
        <f>IF(Country_5!$C11="","",Country_5!M11)</f>
        <v/>
      </c>
      <c r="N410" s="16" t="str">
        <f>IF(Country_5!$C11="","",Country_5!N11)</f>
        <v/>
      </c>
      <c r="O410" s="16" t="str">
        <f>IF(Country_5!$C11="","",Country_5!O11)</f>
        <v/>
      </c>
      <c r="P410" s="16" t="str">
        <f>IF(Country_5!$C11="","",Country_5!P11)</f>
        <v/>
      </c>
      <c r="Q410" s="16" t="str">
        <f>IF(Country_5!$C11="","",Country_5!Q11)</f>
        <v/>
      </c>
    </row>
    <row r="411" spans="1:17" x14ac:dyDescent="0.25">
      <c r="A411" s="16" t="str">
        <f>IF(Country_5!$C12="","",Country_5!A12)</f>
        <v/>
      </c>
      <c r="B411" s="16" t="str">
        <f>IF(Country_5!$C12="","",Country_5!B12)</f>
        <v/>
      </c>
      <c r="C411" s="16" t="str">
        <f>IF(Country_5!$C12="","",Country_5!C12)</f>
        <v/>
      </c>
      <c r="D411" s="16" t="str">
        <f>IF(Country_5!$C12="","",Country_5!D12)</f>
        <v/>
      </c>
      <c r="E411" s="16" t="str">
        <f>IF(Country_5!$C12="","",Country_5!E12)</f>
        <v/>
      </c>
      <c r="F411" s="16" t="str">
        <f>IF(Country_5!$C12="","",Country_5!F12)</f>
        <v/>
      </c>
      <c r="G411" s="17" t="str">
        <f>IF(Country_5!$C12="","",Country_5!G12)</f>
        <v/>
      </c>
      <c r="H411" s="17" t="str">
        <f>IF(Country_5!$C12="","",Country_5!H12)</f>
        <v/>
      </c>
      <c r="I411" s="16" t="str">
        <f>IF(Country_5!$C12="","",Country_5!I12)</f>
        <v/>
      </c>
      <c r="J411" s="16" t="str">
        <f>IF(Country_5!$C12="","",Country_5!J12)</f>
        <v/>
      </c>
      <c r="K411" s="18" t="str">
        <f>IF(Country_5!$C12="","",Country_5!K12)</f>
        <v/>
      </c>
      <c r="L411" s="18" t="str">
        <f>IF(Country_5!$C12="","",Country_5!L12)</f>
        <v/>
      </c>
      <c r="M411" s="19" t="str">
        <f>IF(Country_5!$C12="","",Country_5!M12)</f>
        <v/>
      </c>
      <c r="N411" s="16" t="str">
        <f>IF(Country_5!$C12="","",Country_5!N12)</f>
        <v/>
      </c>
      <c r="O411" s="16" t="str">
        <f>IF(Country_5!$C12="","",Country_5!O12)</f>
        <v/>
      </c>
      <c r="P411" s="16" t="str">
        <f>IF(Country_5!$C12="","",Country_5!P12)</f>
        <v/>
      </c>
      <c r="Q411" s="16" t="str">
        <f>IF(Country_5!$C12="","",Country_5!Q12)</f>
        <v/>
      </c>
    </row>
    <row r="412" spans="1:17" x14ac:dyDescent="0.25">
      <c r="A412" s="16" t="str">
        <f>IF(Country_5!$C13="","",Country_5!A13)</f>
        <v/>
      </c>
      <c r="B412" s="16" t="str">
        <f>IF(Country_5!$C13="","",Country_5!B13)</f>
        <v/>
      </c>
      <c r="C412" s="16" t="str">
        <f>IF(Country_5!$C13="","",Country_5!C13)</f>
        <v/>
      </c>
      <c r="D412" s="16" t="str">
        <f>IF(Country_5!$C13="","",Country_5!D13)</f>
        <v/>
      </c>
      <c r="E412" s="16" t="str">
        <f>IF(Country_5!$C13="","",Country_5!E13)</f>
        <v/>
      </c>
      <c r="F412" s="16" t="str">
        <f>IF(Country_5!$C13="","",Country_5!F13)</f>
        <v/>
      </c>
      <c r="G412" s="17" t="str">
        <f>IF(Country_5!$C13="","",Country_5!G13)</f>
        <v/>
      </c>
      <c r="H412" s="17" t="str">
        <f>IF(Country_5!$C13="","",Country_5!H13)</f>
        <v/>
      </c>
      <c r="I412" s="16" t="str">
        <f>IF(Country_5!$C13="","",Country_5!I13)</f>
        <v/>
      </c>
      <c r="J412" s="16" t="str">
        <f>IF(Country_5!$C13="","",Country_5!J13)</f>
        <v/>
      </c>
      <c r="K412" s="18" t="str">
        <f>IF(Country_5!$C13="","",Country_5!K13)</f>
        <v/>
      </c>
      <c r="L412" s="18" t="str">
        <f>IF(Country_5!$C13="","",Country_5!L13)</f>
        <v/>
      </c>
      <c r="M412" s="19" t="str">
        <f>IF(Country_5!$C13="","",Country_5!M13)</f>
        <v/>
      </c>
      <c r="N412" s="16" t="str">
        <f>IF(Country_5!$C13="","",Country_5!N13)</f>
        <v/>
      </c>
      <c r="O412" s="16" t="str">
        <f>IF(Country_5!$C13="","",Country_5!O13)</f>
        <v/>
      </c>
      <c r="P412" s="16" t="str">
        <f>IF(Country_5!$C13="","",Country_5!P13)</f>
        <v/>
      </c>
      <c r="Q412" s="16" t="str">
        <f>IF(Country_5!$C13="","",Country_5!Q13)</f>
        <v/>
      </c>
    </row>
    <row r="413" spans="1:17" x14ac:dyDescent="0.25">
      <c r="A413" s="16" t="str">
        <f>IF(Country_5!$C14="","",Country_5!A14)</f>
        <v/>
      </c>
      <c r="B413" s="16" t="str">
        <f>IF(Country_5!$C14="","",Country_5!B14)</f>
        <v/>
      </c>
      <c r="C413" s="16" t="str">
        <f>IF(Country_5!$C14="","",Country_5!C14)</f>
        <v/>
      </c>
      <c r="D413" s="16" t="str">
        <f>IF(Country_5!$C14="","",Country_5!D14)</f>
        <v/>
      </c>
      <c r="E413" s="16" t="str">
        <f>IF(Country_5!$C14="","",Country_5!E14)</f>
        <v/>
      </c>
      <c r="F413" s="16" t="str">
        <f>IF(Country_5!$C14="","",Country_5!F14)</f>
        <v/>
      </c>
      <c r="G413" s="17" t="str">
        <f>IF(Country_5!$C14="","",Country_5!G14)</f>
        <v/>
      </c>
      <c r="H413" s="17" t="str">
        <f>IF(Country_5!$C14="","",Country_5!H14)</f>
        <v/>
      </c>
      <c r="I413" s="16" t="str">
        <f>IF(Country_5!$C14="","",Country_5!I14)</f>
        <v/>
      </c>
      <c r="J413" s="16" t="str">
        <f>IF(Country_5!$C14="","",Country_5!J14)</f>
        <v/>
      </c>
      <c r="K413" s="18" t="str">
        <f>IF(Country_5!$C14="","",Country_5!K14)</f>
        <v/>
      </c>
      <c r="L413" s="18" t="str">
        <f>IF(Country_5!$C14="","",Country_5!L14)</f>
        <v/>
      </c>
      <c r="M413" s="19" t="str">
        <f>IF(Country_5!$C14="","",Country_5!M14)</f>
        <v/>
      </c>
      <c r="N413" s="16" t="str">
        <f>IF(Country_5!$C14="","",Country_5!N14)</f>
        <v/>
      </c>
      <c r="O413" s="16" t="str">
        <f>IF(Country_5!$C14="","",Country_5!O14)</f>
        <v/>
      </c>
      <c r="P413" s="16" t="str">
        <f>IF(Country_5!$C14="","",Country_5!P14)</f>
        <v/>
      </c>
      <c r="Q413" s="16" t="str">
        <f>IF(Country_5!$C14="","",Country_5!Q14)</f>
        <v/>
      </c>
    </row>
    <row r="414" spans="1:17" x14ac:dyDescent="0.25">
      <c r="A414" s="16" t="str">
        <f>IF(Country_5!$C15="","",Country_5!A15)</f>
        <v/>
      </c>
      <c r="B414" s="16" t="str">
        <f>IF(Country_5!$C15="","",Country_5!B15)</f>
        <v/>
      </c>
      <c r="C414" s="16" t="str">
        <f>IF(Country_5!$C15="","",Country_5!C15)</f>
        <v/>
      </c>
      <c r="D414" s="16" t="str">
        <f>IF(Country_5!$C15="","",Country_5!D15)</f>
        <v/>
      </c>
      <c r="E414" s="16" t="str">
        <f>IF(Country_5!$C15="","",Country_5!E15)</f>
        <v/>
      </c>
      <c r="F414" s="16" t="str">
        <f>IF(Country_5!$C15="","",Country_5!F15)</f>
        <v/>
      </c>
      <c r="G414" s="17" t="str">
        <f>IF(Country_5!$C15="","",Country_5!G15)</f>
        <v/>
      </c>
      <c r="H414" s="17" t="str">
        <f>IF(Country_5!$C15="","",Country_5!H15)</f>
        <v/>
      </c>
      <c r="I414" s="16" t="str">
        <f>IF(Country_5!$C15="","",Country_5!I15)</f>
        <v/>
      </c>
      <c r="J414" s="16" t="str">
        <f>IF(Country_5!$C15="","",Country_5!J15)</f>
        <v/>
      </c>
      <c r="K414" s="18" t="str">
        <f>IF(Country_5!$C15="","",Country_5!K15)</f>
        <v/>
      </c>
      <c r="L414" s="18" t="str">
        <f>IF(Country_5!$C15="","",Country_5!L15)</f>
        <v/>
      </c>
      <c r="M414" s="19" t="str">
        <f>IF(Country_5!$C15="","",Country_5!M15)</f>
        <v/>
      </c>
      <c r="N414" s="16" t="str">
        <f>IF(Country_5!$C15="","",Country_5!N15)</f>
        <v/>
      </c>
      <c r="O414" s="16" t="str">
        <f>IF(Country_5!$C15="","",Country_5!O15)</f>
        <v/>
      </c>
      <c r="P414" s="16" t="str">
        <f>IF(Country_5!$C15="","",Country_5!P15)</f>
        <v/>
      </c>
      <c r="Q414" s="16" t="str">
        <f>IF(Country_5!$C15="","",Country_5!Q15)</f>
        <v/>
      </c>
    </row>
    <row r="415" spans="1:17" x14ac:dyDescent="0.25">
      <c r="A415" s="16" t="str">
        <f>IF(Country_5!$C16="","",Country_5!A16)</f>
        <v/>
      </c>
      <c r="B415" s="16" t="str">
        <f>IF(Country_5!$C16="","",Country_5!B16)</f>
        <v/>
      </c>
      <c r="C415" s="16" t="str">
        <f>IF(Country_5!$C16="","",Country_5!C16)</f>
        <v/>
      </c>
      <c r="D415" s="16" t="str">
        <f>IF(Country_5!$C16="","",Country_5!D16)</f>
        <v/>
      </c>
      <c r="E415" s="16" t="str">
        <f>IF(Country_5!$C16="","",Country_5!E16)</f>
        <v/>
      </c>
      <c r="F415" s="16" t="str">
        <f>IF(Country_5!$C16="","",Country_5!F16)</f>
        <v/>
      </c>
      <c r="G415" s="17" t="str">
        <f>IF(Country_5!$C16="","",Country_5!G16)</f>
        <v/>
      </c>
      <c r="H415" s="17" t="str">
        <f>IF(Country_5!$C16="","",Country_5!H16)</f>
        <v/>
      </c>
      <c r="I415" s="16" t="str">
        <f>IF(Country_5!$C16="","",Country_5!I16)</f>
        <v/>
      </c>
      <c r="J415" s="16" t="str">
        <f>IF(Country_5!$C16="","",Country_5!J16)</f>
        <v/>
      </c>
      <c r="K415" s="18" t="str">
        <f>IF(Country_5!$C16="","",Country_5!K16)</f>
        <v/>
      </c>
      <c r="L415" s="18" t="str">
        <f>IF(Country_5!$C16="","",Country_5!L16)</f>
        <v/>
      </c>
      <c r="M415" s="19" t="str">
        <f>IF(Country_5!$C16="","",Country_5!M16)</f>
        <v/>
      </c>
      <c r="N415" s="16" t="str">
        <f>IF(Country_5!$C16="","",Country_5!N16)</f>
        <v/>
      </c>
      <c r="O415" s="16" t="str">
        <f>IF(Country_5!$C16="","",Country_5!O16)</f>
        <v/>
      </c>
      <c r="P415" s="16" t="str">
        <f>IF(Country_5!$C16="","",Country_5!P16)</f>
        <v/>
      </c>
      <c r="Q415" s="16" t="str">
        <f>IF(Country_5!$C16="","",Country_5!Q16)</f>
        <v/>
      </c>
    </row>
    <row r="416" spans="1:17" x14ac:dyDescent="0.25">
      <c r="A416" s="16" t="str">
        <f>IF(Country_5!$C17="","",Country_5!A17)</f>
        <v/>
      </c>
      <c r="B416" s="16" t="str">
        <f>IF(Country_5!$C17="","",Country_5!B17)</f>
        <v/>
      </c>
      <c r="C416" s="16" t="str">
        <f>IF(Country_5!$C17="","",Country_5!C17)</f>
        <v/>
      </c>
      <c r="D416" s="16" t="str">
        <f>IF(Country_5!$C17="","",Country_5!D17)</f>
        <v/>
      </c>
      <c r="E416" s="16" t="str">
        <f>IF(Country_5!$C17="","",Country_5!E17)</f>
        <v/>
      </c>
      <c r="F416" s="16" t="str">
        <f>IF(Country_5!$C17="","",Country_5!F17)</f>
        <v/>
      </c>
      <c r="G416" s="17" t="str">
        <f>IF(Country_5!$C17="","",Country_5!G17)</f>
        <v/>
      </c>
      <c r="H416" s="17" t="str">
        <f>IF(Country_5!$C17="","",Country_5!H17)</f>
        <v/>
      </c>
      <c r="I416" s="16" t="str">
        <f>IF(Country_5!$C17="","",Country_5!I17)</f>
        <v/>
      </c>
      <c r="J416" s="16" t="str">
        <f>IF(Country_5!$C17="","",Country_5!J17)</f>
        <v/>
      </c>
      <c r="K416" s="18" t="str">
        <f>IF(Country_5!$C17="","",Country_5!K17)</f>
        <v/>
      </c>
      <c r="L416" s="18" t="str">
        <f>IF(Country_5!$C17="","",Country_5!L17)</f>
        <v/>
      </c>
      <c r="M416" s="19" t="str">
        <f>IF(Country_5!$C17="","",Country_5!M17)</f>
        <v/>
      </c>
      <c r="N416" s="16" t="str">
        <f>IF(Country_5!$C17="","",Country_5!N17)</f>
        <v/>
      </c>
      <c r="O416" s="16" t="str">
        <f>IF(Country_5!$C17="","",Country_5!O17)</f>
        <v/>
      </c>
      <c r="P416" s="16" t="str">
        <f>IF(Country_5!$C17="","",Country_5!P17)</f>
        <v/>
      </c>
      <c r="Q416" s="16" t="str">
        <f>IF(Country_5!$C17="","",Country_5!Q17)</f>
        <v/>
      </c>
    </row>
    <row r="417" spans="1:17" x14ac:dyDescent="0.25">
      <c r="A417" s="16" t="str">
        <f>IF(Country_5!$C18="","",Country_5!A18)</f>
        <v/>
      </c>
      <c r="B417" s="16" t="str">
        <f>IF(Country_5!$C18="","",Country_5!B18)</f>
        <v/>
      </c>
      <c r="C417" s="16" t="str">
        <f>IF(Country_5!$C18="","",Country_5!C18)</f>
        <v/>
      </c>
      <c r="D417" s="16" t="str">
        <f>IF(Country_5!$C18="","",Country_5!D18)</f>
        <v/>
      </c>
      <c r="E417" s="16" t="str">
        <f>IF(Country_5!$C18="","",Country_5!E18)</f>
        <v/>
      </c>
      <c r="F417" s="16" t="str">
        <f>IF(Country_5!$C18="","",Country_5!F18)</f>
        <v/>
      </c>
      <c r="G417" s="17" t="str">
        <f>IF(Country_5!$C18="","",Country_5!G18)</f>
        <v/>
      </c>
      <c r="H417" s="17" t="str">
        <f>IF(Country_5!$C18="","",Country_5!H18)</f>
        <v/>
      </c>
      <c r="I417" s="16" t="str">
        <f>IF(Country_5!$C18="","",Country_5!I18)</f>
        <v/>
      </c>
      <c r="J417" s="16" t="str">
        <f>IF(Country_5!$C18="","",Country_5!J18)</f>
        <v/>
      </c>
      <c r="K417" s="18" t="str">
        <f>IF(Country_5!$C18="","",Country_5!K18)</f>
        <v/>
      </c>
      <c r="L417" s="18" t="str">
        <f>IF(Country_5!$C18="","",Country_5!L18)</f>
        <v/>
      </c>
      <c r="M417" s="19" t="str">
        <f>IF(Country_5!$C18="","",Country_5!M18)</f>
        <v/>
      </c>
      <c r="N417" s="16" t="str">
        <f>IF(Country_5!$C18="","",Country_5!N18)</f>
        <v/>
      </c>
      <c r="O417" s="16" t="str">
        <f>IF(Country_5!$C18="","",Country_5!O18)</f>
        <v/>
      </c>
      <c r="P417" s="16" t="str">
        <f>IF(Country_5!$C18="","",Country_5!P18)</f>
        <v/>
      </c>
      <c r="Q417" s="16" t="str">
        <f>IF(Country_5!$C18="","",Country_5!Q18)</f>
        <v/>
      </c>
    </row>
    <row r="418" spans="1:17" x14ac:dyDescent="0.25">
      <c r="A418" s="16" t="str">
        <f>IF(Country_5!$C19="","",Country_5!A19)</f>
        <v/>
      </c>
      <c r="B418" s="16" t="str">
        <f>IF(Country_5!$C19="","",Country_5!B19)</f>
        <v/>
      </c>
      <c r="C418" s="16" t="str">
        <f>IF(Country_5!$C19="","",Country_5!C19)</f>
        <v/>
      </c>
      <c r="D418" s="16" t="str">
        <f>IF(Country_5!$C19="","",Country_5!D19)</f>
        <v/>
      </c>
      <c r="E418" s="16" t="str">
        <f>IF(Country_5!$C19="","",Country_5!E19)</f>
        <v/>
      </c>
      <c r="F418" s="16" t="str">
        <f>IF(Country_5!$C19="","",Country_5!F19)</f>
        <v/>
      </c>
      <c r="G418" s="17" t="str">
        <f>IF(Country_5!$C19="","",Country_5!G19)</f>
        <v/>
      </c>
      <c r="H418" s="17" t="str">
        <f>IF(Country_5!$C19="","",Country_5!H19)</f>
        <v/>
      </c>
      <c r="I418" s="16" t="str">
        <f>IF(Country_5!$C19="","",Country_5!I19)</f>
        <v/>
      </c>
      <c r="J418" s="16" t="str">
        <f>IF(Country_5!$C19="","",Country_5!J19)</f>
        <v/>
      </c>
      <c r="K418" s="18" t="str">
        <f>IF(Country_5!$C19="","",Country_5!K19)</f>
        <v/>
      </c>
      <c r="L418" s="18" t="str">
        <f>IF(Country_5!$C19="","",Country_5!L19)</f>
        <v/>
      </c>
      <c r="M418" s="19" t="str">
        <f>IF(Country_5!$C19="","",Country_5!M19)</f>
        <v/>
      </c>
      <c r="N418" s="16" t="str">
        <f>IF(Country_5!$C19="","",Country_5!N19)</f>
        <v/>
      </c>
      <c r="O418" s="16" t="str">
        <f>IF(Country_5!$C19="","",Country_5!O19)</f>
        <v/>
      </c>
      <c r="P418" s="16" t="str">
        <f>IF(Country_5!$C19="","",Country_5!P19)</f>
        <v/>
      </c>
      <c r="Q418" s="16" t="str">
        <f>IF(Country_5!$C19="","",Country_5!Q19)</f>
        <v/>
      </c>
    </row>
    <row r="419" spans="1:17" x14ac:dyDescent="0.25">
      <c r="A419" s="16" t="str">
        <f>IF(Country_5!$C20="","",Country_5!A20)</f>
        <v/>
      </c>
      <c r="B419" s="16" t="str">
        <f>IF(Country_5!$C20="","",Country_5!B20)</f>
        <v/>
      </c>
      <c r="C419" s="16" t="str">
        <f>IF(Country_5!$C20="","",Country_5!C20)</f>
        <v/>
      </c>
      <c r="D419" s="16" t="str">
        <f>IF(Country_5!$C20="","",Country_5!D20)</f>
        <v/>
      </c>
      <c r="E419" s="16" t="str">
        <f>IF(Country_5!$C20="","",Country_5!E20)</f>
        <v/>
      </c>
      <c r="F419" s="16" t="str">
        <f>IF(Country_5!$C20="","",Country_5!F20)</f>
        <v/>
      </c>
      <c r="G419" s="17" t="str">
        <f>IF(Country_5!$C20="","",Country_5!G20)</f>
        <v/>
      </c>
      <c r="H419" s="17" t="str">
        <f>IF(Country_5!$C20="","",Country_5!H20)</f>
        <v/>
      </c>
      <c r="I419" s="16" t="str">
        <f>IF(Country_5!$C20="","",Country_5!I20)</f>
        <v/>
      </c>
      <c r="J419" s="16" t="str">
        <f>IF(Country_5!$C20="","",Country_5!J20)</f>
        <v/>
      </c>
      <c r="K419" s="18" t="str">
        <f>IF(Country_5!$C20="","",Country_5!K20)</f>
        <v/>
      </c>
      <c r="L419" s="18" t="str">
        <f>IF(Country_5!$C20="","",Country_5!L20)</f>
        <v/>
      </c>
      <c r="M419" s="19" t="str">
        <f>IF(Country_5!$C20="","",Country_5!M20)</f>
        <v/>
      </c>
      <c r="N419" s="16" t="str">
        <f>IF(Country_5!$C20="","",Country_5!N20)</f>
        <v/>
      </c>
      <c r="O419" s="16" t="str">
        <f>IF(Country_5!$C20="","",Country_5!O20)</f>
        <v/>
      </c>
      <c r="P419" s="16" t="str">
        <f>IF(Country_5!$C20="","",Country_5!P20)</f>
        <v/>
      </c>
      <c r="Q419" s="16" t="str">
        <f>IF(Country_5!$C20="","",Country_5!Q20)</f>
        <v/>
      </c>
    </row>
    <row r="420" spans="1:17" x14ac:dyDescent="0.25">
      <c r="A420" s="16" t="str">
        <f>IF(Country_5!$C21="","",Country_5!A21)</f>
        <v/>
      </c>
      <c r="B420" s="16" t="str">
        <f>IF(Country_5!$C21="","",Country_5!B21)</f>
        <v/>
      </c>
      <c r="C420" s="16" t="str">
        <f>IF(Country_5!$C21="","",Country_5!C21)</f>
        <v/>
      </c>
      <c r="D420" s="16" t="str">
        <f>IF(Country_5!$C21="","",Country_5!D21)</f>
        <v/>
      </c>
      <c r="E420" s="16" t="str">
        <f>IF(Country_5!$C21="","",Country_5!E21)</f>
        <v/>
      </c>
      <c r="F420" s="16" t="str">
        <f>IF(Country_5!$C21="","",Country_5!F21)</f>
        <v/>
      </c>
      <c r="G420" s="17" t="str">
        <f>IF(Country_5!$C21="","",Country_5!G21)</f>
        <v/>
      </c>
      <c r="H420" s="17" t="str">
        <f>IF(Country_5!$C21="","",Country_5!H21)</f>
        <v/>
      </c>
      <c r="I420" s="16" t="str">
        <f>IF(Country_5!$C21="","",Country_5!I21)</f>
        <v/>
      </c>
      <c r="J420" s="16" t="str">
        <f>IF(Country_5!$C21="","",Country_5!J21)</f>
        <v/>
      </c>
      <c r="K420" s="18" t="str">
        <f>IF(Country_5!$C21="","",Country_5!K21)</f>
        <v/>
      </c>
      <c r="L420" s="18" t="str">
        <f>IF(Country_5!$C21="","",Country_5!L21)</f>
        <v/>
      </c>
      <c r="M420" s="19" t="str">
        <f>IF(Country_5!$C21="","",Country_5!M21)</f>
        <v/>
      </c>
      <c r="N420" s="16" t="str">
        <f>IF(Country_5!$C21="","",Country_5!N21)</f>
        <v/>
      </c>
      <c r="O420" s="16" t="str">
        <f>IF(Country_5!$C21="","",Country_5!O21)</f>
        <v/>
      </c>
      <c r="P420" s="16" t="str">
        <f>IF(Country_5!$C21="","",Country_5!P21)</f>
        <v/>
      </c>
      <c r="Q420" s="16" t="str">
        <f>IF(Country_5!$C21="","",Country_5!Q21)</f>
        <v/>
      </c>
    </row>
    <row r="421" spans="1:17" x14ac:dyDescent="0.25">
      <c r="A421" s="16" t="str">
        <f>IF(Country_5!$C22="","",Country_5!A22)</f>
        <v/>
      </c>
      <c r="B421" s="16" t="str">
        <f>IF(Country_5!$C22="","",Country_5!B22)</f>
        <v/>
      </c>
      <c r="C421" s="16" t="str">
        <f>IF(Country_5!$C22="","",Country_5!C22)</f>
        <v/>
      </c>
      <c r="D421" s="16" t="str">
        <f>IF(Country_5!$C22="","",Country_5!D22)</f>
        <v/>
      </c>
      <c r="E421" s="16" t="str">
        <f>IF(Country_5!$C22="","",Country_5!E22)</f>
        <v/>
      </c>
      <c r="F421" s="16" t="str">
        <f>IF(Country_5!$C22="","",Country_5!F22)</f>
        <v/>
      </c>
      <c r="G421" s="17" t="str">
        <f>IF(Country_5!$C22="","",Country_5!G22)</f>
        <v/>
      </c>
      <c r="H421" s="17" t="str">
        <f>IF(Country_5!$C22="","",Country_5!H22)</f>
        <v/>
      </c>
      <c r="I421" s="16" t="str">
        <f>IF(Country_5!$C22="","",Country_5!I22)</f>
        <v/>
      </c>
      <c r="J421" s="16" t="str">
        <f>IF(Country_5!$C22="","",Country_5!J22)</f>
        <v/>
      </c>
      <c r="K421" s="18" t="str">
        <f>IF(Country_5!$C22="","",Country_5!K22)</f>
        <v/>
      </c>
      <c r="L421" s="18" t="str">
        <f>IF(Country_5!$C22="","",Country_5!L22)</f>
        <v/>
      </c>
      <c r="M421" s="19" t="str">
        <f>IF(Country_5!$C22="","",Country_5!M22)</f>
        <v/>
      </c>
      <c r="N421" s="16" t="str">
        <f>IF(Country_5!$C22="","",Country_5!N22)</f>
        <v/>
      </c>
      <c r="O421" s="16" t="str">
        <f>IF(Country_5!$C22="","",Country_5!O22)</f>
        <v/>
      </c>
      <c r="P421" s="16" t="str">
        <f>IF(Country_5!$C22="","",Country_5!P22)</f>
        <v/>
      </c>
      <c r="Q421" s="16" t="str">
        <f>IF(Country_5!$C22="","",Country_5!Q22)</f>
        <v/>
      </c>
    </row>
    <row r="422" spans="1:17" x14ac:dyDescent="0.25">
      <c r="A422" s="16" t="str">
        <f>IF(Country_5!$C23="","",Country_5!A23)</f>
        <v/>
      </c>
      <c r="B422" s="16" t="str">
        <f>IF(Country_5!$C23="","",Country_5!B23)</f>
        <v/>
      </c>
      <c r="C422" s="16" t="str">
        <f>IF(Country_5!$C23="","",Country_5!C23)</f>
        <v/>
      </c>
      <c r="D422" s="16" t="str">
        <f>IF(Country_5!$C23="","",Country_5!D23)</f>
        <v/>
      </c>
      <c r="E422" s="16" t="str">
        <f>IF(Country_5!$C23="","",Country_5!E23)</f>
        <v/>
      </c>
      <c r="F422" s="16" t="str">
        <f>IF(Country_5!$C23="","",Country_5!F23)</f>
        <v/>
      </c>
      <c r="G422" s="17" t="str">
        <f>IF(Country_5!$C23="","",Country_5!G23)</f>
        <v/>
      </c>
      <c r="H422" s="17" t="str">
        <f>IF(Country_5!$C23="","",Country_5!H23)</f>
        <v/>
      </c>
      <c r="I422" s="16" t="str">
        <f>IF(Country_5!$C23="","",Country_5!I23)</f>
        <v/>
      </c>
      <c r="J422" s="16" t="str">
        <f>IF(Country_5!$C23="","",Country_5!J23)</f>
        <v/>
      </c>
      <c r="K422" s="18" t="str">
        <f>IF(Country_5!$C23="","",Country_5!K23)</f>
        <v/>
      </c>
      <c r="L422" s="18" t="str">
        <f>IF(Country_5!$C23="","",Country_5!L23)</f>
        <v/>
      </c>
      <c r="M422" s="19" t="str">
        <f>IF(Country_5!$C23="","",Country_5!M23)</f>
        <v/>
      </c>
      <c r="N422" s="16" t="str">
        <f>IF(Country_5!$C23="","",Country_5!N23)</f>
        <v/>
      </c>
      <c r="O422" s="16" t="str">
        <f>IF(Country_5!$C23="","",Country_5!O23)</f>
        <v/>
      </c>
      <c r="P422" s="16" t="str">
        <f>IF(Country_5!$C23="","",Country_5!P23)</f>
        <v/>
      </c>
      <c r="Q422" s="16" t="str">
        <f>IF(Country_5!$C23="","",Country_5!Q23)</f>
        <v/>
      </c>
    </row>
    <row r="423" spans="1:17" x14ac:dyDescent="0.25">
      <c r="A423" s="16" t="str">
        <f>IF(Country_5!$C24="","",Country_5!A24)</f>
        <v/>
      </c>
      <c r="B423" s="16" t="str">
        <f>IF(Country_5!$C24="","",Country_5!B24)</f>
        <v/>
      </c>
      <c r="C423" s="16" t="str">
        <f>IF(Country_5!$C24="","",Country_5!C24)</f>
        <v/>
      </c>
      <c r="D423" s="16" t="str">
        <f>IF(Country_5!$C24="","",Country_5!D24)</f>
        <v/>
      </c>
      <c r="E423" s="16" t="str">
        <f>IF(Country_5!$C24="","",Country_5!E24)</f>
        <v/>
      </c>
      <c r="F423" s="16" t="str">
        <f>IF(Country_5!$C24="","",Country_5!F24)</f>
        <v/>
      </c>
      <c r="G423" s="17" t="str">
        <f>IF(Country_5!$C24="","",Country_5!G24)</f>
        <v/>
      </c>
      <c r="H423" s="17" t="str">
        <f>IF(Country_5!$C24="","",Country_5!H24)</f>
        <v/>
      </c>
      <c r="I423" s="16" t="str">
        <f>IF(Country_5!$C24="","",Country_5!I24)</f>
        <v/>
      </c>
      <c r="J423" s="16" t="str">
        <f>IF(Country_5!$C24="","",Country_5!J24)</f>
        <v/>
      </c>
      <c r="K423" s="18" t="str">
        <f>IF(Country_5!$C24="","",Country_5!K24)</f>
        <v/>
      </c>
      <c r="L423" s="18" t="str">
        <f>IF(Country_5!$C24="","",Country_5!L24)</f>
        <v/>
      </c>
      <c r="M423" s="19" t="str">
        <f>IF(Country_5!$C24="","",Country_5!M24)</f>
        <v/>
      </c>
      <c r="N423" s="16" t="str">
        <f>IF(Country_5!$C24="","",Country_5!N24)</f>
        <v/>
      </c>
      <c r="O423" s="16" t="str">
        <f>IF(Country_5!$C24="","",Country_5!O24)</f>
        <v/>
      </c>
      <c r="P423" s="16" t="str">
        <f>IF(Country_5!$C24="","",Country_5!P24)</f>
        <v/>
      </c>
      <c r="Q423" s="16" t="str">
        <f>IF(Country_5!$C24="","",Country_5!Q24)</f>
        <v/>
      </c>
    </row>
    <row r="424" spans="1:17" x14ac:dyDescent="0.25">
      <c r="A424" s="16" t="str">
        <f>IF(Country_5!$C25="","",Country_5!A25)</f>
        <v/>
      </c>
      <c r="B424" s="16" t="str">
        <f>IF(Country_5!$C25="","",Country_5!B25)</f>
        <v/>
      </c>
      <c r="C424" s="16" t="str">
        <f>IF(Country_5!$C25="","",Country_5!C25)</f>
        <v/>
      </c>
      <c r="D424" s="16" t="str">
        <f>IF(Country_5!$C25="","",Country_5!D25)</f>
        <v/>
      </c>
      <c r="E424" s="16" t="str">
        <f>IF(Country_5!$C25="","",Country_5!E25)</f>
        <v/>
      </c>
      <c r="F424" s="16" t="str">
        <f>IF(Country_5!$C25="","",Country_5!F25)</f>
        <v/>
      </c>
      <c r="G424" s="17" t="str">
        <f>IF(Country_5!$C25="","",Country_5!G25)</f>
        <v/>
      </c>
      <c r="H424" s="17" t="str">
        <f>IF(Country_5!$C25="","",Country_5!H25)</f>
        <v/>
      </c>
      <c r="I424" s="16" t="str">
        <f>IF(Country_5!$C25="","",Country_5!I25)</f>
        <v/>
      </c>
      <c r="J424" s="16" t="str">
        <f>IF(Country_5!$C25="","",Country_5!J25)</f>
        <v/>
      </c>
      <c r="K424" s="18" t="str">
        <f>IF(Country_5!$C25="","",Country_5!K25)</f>
        <v/>
      </c>
      <c r="L424" s="18" t="str">
        <f>IF(Country_5!$C25="","",Country_5!L25)</f>
        <v/>
      </c>
      <c r="M424" s="19" t="str">
        <f>IF(Country_5!$C25="","",Country_5!M25)</f>
        <v/>
      </c>
      <c r="N424" s="16" t="str">
        <f>IF(Country_5!$C25="","",Country_5!N25)</f>
        <v/>
      </c>
      <c r="O424" s="16" t="str">
        <f>IF(Country_5!$C25="","",Country_5!O25)</f>
        <v/>
      </c>
      <c r="P424" s="16" t="str">
        <f>IF(Country_5!$C25="","",Country_5!P25)</f>
        <v/>
      </c>
      <c r="Q424" s="16" t="str">
        <f>IF(Country_5!$C25="","",Country_5!Q25)</f>
        <v/>
      </c>
    </row>
    <row r="425" spans="1:17" x14ac:dyDescent="0.25">
      <c r="A425" s="16" t="str">
        <f>IF(Country_5!$C26="","",Country_5!A26)</f>
        <v/>
      </c>
      <c r="B425" s="16" t="str">
        <f>IF(Country_5!$C26="","",Country_5!B26)</f>
        <v/>
      </c>
      <c r="C425" s="16" t="str">
        <f>IF(Country_5!$C26="","",Country_5!C26)</f>
        <v/>
      </c>
      <c r="D425" s="16" t="str">
        <f>IF(Country_5!$C26="","",Country_5!D26)</f>
        <v/>
      </c>
      <c r="E425" s="16" t="str">
        <f>IF(Country_5!$C26="","",Country_5!E26)</f>
        <v/>
      </c>
      <c r="F425" s="16" t="str">
        <f>IF(Country_5!$C26="","",Country_5!F26)</f>
        <v/>
      </c>
      <c r="G425" s="17" t="str">
        <f>IF(Country_5!$C26="","",Country_5!G26)</f>
        <v/>
      </c>
      <c r="H425" s="17" t="str">
        <f>IF(Country_5!$C26="","",Country_5!H26)</f>
        <v/>
      </c>
      <c r="I425" s="16" t="str">
        <f>IF(Country_5!$C26="","",Country_5!I26)</f>
        <v/>
      </c>
      <c r="J425" s="16" t="str">
        <f>IF(Country_5!$C26="","",Country_5!J26)</f>
        <v/>
      </c>
      <c r="K425" s="18" t="str">
        <f>IF(Country_5!$C26="","",Country_5!K26)</f>
        <v/>
      </c>
      <c r="L425" s="18" t="str">
        <f>IF(Country_5!$C26="","",Country_5!L26)</f>
        <v/>
      </c>
      <c r="M425" s="19" t="str">
        <f>IF(Country_5!$C26="","",Country_5!M26)</f>
        <v/>
      </c>
      <c r="N425" s="16" t="str">
        <f>IF(Country_5!$C26="","",Country_5!N26)</f>
        <v/>
      </c>
      <c r="O425" s="16" t="str">
        <f>IF(Country_5!$C26="","",Country_5!O26)</f>
        <v/>
      </c>
      <c r="P425" s="16" t="str">
        <f>IF(Country_5!$C26="","",Country_5!P26)</f>
        <v/>
      </c>
      <c r="Q425" s="16" t="str">
        <f>IF(Country_5!$C26="","",Country_5!Q26)</f>
        <v/>
      </c>
    </row>
    <row r="426" spans="1:17" x14ac:dyDescent="0.25">
      <c r="A426" s="16" t="str">
        <f>IF(Country_5!$C27="","",Country_5!A27)</f>
        <v/>
      </c>
      <c r="B426" s="16" t="str">
        <f>IF(Country_5!$C27="","",Country_5!B27)</f>
        <v/>
      </c>
      <c r="C426" s="16" t="str">
        <f>IF(Country_5!$C27="","",Country_5!C27)</f>
        <v/>
      </c>
      <c r="D426" s="16" t="str">
        <f>IF(Country_5!$C27="","",Country_5!D27)</f>
        <v/>
      </c>
      <c r="E426" s="16" t="str">
        <f>IF(Country_5!$C27="","",Country_5!E27)</f>
        <v/>
      </c>
      <c r="F426" s="16" t="str">
        <f>IF(Country_5!$C27="","",Country_5!F27)</f>
        <v/>
      </c>
      <c r="G426" s="17" t="str">
        <f>IF(Country_5!$C27="","",Country_5!G27)</f>
        <v/>
      </c>
      <c r="H426" s="17" t="str">
        <f>IF(Country_5!$C27="","",Country_5!H27)</f>
        <v/>
      </c>
      <c r="I426" s="16" t="str">
        <f>IF(Country_5!$C27="","",Country_5!I27)</f>
        <v/>
      </c>
      <c r="J426" s="16" t="str">
        <f>IF(Country_5!$C27="","",Country_5!J27)</f>
        <v/>
      </c>
      <c r="K426" s="18" t="str">
        <f>IF(Country_5!$C27="","",Country_5!K27)</f>
        <v/>
      </c>
      <c r="L426" s="18" t="str">
        <f>IF(Country_5!$C27="","",Country_5!L27)</f>
        <v/>
      </c>
      <c r="M426" s="19" t="str">
        <f>IF(Country_5!$C27="","",Country_5!M27)</f>
        <v/>
      </c>
      <c r="N426" s="16" t="str">
        <f>IF(Country_5!$C27="","",Country_5!N27)</f>
        <v/>
      </c>
      <c r="O426" s="16" t="str">
        <f>IF(Country_5!$C27="","",Country_5!O27)</f>
        <v/>
      </c>
      <c r="P426" s="16" t="str">
        <f>IF(Country_5!$C27="","",Country_5!P27)</f>
        <v/>
      </c>
      <c r="Q426" s="16" t="str">
        <f>IF(Country_5!$C27="","",Country_5!Q27)</f>
        <v/>
      </c>
    </row>
    <row r="427" spans="1:17" x14ac:dyDescent="0.25">
      <c r="A427" s="16" t="str">
        <f>IF(Country_5!$C28="","",Country_5!A28)</f>
        <v/>
      </c>
      <c r="B427" s="16" t="str">
        <f>IF(Country_5!$C28="","",Country_5!B28)</f>
        <v/>
      </c>
      <c r="C427" s="16" t="str">
        <f>IF(Country_5!$C28="","",Country_5!C28)</f>
        <v/>
      </c>
      <c r="D427" s="16" t="str">
        <f>IF(Country_5!$C28="","",Country_5!D28)</f>
        <v/>
      </c>
      <c r="E427" s="16" t="str">
        <f>IF(Country_5!$C28="","",Country_5!E28)</f>
        <v/>
      </c>
      <c r="F427" s="16" t="str">
        <f>IF(Country_5!$C28="","",Country_5!F28)</f>
        <v/>
      </c>
      <c r="G427" s="17" t="str">
        <f>IF(Country_5!$C28="","",Country_5!G28)</f>
        <v/>
      </c>
      <c r="H427" s="17" t="str">
        <f>IF(Country_5!$C28="","",Country_5!H28)</f>
        <v/>
      </c>
      <c r="I427" s="16" t="str">
        <f>IF(Country_5!$C28="","",Country_5!I28)</f>
        <v/>
      </c>
      <c r="J427" s="16" t="str">
        <f>IF(Country_5!$C28="","",Country_5!J28)</f>
        <v/>
      </c>
      <c r="K427" s="18" t="str">
        <f>IF(Country_5!$C28="","",Country_5!K28)</f>
        <v/>
      </c>
      <c r="L427" s="18" t="str">
        <f>IF(Country_5!$C28="","",Country_5!L28)</f>
        <v/>
      </c>
      <c r="M427" s="19" t="str">
        <f>IF(Country_5!$C28="","",Country_5!M28)</f>
        <v/>
      </c>
      <c r="N427" s="16" t="str">
        <f>IF(Country_5!$C28="","",Country_5!N28)</f>
        <v/>
      </c>
      <c r="O427" s="16" t="str">
        <f>IF(Country_5!$C28="","",Country_5!O28)</f>
        <v/>
      </c>
      <c r="P427" s="16" t="str">
        <f>IF(Country_5!$C28="","",Country_5!P28)</f>
        <v/>
      </c>
      <c r="Q427" s="16" t="str">
        <f>IF(Country_5!$C28="","",Country_5!Q28)</f>
        <v/>
      </c>
    </row>
    <row r="428" spans="1:17" x14ac:dyDescent="0.25">
      <c r="A428" s="16" t="str">
        <f>IF(Country_5!$C29="","",Country_5!A29)</f>
        <v/>
      </c>
      <c r="B428" s="16" t="str">
        <f>IF(Country_5!$C29="","",Country_5!B29)</f>
        <v/>
      </c>
      <c r="C428" s="16" t="str">
        <f>IF(Country_5!$C29="","",Country_5!C29)</f>
        <v/>
      </c>
      <c r="D428" s="16" t="str">
        <f>IF(Country_5!$C29="","",Country_5!D29)</f>
        <v/>
      </c>
      <c r="E428" s="16" t="str">
        <f>IF(Country_5!$C29="","",Country_5!E29)</f>
        <v/>
      </c>
      <c r="F428" s="16" t="str">
        <f>IF(Country_5!$C29="","",Country_5!F29)</f>
        <v/>
      </c>
      <c r="G428" s="17" t="str">
        <f>IF(Country_5!$C29="","",Country_5!G29)</f>
        <v/>
      </c>
      <c r="H428" s="17" t="str">
        <f>IF(Country_5!$C29="","",Country_5!H29)</f>
        <v/>
      </c>
      <c r="I428" s="16" t="str">
        <f>IF(Country_5!$C29="","",Country_5!I29)</f>
        <v/>
      </c>
      <c r="J428" s="16" t="str">
        <f>IF(Country_5!$C29="","",Country_5!J29)</f>
        <v/>
      </c>
      <c r="K428" s="18" t="str">
        <f>IF(Country_5!$C29="","",Country_5!K29)</f>
        <v/>
      </c>
      <c r="L428" s="18" t="str">
        <f>IF(Country_5!$C29="","",Country_5!L29)</f>
        <v/>
      </c>
      <c r="M428" s="19" t="str">
        <f>IF(Country_5!$C29="","",Country_5!M29)</f>
        <v/>
      </c>
      <c r="N428" s="16" t="str">
        <f>IF(Country_5!$C29="","",Country_5!N29)</f>
        <v/>
      </c>
      <c r="O428" s="16" t="str">
        <f>IF(Country_5!$C29="","",Country_5!O29)</f>
        <v/>
      </c>
      <c r="P428" s="16" t="str">
        <f>IF(Country_5!$C29="","",Country_5!P29)</f>
        <v/>
      </c>
      <c r="Q428" s="16" t="str">
        <f>IF(Country_5!$C29="","",Country_5!Q29)</f>
        <v/>
      </c>
    </row>
    <row r="429" spans="1:17" x14ac:dyDescent="0.25">
      <c r="A429" s="16" t="str">
        <f>IF(Country_5!$C30="","",Country_5!A30)</f>
        <v/>
      </c>
      <c r="B429" s="16" t="str">
        <f>IF(Country_5!$C30="","",Country_5!B30)</f>
        <v/>
      </c>
      <c r="C429" s="16" t="str">
        <f>IF(Country_5!$C30="","",Country_5!C30)</f>
        <v/>
      </c>
      <c r="D429" s="16" t="str">
        <f>IF(Country_5!$C30="","",Country_5!D30)</f>
        <v/>
      </c>
      <c r="E429" s="16" t="str">
        <f>IF(Country_5!$C30="","",Country_5!E30)</f>
        <v/>
      </c>
      <c r="F429" s="16" t="str">
        <f>IF(Country_5!$C30="","",Country_5!F30)</f>
        <v/>
      </c>
      <c r="G429" s="17" t="str">
        <f>IF(Country_5!$C30="","",Country_5!G30)</f>
        <v/>
      </c>
      <c r="H429" s="17" t="str">
        <f>IF(Country_5!$C30="","",Country_5!H30)</f>
        <v/>
      </c>
      <c r="I429" s="16" t="str">
        <f>IF(Country_5!$C30="","",Country_5!I30)</f>
        <v/>
      </c>
      <c r="J429" s="16" t="str">
        <f>IF(Country_5!$C30="","",Country_5!J30)</f>
        <v/>
      </c>
      <c r="K429" s="18" t="str">
        <f>IF(Country_5!$C30="","",Country_5!K30)</f>
        <v/>
      </c>
      <c r="L429" s="18" t="str">
        <f>IF(Country_5!$C30="","",Country_5!L30)</f>
        <v/>
      </c>
      <c r="M429" s="19" t="str">
        <f>IF(Country_5!$C30="","",Country_5!M30)</f>
        <v/>
      </c>
      <c r="N429" s="16" t="str">
        <f>IF(Country_5!$C30="","",Country_5!N30)</f>
        <v/>
      </c>
      <c r="O429" s="16" t="str">
        <f>IF(Country_5!$C30="","",Country_5!O30)</f>
        <v/>
      </c>
      <c r="P429" s="16" t="str">
        <f>IF(Country_5!$C30="","",Country_5!P30)</f>
        <v/>
      </c>
      <c r="Q429" s="16" t="str">
        <f>IF(Country_5!$C30="","",Country_5!Q30)</f>
        <v/>
      </c>
    </row>
    <row r="430" spans="1:17" x14ac:dyDescent="0.25">
      <c r="A430" s="16" t="str">
        <f>IF(Country_5!$C31="","",Country_5!A31)</f>
        <v/>
      </c>
      <c r="B430" s="16" t="str">
        <f>IF(Country_5!$C31="","",Country_5!B31)</f>
        <v/>
      </c>
      <c r="C430" s="16" t="str">
        <f>IF(Country_5!$C31="","",Country_5!C31)</f>
        <v/>
      </c>
      <c r="D430" s="16" t="str">
        <f>IF(Country_5!$C31="","",Country_5!D31)</f>
        <v/>
      </c>
      <c r="E430" s="16" t="str">
        <f>IF(Country_5!$C31="","",Country_5!E31)</f>
        <v/>
      </c>
      <c r="F430" s="16" t="str">
        <f>IF(Country_5!$C31="","",Country_5!F31)</f>
        <v/>
      </c>
      <c r="G430" s="17" t="str">
        <f>IF(Country_5!$C31="","",Country_5!G31)</f>
        <v/>
      </c>
      <c r="H430" s="17" t="str">
        <f>IF(Country_5!$C31="","",Country_5!H31)</f>
        <v/>
      </c>
      <c r="I430" s="16" t="str">
        <f>IF(Country_5!$C31="","",Country_5!I31)</f>
        <v/>
      </c>
      <c r="J430" s="16" t="str">
        <f>IF(Country_5!$C31="","",Country_5!J31)</f>
        <v/>
      </c>
      <c r="K430" s="18" t="str">
        <f>IF(Country_5!$C31="","",Country_5!K31)</f>
        <v/>
      </c>
      <c r="L430" s="18" t="str">
        <f>IF(Country_5!$C31="","",Country_5!L31)</f>
        <v/>
      </c>
      <c r="M430" s="19" t="str">
        <f>IF(Country_5!$C31="","",Country_5!M31)</f>
        <v/>
      </c>
      <c r="N430" s="16" t="str">
        <f>IF(Country_5!$C31="","",Country_5!N31)</f>
        <v/>
      </c>
      <c r="O430" s="16" t="str">
        <f>IF(Country_5!$C31="","",Country_5!O31)</f>
        <v/>
      </c>
      <c r="P430" s="16" t="str">
        <f>IF(Country_5!$C31="","",Country_5!P31)</f>
        <v/>
      </c>
      <c r="Q430" s="16" t="str">
        <f>IF(Country_5!$C31="","",Country_5!Q31)</f>
        <v/>
      </c>
    </row>
    <row r="431" spans="1:17" x14ac:dyDescent="0.25">
      <c r="A431" s="16" t="str">
        <f>IF(Country_5!$C32="","",Country_5!A32)</f>
        <v/>
      </c>
      <c r="B431" s="16" t="str">
        <f>IF(Country_5!$C32="","",Country_5!B32)</f>
        <v/>
      </c>
      <c r="C431" s="16" t="str">
        <f>IF(Country_5!$C32="","",Country_5!C32)</f>
        <v/>
      </c>
      <c r="D431" s="16" t="str">
        <f>IF(Country_5!$C32="","",Country_5!D32)</f>
        <v/>
      </c>
      <c r="E431" s="16" t="str">
        <f>IF(Country_5!$C32="","",Country_5!E32)</f>
        <v/>
      </c>
      <c r="F431" s="16" t="str">
        <f>IF(Country_5!$C32="","",Country_5!F32)</f>
        <v/>
      </c>
      <c r="G431" s="17" t="str">
        <f>IF(Country_5!$C32="","",Country_5!G32)</f>
        <v/>
      </c>
      <c r="H431" s="17" t="str">
        <f>IF(Country_5!$C32="","",Country_5!H32)</f>
        <v/>
      </c>
      <c r="I431" s="16" t="str">
        <f>IF(Country_5!$C32="","",Country_5!I32)</f>
        <v/>
      </c>
      <c r="J431" s="16" t="str">
        <f>IF(Country_5!$C32="","",Country_5!J32)</f>
        <v/>
      </c>
      <c r="K431" s="18" t="str">
        <f>IF(Country_5!$C32="","",Country_5!K32)</f>
        <v/>
      </c>
      <c r="L431" s="18" t="str">
        <f>IF(Country_5!$C32="","",Country_5!L32)</f>
        <v/>
      </c>
      <c r="M431" s="19" t="str">
        <f>IF(Country_5!$C32="","",Country_5!M32)</f>
        <v/>
      </c>
      <c r="N431" s="16" t="str">
        <f>IF(Country_5!$C32="","",Country_5!N32)</f>
        <v/>
      </c>
      <c r="O431" s="16" t="str">
        <f>IF(Country_5!$C32="","",Country_5!O32)</f>
        <v/>
      </c>
      <c r="P431" s="16" t="str">
        <f>IF(Country_5!$C32="","",Country_5!P32)</f>
        <v/>
      </c>
      <c r="Q431" s="16" t="str">
        <f>IF(Country_5!$C32="","",Country_5!Q32)</f>
        <v/>
      </c>
    </row>
    <row r="432" spans="1:17" x14ac:dyDescent="0.25">
      <c r="A432" s="16" t="str">
        <f>IF(Country_5!$C33="","",Country_5!A33)</f>
        <v/>
      </c>
      <c r="B432" s="16" t="str">
        <f>IF(Country_5!$C33="","",Country_5!B33)</f>
        <v/>
      </c>
      <c r="C432" s="16" t="str">
        <f>IF(Country_5!$C33="","",Country_5!C33)</f>
        <v/>
      </c>
      <c r="D432" s="16" t="str">
        <f>IF(Country_5!$C33="","",Country_5!D33)</f>
        <v/>
      </c>
      <c r="E432" s="16" t="str">
        <f>IF(Country_5!$C33="","",Country_5!E33)</f>
        <v/>
      </c>
      <c r="F432" s="16" t="str">
        <f>IF(Country_5!$C33="","",Country_5!F33)</f>
        <v/>
      </c>
      <c r="G432" s="17" t="str">
        <f>IF(Country_5!$C33="","",Country_5!G33)</f>
        <v/>
      </c>
      <c r="H432" s="17" t="str">
        <f>IF(Country_5!$C33="","",Country_5!H33)</f>
        <v/>
      </c>
      <c r="I432" s="16" t="str">
        <f>IF(Country_5!$C33="","",Country_5!I33)</f>
        <v/>
      </c>
      <c r="J432" s="16" t="str">
        <f>IF(Country_5!$C33="","",Country_5!J33)</f>
        <v/>
      </c>
      <c r="K432" s="18" t="str">
        <f>IF(Country_5!$C33="","",Country_5!K33)</f>
        <v/>
      </c>
      <c r="L432" s="18" t="str">
        <f>IF(Country_5!$C33="","",Country_5!L33)</f>
        <v/>
      </c>
      <c r="M432" s="19" t="str">
        <f>IF(Country_5!$C33="","",Country_5!M33)</f>
        <v/>
      </c>
      <c r="N432" s="16" t="str">
        <f>IF(Country_5!$C33="","",Country_5!N33)</f>
        <v/>
      </c>
      <c r="O432" s="16" t="str">
        <f>IF(Country_5!$C33="","",Country_5!O33)</f>
        <v/>
      </c>
      <c r="P432" s="16" t="str">
        <f>IF(Country_5!$C33="","",Country_5!P33)</f>
        <v/>
      </c>
      <c r="Q432" s="16" t="str">
        <f>IF(Country_5!$C33="","",Country_5!Q33)</f>
        <v/>
      </c>
    </row>
    <row r="433" spans="1:17" x14ac:dyDescent="0.25">
      <c r="A433" s="16" t="str">
        <f>IF(Country_5!$C34="","",Country_5!A34)</f>
        <v/>
      </c>
      <c r="B433" s="16" t="str">
        <f>IF(Country_5!$C34="","",Country_5!B34)</f>
        <v/>
      </c>
      <c r="C433" s="16" t="str">
        <f>IF(Country_5!$C34="","",Country_5!C34)</f>
        <v/>
      </c>
      <c r="D433" s="16" t="str">
        <f>IF(Country_5!$C34="","",Country_5!D34)</f>
        <v/>
      </c>
      <c r="E433" s="16" t="str">
        <f>IF(Country_5!$C34="","",Country_5!E34)</f>
        <v/>
      </c>
      <c r="F433" s="16" t="str">
        <f>IF(Country_5!$C34="","",Country_5!F34)</f>
        <v/>
      </c>
      <c r="G433" s="17" t="str">
        <f>IF(Country_5!$C34="","",Country_5!G34)</f>
        <v/>
      </c>
      <c r="H433" s="17" t="str">
        <f>IF(Country_5!$C34="","",Country_5!H34)</f>
        <v/>
      </c>
      <c r="I433" s="16" t="str">
        <f>IF(Country_5!$C34="","",Country_5!I34)</f>
        <v/>
      </c>
      <c r="J433" s="16" t="str">
        <f>IF(Country_5!$C34="","",Country_5!J34)</f>
        <v/>
      </c>
      <c r="K433" s="18" t="str">
        <f>IF(Country_5!$C34="","",Country_5!K34)</f>
        <v/>
      </c>
      <c r="L433" s="18" t="str">
        <f>IF(Country_5!$C34="","",Country_5!L34)</f>
        <v/>
      </c>
      <c r="M433" s="19" t="str">
        <f>IF(Country_5!$C34="","",Country_5!M34)</f>
        <v/>
      </c>
      <c r="N433" s="16" t="str">
        <f>IF(Country_5!$C34="","",Country_5!N34)</f>
        <v/>
      </c>
      <c r="O433" s="16" t="str">
        <f>IF(Country_5!$C34="","",Country_5!O34)</f>
        <v/>
      </c>
      <c r="P433" s="16" t="str">
        <f>IF(Country_5!$C34="","",Country_5!P34)</f>
        <v/>
      </c>
      <c r="Q433" s="16" t="str">
        <f>IF(Country_5!$C34="","",Country_5!Q34)</f>
        <v/>
      </c>
    </row>
    <row r="434" spans="1:17" x14ac:dyDescent="0.25">
      <c r="A434" s="16" t="str">
        <f>IF(Country_5!$C35="","",Country_5!A35)</f>
        <v/>
      </c>
      <c r="B434" s="16" t="str">
        <f>IF(Country_5!$C35="","",Country_5!B35)</f>
        <v/>
      </c>
      <c r="C434" s="16" t="str">
        <f>IF(Country_5!$C35="","",Country_5!C35)</f>
        <v/>
      </c>
      <c r="D434" s="16" t="str">
        <f>IF(Country_5!$C35="","",Country_5!D35)</f>
        <v/>
      </c>
      <c r="E434" s="16" t="str">
        <f>IF(Country_5!$C35="","",Country_5!E35)</f>
        <v/>
      </c>
      <c r="F434" s="16" t="str">
        <f>IF(Country_5!$C35="","",Country_5!F35)</f>
        <v/>
      </c>
      <c r="G434" s="17" t="str">
        <f>IF(Country_5!$C35="","",Country_5!G35)</f>
        <v/>
      </c>
      <c r="H434" s="17" t="str">
        <f>IF(Country_5!$C35="","",Country_5!H35)</f>
        <v/>
      </c>
      <c r="I434" s="16" t="str">
        <f>IF(Country_5!$C35="","",Country_5!I35)</f>
        <v/>
      </c>
      <c r="J434" s="16" t="str">
        <f>IF(Country_5!$C35="","",Country_5!J35)</f>
        <v/>
      </c>
      <c r="K434" s="18" t="str">
        <f>IF(Country_5!$C35="","",Country_5!K35)</f>
        <v/>
      </c>
      <c r="L434" s="18" t="str">
        <f>IF(Country_5!$C35="","",Country_5!L35)</f>
        <v/>
      </c>
      <c r="M434" s="19" t="str">
        <f>IF(Country_5!$C35="","",Country_5!M35)</f>
        <v/>
      </c>
      <c r="N434" s="16" t="str">
        <f>IF(Country_5!$C35="","",Country_5!N35)</f>
        <v/>
      </c>
      <c r="O434" s="16" t="str">
        <f>IF(Country_5!$C35="","",Country_5!O35)</f>
        <v/>
      </c>
      <c r="P434" s="16" t="str">
        <f>IF(Country_5!$C35="","",Country_5!P35)</f>
        <v/>
      </c>
      <c r="Q434" s="16" t="str">
        <f>IF(Country_5!$C35="","",Country_5!Q35)</f>
        <v/>
      </c>
    </row>
    <row r="435" spans="1:17" x14ac:dyDescent="0.25">
      <c r="A435" s="16" t="str">
        <f>IF(Country_5!$C36="","",Country_5!A36)</f>
        <v/>
      </c>
      <c r="B435" s="16" t="str">
        <f>IF(Country_5!$C36="","",Country_5!B36)</f>
        <v/>
      </c>
      <c r="C435" s="16" t="str">
        <f>IF(Country_5!$C36="","",Country_5!C36)</f>
        <v/>
      </c>
      <c r="D435" s="16" t="str">
        <f>IF(Country_5!$C36="","",Country_5!D36)</f>
        <v/>
      </c>
      <c r="E435" s="16" t="str">
        <f>IF(Country_5!$C36="","",Country_5!E36)</f>
        <v/>
      </c>
      <c r="F435" s="16" t="str">
        <f>IF(Country_5!$C36="","",Country_5!F36)</f>
        <v/>
      </c>
      <c r="G435" s="17" t="str">
        <f>IF(Country_5!$C36="","",Country_5!G36)</f>
        <v/>
      </c>
      <c r="H435" s="17" t="str">
        <f>IF(Country_5!$C36="","",Country_5!H36)</f>
        <v/>
      </c>
      <c r="I435" s="16" t="str">
        <f>IF(Country_5!$C36="","",Country_5!I36)</f>
        <v/>
      </c>
      <c r="J435" s="16" t="str">
        <f>IF(Country_5!$C36="","",Country_5!J36)</f>
        <v/>
      </c>
      <c r="K435" s="18" t="str">
        <f>IF(Country_5!$C36="","",Country_5!K36)</f>
        <v/>
      </c>
      <c r="L435" s="18" t="str">
        <f>IF(Country_5!$C36="","",Country_5!L36)</f>
        <v/>
      </c>
      <c r="M435" s="19" t="str">
        <f>IF(Country_5!$C36="","",Country_5!M36)</f>
        <v/>
      </c>
      <c r="N435" s="16" t="str">
        <f>IF(Country_5!$C36="","",Country_5!N36)</f>
        <v/>
      </c>
      <c r="O435" s="16" t="str">
        <f>IF(Country_5!$C36="","",Country_5!O36)</f>
        <v/>
      </c>
      <c r="P435" s="16" t="str">
        <f>IF(Country_5!$C36="","",Country_5!P36)</f>
        <v/>
      </c>
      <c r="Q435" s="16" t="str">
        <f>IF(Country_5!$C36="","",Country_5!Q36)</f>
        <v/>
      </c>
    </row>
    <row r="436" spans="1:17" x14ac:dyDescent="0.25">
      <c r="A436" s="16" t="str">
        <f>IF(Country_5!$C37="","",Country_5!A37)</f>
        <v/>
      </c>
      <c r="B436" s="16" t="str">
        <f>IF(Country_5!$C37="","",Country_5!B37)</f>
        <v/>
      </c>
      <c r="C436" s="16" t="str">
        <f>IF(Country_5!$C37="","",Country_5!C37)</f>
        <v/>
      </c>
      <c r="D436" s="16" t="str">
        <f>IF(Country_5!$C37="","",Country_5!D37)</f>
        <v/>
      </c>
      <c r="E436" s="16" t="str">
        <f>IF(Country_5!$C37="","",Country_5!E37)</f>
        <v/>
      </c>
      <c r="F436" s="16" t="str">
        <f>IF(Country_5!$C37="","",Country_5!F37)</f>
        <v/>
      </c>
      <c r="G436" s="17" t="str">
        <f>IF(Country_5!$C37="","",Country_5!G37)</f>
        <v/>
      </c>
      <c r="H436" s="17" t="str">
        <f>IF(Country_5!$C37="","",Country_5!H37)</f>
        <v/>
      </c>
      <c r="I436" s="16" t="str">
        <f>IF(Country_5!$C37="","",Country_5!I37)</f>
        <v/>
      </c>
      <c r="J436" s="16" t="str">
        <f>IF(Country_5!$C37="","",Country_5!J37)</f>
        <v/>
      </c>
      <c r="K436" s="18" t="str">
        <f>IF(Country_5!$C37="","",Country_5!K37)</f>
        <v/>
      </c>
      <c r="L436" s="18" t="str">
        <f>IF(Country_5!$C37="","",Country_5!L37)</f>
        <v/>
      </c>
      <c r="M436" s="19" t="str">
        <f>IF(Country_5!$C37="","",Country_5!M37)</f>
        <v/>
      </c>
      <c r="N436" s="16" t="str">
        <f>IF(Country_5!$C37="","",Country_5!N37)</f>
        <v/>
      </c>
      <c r="O436" s="16" t="str">
        <f>IF(Country_5!$C37="","",Country_5!O37)</f>
        <v/>
      </c>
      <c r="P436" s="16" t="str">
        <f>IF(Country_5!$C37="","",Country_5!P37)</f>
        <v/>
      </c>
      <c r="Q436" s="16" t="str">
        <f>IF(Country_5!$C37="","",Country_5!Q37)</f>
        <v/>
      </c>
    </row>
    <row r="437" spans="1:17" x14ac:dyDescent="0.25">
      <c r="A437" s="16" t="str">
        <f>IF(Country_5!$C38="","",Country_5!A38)</f>
        <v/>
      </c>
      <c r="B437" s="16" t="str">
        <f>IF(Country_5!$C38="","",Country_5!B38)</f>
        <v/>
      </c>
      <c r="C437" s="16" t="str">
        <f>IF(Country_5!$C38="","",Country_5!C38)</f>
        <v/>
      </c>
      <c r="D437" s="16" t="str">
        <f>IF(Country_5!$C38="","",Country_5!D38)</f>
        <v/>
      </c>
      <c r="E437" s="16" t="str">
        <f>IF(Country_5!$C38="","",Country_5!E38)</f>
        <v/>
      </c>
      <c r="F437" s="16" t="str">
        <f>IF(Country_5!$C38="","",Country_5!F38)</f>
        <v/>
      </c>
      <c r="G437" s="17" t="str">
        <f>IF(Country_5!$C38="","",Country_5!G38)</f>
        <v/>
      </c>
      <c r="H437" s="17" t="str">
        <f>IF(Country_5!$C38="","",Country_5!H38)</f>
        <v/>
      </c>
      <c r="I437" s="16" t="str">
        <f>IF(Country_5!$C38="","",Country_5!I38)</f>
        <v/>
      </c>
      <c r="J437" s="16" t="str">
        <f>IF(Country_5!$C38="","",Country_5!J38)</f>
        <v/>
      </c>
      <c r="K437" s="18" t="str">
        <f>IF(Country_5!$C38="","",Country_5!K38)</f>
        <v/>
      </c>
      <c r="L437" s="18" t="str">
        <f>IF(Country_5!$C38="","",Country_5!L38)</f>
        <v/>
      </c>
      <c r="M437" s="19" t="str">
        <f>IF(Country_5!$C38="","",Country_5!M38)</f>
        <v/>
      </c>
      <c r="N437" s="16" t="str">
        <f>IF(Country_5!$C38="","",Country_5!N38)</f>
        <v/>
      </c>
      <c r="O437" s="16" t="str">
        <f>IF(Country_5!$C38="","",Country_5!O38)</f>
        <v/>
      </c>
      <c r="P437" s="16" t="str">
        <f>IF(Country_5!$C38="","",Country_5!P38)</f>
        <v/>
      </c>
      <c r="Q437" s="16" t="str">
        <f>IF(Country_5!$C38="","",Country_5!Q38)</f>
        <v/>
      </c>
    </row>
    <row r="438" spans="1:17" x14ac:dyDescent="0.25">
      <c r="A438" s="16" t="str">
        <f>IF(Country_5!$C39="","",Country_5!A39)</f>
        <v/>
      </c>
      <c r="B438" s="16" t="str">
        <f>IF(Country_5!$C39="","",Country_5!B39)</f>
        <v/>
      </c>
      <c r="C438" s="16" t="str">
        <f>IF(Country_5!$C39="","",Country_5!C39)</f>
        <v/>
      </c>
      <c r="D438" s="16" t="str">
        <f>IF(Country_5!$C39="","",Country_5!D39)</f>
        <v/>
      </c>
      <c r="E438" s="16" t="str">
        <f>IF(Country_5!$C39="","",Country_5!E39)</f>
        <v/>
      </c>
      <c r="F438" s="16" t="str">
        <f>IF(Country_5!$C39="","",Country_5!F39)</f>
        <v/>
      </c>
      <c r="G438" s="17" t="str">
        <f>IF(Country_5!$C39="","",Country_5!G39)</f>
        <v/>
      </c>
      <c r="H438" s="17" t="str">
        <f>IF(Country_5!$C39="","",Country_5!H39)</f>
        <v/>
      </c>
      <c r="I438" s="16" t="str">
        <f>IF(Country_5!$C39="","",Country_5!I39)</f>
        <v/>
      </c>
      <c r="J438" s="16" t="str">
        <f>IF(Country_5!$C39="","",Country_5!J39)</f>
        <v/>
      </c>
      <c r="K438" s="18" t="str">
        <f>IF(Country_5!$C39="","",Country_5!K39)</f>
        <v/>
      </c>
      <c r="L438" s="18" t="str">
        <f>IF(Country_5!$C39="","",Country_5!L39)</f>
        <v/>
      </c>
      <c r="M438" s="19" t="str">
        <f>IF(Country_5!$C39="","",Country_5!M39)</f>
        <v/>
      </c>
      <c r="N438" s="16" t="str">
        <f>IF(Country_5!$C39="","",Country_5!N39)</f>
        <v/>
      </c>
      <c r="O438" s="16" t="str">
        <f>IF(Country_5!$C39="","",Country_5!O39)</f>
        <v/>
      </c>
      <c r="P438" s="16" t="str">
        <f>IF(Country_5!$C39="","",Country_5!P39)</f>
        <v/>
      </c>
      <c r="Q438" s="16" t="str">
        <f>IF(Country_5!$C39="","",Country_5!Q39)</f>
        <v/>
      </c>
    </row>
    <row r="439" spans="1:17" x14ac:dyDescent="0.25">
      <c r="A439" s="16" t="str">
        <f>IF(Country_5!$C40="","",Country_5!A40)</f>
        <v/>
      </c>
      <c r="B439" s="16" t="str">
        <f>IF(Country_5!$C40="","",Country_5!B40)</f>
        <v/>
      </c>
      <c r="C439" s="16" t="str">
        <f>IF(Country_5!$C40="","",Country_5!C40)</f>
        <v/>
      </c>
      <c r="D439" s="16" t="str">
        <f>IF(Country_5!$C40="","",Country_5!D40)</f>
        <v/>
      </c>
      <c r="E439" s="16" t="str">
        <f>IF(Country_5!$C40="","",Country_5!E40)</f>
        <v/>
      </c>
      <c r="F439" s="16" t="str">
        <f>IF(Country_5!$C40="","",Country_5!F40)</f>
        <v/>
      </c>
      <c r="G439" s="17" t="str">
        <f>IF(Country_5!$C40="","",Country_5!G40)</f>
        <v/>
      </c>
      <c r="H439" s="17" t="str">
        <f>IF(Country_5!$C40="","",Country_5!H40)</f>
        <v/>
      </c>
      <c r="I439" s="16" t="str">
        <f>IF(Country_5!$C40="","",Country_5!I40)</f>
        <v/>
      </c>
      <c r="J439" s="16" t="str">
        <f>IF(Country_5!$C40="","",Country_5!J40)</f>
        <v/>
      </c>
      <c r="K439" s="18" t="str">
        <f>IF(Country_5!$C40="","",Country_5!K40)</f>
        <v/>
      </c>
      <c r="L439" s="18" t="str">
        <f>IF(Country_5!$C40="","",Country_5!L40)</f>
        <v/>
      </c>
      <c r="M439" s="19" t="str">
        <f>IF(Country_5!$C40="","",Country_5!M40)</f>
        <v/>
      </c>
      <c r="N439" s="16" t="str">
        <f>IF(Country_5!$C40="","",Country_5!N40)</f>
        <v/>
      </c>
      <c r="O439" s="16" t="str">
        <f>IF(Country_5!$C40="","",Country_5!O40)</f>
        <v/>
      </c>
      <c r="P439" s="16" t="str">
        <f>IF(Country_5!$C40="","",Country_5!P40)</f>
        <v/>
      </c>
      <c r="Q439" s="16" t="str">
        <f>IF(Country_5!$C40="","",Country_5!Q40)</f>
        <v/>
      </c>
    </row>
    <row r="440" spans="1:17" x14ac:dyDescent="0.25">
      <c r="A440" s="16" t="str">
        <f>IF(Country_5!$C41="","",Country_5!A41)</f>
        <v/>
      </c>
      <c r="B440" s="16" t="str">
        <f>IF(Country_5!$C41="","",Country_5!B41)</f>
        <v/>
      </c>
      <c r="C440" s="16" t="str">
        <f>IF(Country_5!$C41="","",Country_5!C41)</f>
        <v/>
      </c>
      <c r="D440" s="16" t="str">
        <f>IF(Country_5!$C41="","",Country_5!D41)</f>
        <v/>
      </c>
      <c r="E440" s="16" t="str">
        <f>IF(Country_5!$C41="","",Country_5!E41)</f>
        <v/>
      </c>
      <c r="F440" s="16" t="str">
        <f>IF(Country_5!$C41="","",Country_5!F41)</f>
        <v/>
      </c>
      <c r="G440" s="17" t="str">
        <f>IF(Country_5!$C41="","",Country_5!G41)</f>
        <v/>
      </c>
      <c r="H440" s="17" t="str">
        <f>IF(Country_5!$C41="","",Country_5!H41)</f>
        <v/>
      </c>
      <c r="I440" s="16" t="str">
        <f>IF(Country_5!$C41="","",Country_5!I41)</f>
        <v/>
      </c>
      <c r="J440" s="16" t="str">
        <f>IF(Country_5!$C41="","",Country_5!J41)</f>
        <v/>
      </c>
      <c r="K440" s="18" t="str">
        <f>IF(Country_5!$C41="","",Country_5!K41)</f>
        <v/>
      </c>
      <c r="L440" s="18" t="str">
        <f>IF(Country_5!$C41="","",Country_5!L41)</f>
        <v/>
      </c>
      <c r="M440" s="19" t="str">
        <f>IF(Country_5!$C41="","",Country_5!M41)</f>
        <v/>
      </c>
      <c r="N440" s="16" t="str">
        <f>IF(Country_5!$C41="","",Country_5!N41)</f>
        <v/>
      </c>
      <c r="O440" s="16" t="str">
        <f>IF(Country_5!$C41="","",Country_5!O41)</f>
        <v/>
      </c>
      <c r="P440" s="16" t="str">
        <f>IF(Country_5!$C41="","",Country_5!P41)</f>
        <v/>
      </c>
      <c r="Q440" s="16" t="str">
        <f>IF(Country_5!$C41="","",Country_5!Q41)</f>
        <v/>
      </c>
    </row>
    <row r="441" spans="1:17" x14ac:dyDescent="0.25">
      <c r="A441" s="16" t="str">
        <f>IF(Country_5!$C42="","",Country_5!A42)</f>
        <v/>
      </c>
      <c r="B441" s="16" t="str">
        <f>IF(Country_5!$C42="","",Country_5!B42)</f>
        <v/>
      </c>
      <c r="C441" s="16" t="str">
        <f>IF(Country_5!$C42="","",Country_5!C42)</f>
        <v/>
      </c>
      <c r="D441" s="16" t="str">
        <f>IF(Country_5!$C42="","",Country_5!D42)</f>
        <v/>
      </c>
      <c r="E441" s="16" t="str">
        <f>IF(Country_5!$C42="","",Country_5!E42)</f>
        <v/>
      </c>
      <c r="F441" s="16" t="str">
        <f>IF(Country_5!$C42="","",Country_5!F42)</f>
        <v/>
      </c>
      <c r="G441" s="17" t="str">
        <f>IF(Country_5!$C42="","",Country_5!G42)</f>
        <v/>
      </c>
      <c r="H441" s="17" t="str">
        <f>IF(Country_5!$C42="","",Country_5!H42)</f>
        <v/>
      </c>
      <c r="I441" s="16" t="str">
        <f>IF(Country_5!$C42="","",Country_5!I42)</f>
        <v/>
      </c>
      <c r="J441" s="16" t="str">
        <f>IF(Country_5!$C42="","",Country_5!J42)</f>
        <v/>
      </c>
      <c r="K441" s="18" t="str">
        <f>IF(Country_5!$C42="","",Country_5!K42)</f>
        <v/>
      </c>
      <c r="L441" s="18" t="str">
        <f>IF(Country_5!$C42="","",Country_5!L42)</f>
        <v/>
      </c>
      <c r="M441" s="19" t="str">
        <f>IF(Country_5!$C42="","",Country_5!M42)</f>
        <v/>
      </c>
      <c r="N441" s="16" t="str">
        <f>IF(Country_5!$C42="","",Country_5!N42)</f>
        <v/>
      </c>
      <c r="O441" s="16" t="str">
        <f>IF(Country_5!$C42="","",Country_5!O42)</f>
        <v/>
      </c>
      <c r="P441" s="16" t="str">
        <f>IF(Country_5!$C42="","",Country_5!P42)</f>
        <v/>
      </c>
      <c r="Q441" s="16" t="str">
        <f>IF(Country_5!$C42="","",Country_5!Q42)</f>
        <v/>
      </c>
    </row>
    <row r="442" spans="1:17" x14ac:dyDescent="0.25">
      <c r="A442" s="16" t="str">
        <f>IF(Country_5!$C43="","",Country_5!A43)</f>
        <v/>
      </c>
      <c r="B442" s="16" t="str">
        <f>IF(Country_5!$C43="","",Country_5!B43)</f>
        <v/>
      </c>
      <c r="C442" s="16" t="str">
        <f>IF(Country_5!$C43="","",Country_5!C43)</f>
        <v/>
      </c>
      <c r="D442" s="16" t="str">
        <f>IF(Country_5!$C43="","",Country_5!D43)</f>
        <v/>
      </c>
      <c r="E442" s="16" t="str">
        <f>IF(Country_5!$C43="","",Country_5!E43)</f>
        <v/>
      </c>
      <c r="F442" s="16" t="str">
        <f>IF(Country_5!$C43="","",Country_5!F43)</f>
        <v/>
      </c>
      <c r="G442" s="17" t="str">
        <f>IF(Country_5!$C43="","",Country_5!G43)</f>
        <v/>
      </c>
      <c r="H442" s="17" t="str">
        <f>IF(Country_5!$C43="","",Country_5!H43)</f>
        <v/>
      </c>
      <c r="I442" s="16" t="str">
        <f>IF(Country_5!$C43="","",Country_5!I43)</f>
        <v/>
      </c>
      <c r="J442" s="16" t="str">
        <f>IF(Country_5!$C43="","",Country_5!J43)</f>
        <v/>
      </c>
      <c r="K442" s="18" t="str">
        <f>IF(Country_5!$C43="","",Country_5!K43)</f>
        <v/>
      </c>
      <c r="L442" s="18" t="str">
        <f>IF(Country_5!$C43="","",Country_5!L43)</f>
        <v/>
      </c>
      <c r="M442" s="19" t="str">
        <f>IF(Country_5!$C43="","",Country_5!M43)</f>
        <v/>
      </c>
      <c r="N442" s="16" t="str">
        <f>IF(Country_5!$C43="","",Country_5!N43)</f>
        <v/>
      </c>
      <c r="O442" s="16" t="str">
        <f>IF(Country_5!$C43="","",Country_5!O43)</f>
        <v/>
      </c>
      <c r="P442" s="16" t="str">
        <f>IF(Country_5!$C43="","",Country_5!P43)</f>
        <v/>
      </c>
      <c r="Q442" s="16" t="str">
        <f>IF(Country_5!$C43="","",Country_5!Q43)</f>
        <v/>
      </c>
    </row>
    <row r="443" spans="1:17" x14ac:dyDescent="0.25">
      <c r="A443" s="16" t="str">
        <f>IF(Country_5!$C44="","",Country_5!A44)</f>
        <v/>
      </c>
      <c r="B443" s="16" t="str">
        <f>IF(Country_5!$C44="","",Country_5!B44)</f>
        <v/>
      </c>
      <c r="C443" s="16" t="str">
        <f>IF(Country_5!$C44="","",Country_5!C44)</f>
        <v/>
      </c>
      <c r="D443" s="16" t="str">
        <f>IF(Country_5!$C44="","",Country_5!D44)</f>
        <v/>
      </c>
      <c r="E443" s="16" t="str">
        <f>IF(Country_5!$C44="","",Country_5!E44)</f>
        <v/>
      </c>
      <c r="F443" s="16" t="str">
        <f>IF(Country_5!$C44="","",Country_5!F44)</f>
        <v/>
      </c>
      <c r="G443" s="17" t="str">
        <f>IF(Country_5!$C44="","",Country_5!G44)</f>
        <v/>
      </c>
      <c r="H443" s="17" t="str">
        <f>IF(Country_5!$C44="","",Country_5!H44)</f>
        <v/>
      </c>
      <c r="I443" s="16" t="str">
        <f>IF(Country_5!$C44="","",Country_5!I44)</f>
        <v/>
      </c>
      <c r="J443" s="16" t="str">
        <f>IF(Country_5!$C44="","",Country_5!J44)</f>
        <v/>
      </c>
      <c r="K443" s="18" t="str">
        <f>IF(Country_5!$C44="","",Country_5!K44)</f>
        <v/>
      </c>
      <c r="L443" s="18" t="str">
        <f>IF(Country_5!$C44="","",Country_5!L44)</f>
        <v/>
      </c>
      <c r="M443" s="19" t="str">
        <f>IF(Country_5!$C44="","",Country_5!M44)</f>
        <v/>
      </c>
      <c r="N443" s="16" t="str">
        <f>IF(Country_5!$C44="","",Country_5!N44)</f>
        <v/>
      </c>
      <c r="O443" s="16" t="str">
        <f>IF(Country_5!$C44="","",Country_5!O44)</f>
        <v/>
      </c>
      <c r="P443" s="16" t="str">
        <f>IF(Country_5!$C44="","",Country_5!P44)</f>
        <v/>
      </c>
      <c r="Q443" s="16" t="str">
        <f>IF(Country_5!$C44="","",Country_5!Q44)</f>
        <v/>
      </c>
    </row>
    <row r="444" spans="1:17" x14ac:dyDescent="0.25">
      <c r="A444" s="16" t="str">
        <f>IF(Country_5!$C45="","",Country_5!A45)</f>
        <v/>
      </c>
      <c r="B444" s="16" t="str">
        <f>IF(Country_5!$C45="","",Country_5!B45)</f>
        <v/>
      </c>
      <c r="C444" s="16" t="str">
        <f>IF(Country_5!$C45="","",Country_5!C45)</f>
        <v/>
      </c>
      <c r="D444" s="16" t="str">
        <f>IF(Country_5!$C45="","",Country_5!D45)</f>
        <v/>
      </c>
      <c r="E444" s="16" t="str">
        <f>IF(Country_5!$C45="","",Country_5!E45)</f>
        <v/>
      </c>
      <c r="F444" s="16" t="str">
        <f>IF(Country_5!$C45="","",Country_5!F45)</f>
        <v/>
      </c>
      <c r="G444" s="17" t="str">
        <f>IF(Country_5!$C45="","",Country_5!G45)</f>
        <v/>
      </c>
      <c r="H444" s="17" t="str">
        <f>IF(Country_5!$C45="","",Country_5!H45)</f>
        <v/>
      </c>
      <c r="I444" s="16" t="str">
        <f>IF(Country_5!$C45="","",Country_5!I45)</f>
        <v/>
      </c>
      <c r="J444" s="16" t="str">
        <f>IF(Country_5!$C45="","",Country_5!J45)</f>
        <v/>
      </c>
      <c r="K444" s="18" t="str">
        <f>IF(Country_5!$C45="","",Country_5!K45)</f>
        <v/>
      </c>
      <c r="L444" s="18" t="str">
        <f>IF(Country_5!$C45="","",Country_5!L45)</f>
        <v/>
      </c>
      <c r="M444" s="19" t="str">
        <f>IF(Country_5!$C45="","",Country_5!M45)</f>
        <v/>
      </c>
      <c r="N444" s="16" t="str">
        <f>IF(Country_5!$C45="","",Country_5!N45)</f>
        <v/>
      </c>
      <c r="O444" s="16" t="str">
        <f>IF(Country_5!$C45="","",Country_5!O45)</f>
        <v/>
      </c>
      <c r="P444" s="16" t="str">
        <f>IF(Country_5!$C45="","",Country_5!P45)</f>
        <v/>
      </c>
      <c r="Q444" s="16" t="str">
        <f>IF(Country_5!$C45="","",Country_5!Q45)</f>
        <v/>
      </c>
    </row>
    <row r="445" spans="1:17" x14ac:dyDescent="0.25">
      <c r="A445" s="16" t="str">
        <f>IF(Country_5!$C46="","",Country_5!A46)</f>
        <v/>
      </c>
      <c r="B445" s="16" t="str">
        <f>IF(Country_5!$C46="","",Country_5!B46)</f>
        <v/>
      </c>
      <c r="C445" s="16" t="str">
        <f>IF(Country_5!$C46="","",Country_5!C46)</f>
        <v/>
      </c>
      <c r="D445" s="16" t="str">
        <f>IF(Country_5!$C46="","",Country_5!D46)</f>
        <v/>
      </c>
      <c r="E445" s="16" t="str">
        <f>IF(Country_5!$C46="","",Country_5!E46)</f>
        <v/>
      </c>
      <c r="F445" s="16" t="str">
        <f>IF(Country_5!$C46="","",Country_5!F46)</f>
        <v/>
      </c>
      <c r="G445" s="17" t="str">
        <f>IF(Country_5!$C46="","",Country_5!G46)</f>
        <v/>
      </c>
      <c r="H445" s="17" t="str">
        <f>IF(Country_5!$C46="","",Country_5!H46)</f>
        <v/>
      </c>
      <c r="I445" s="16" t="str">
        <f>IF(Country_5!$C46="","",Country_5!I46)</f>
        <v/>
      </c>
      <c r="J445" s="16" t="str">
        <f>IF(Country_5!$C46="","",Country_5!J46)</f>
        <v/>
      </c>
      <c r="K445" s="18" t="str">
        <f>IF(Country_5!$C46="","",Country_5!K46)</f>
        <v/>
      </c>
      <c r="L445" s="18" t="str">
        <f>IF(Country_5!$C46="","",Country_5!L46)</f>
        <v/>
      </c>
      <c r="M445" s="19" t="str">
        <f>IF(Country_5!$C46="","",Country_5!M46)</f>
        <v/>
      </c>
      <c r="N445" s="16" t="str">
        <f>IF(Country_5!$C46="","",Country_5!N46)</f>
        <v/>
      </c>
      <c r="O445" s="16" t="str">
        <f>IF(Country_5!$C46="","",Country_5!O46)</f>
        <v/>
      </c>
      <c r="P445" s="16" t="str">
        <f>IF(Country_5!$C46="","",Country_5!P46)</f>
        <v/>
      </c>
      <c r="Q445" s="16" t="str">
        <f>IF(Country_5!$C46="","",Country_5!Q46)</f>
        <v/>
      </c>
    </row>
    <row r="446" spans="1:17" x14ac:dyDescent="0.25">
      <c r="A446" s="16" t="str">
        <f>IF(Country_5!$C47="","",Country_5!A47)</f>
        <v/>
      </c>
      <c r="B446" s="16" t="str">
        <f>IF(Country_5!$C47="","",Country_5!B47)</f>
        <v/>
      </c>
      <c r="C446" s="16" t="str">
        <f>IF(Country_5!$C47="","",Country_5!C47)</f>
        <v/>
      </c>
      <c r="D446" s="16" t="str">
        <f>IF(Country_5!$C47="","",Country_5!D47)</f>
        <v/>
      </c>
      <c r="E446" s="16" t="str">
        <f>IF(Country_5!$C47="","",Country_5!E47)</f>
        <v/>
      </c>
      <c r="F446" s="16" t="str">
        <f>IF(Country_5!$C47="","",Country_5!F47)</f>
        <v/>
      </c>
      <c r="G446" s="17" t="str">
        <f>IF(Country_5!$C47="","",Country_5!G47)</f>
        <v/>
      </c>
      <c r="H446" s="17" t="str">
        <f>IF(Country_5!$C47="","",Country_5!H47)</f>
        <v/>
      </c>
      <c r="I446" s="16" t="str">
        <f>IF(Country_5!$C47="","",Country_5!I47)</f>
        <v/>
      </c>
      <c r="J446" s="16" t="str">
        <f>IF(Country_5!$C47="","",Country_5!J47)</f>
        <v/>
      </c>
      <c r="K446" s="18" t="str">
        <f>IF(Country_5!$C47="","",Country_5!K47)</f>
        <v/>
      </c>
      <c r="L446" s="18" t="str">
        <f>IF(Country_5!$C47="","",Country_5!L47)</f>
        <v/>
      </c>
      <c r="M446" s="19" t="str">
        <f>IF(Country_5!$C47="","",Country_5!M47)</f>
        <v/>
      </c>
      <c r="N446" s="16" t="str">
        <f>IF(Country_5!$C47="","",Country_5!N47)</f>
        <v/>
      </c>
      <c r="O446" s="16" t="str">
        <f>IF(Country_5!$C47="","",Country_5!O47)</f>
        <v/>
      </c>
      <c r="P446" s="16" t="str">
        <f>IF(Country_5!$C47="","",Country_5!P47)</f>
        <v/>
      </c>
      <c r="Q446" s="16" t="str">
        <f>IF(Country_5!$C47="","",Country_5!Q47)</f>
        <v/>
      </c>
    </row>
    <row r="447" spans="1:17" x14ac:dyDescent="0.25">
      <c r="A447" s="16" t="str">
        <f>IF(Country_5!$C48="","",Country_5!A48)</f>
        <v/>
      </c>
      <c r="B447" s="16" t="str">
        <f>IF(Country_5!$C48="","",Country_5!B48)</f>
        <v/>
      </c>
      <c r="C447" s="16" t="str">
        <f>IF(Country_5!$C48="","",Country_5!C48)</f>
        <v/>
      </c>
      <c r="D447" s="16" t="str">
        <f>IF(Country_5!$C48="","",Country_5!D48)</f>
        <v/>
      </c>
      <c r="E447" s="16" t="str">
        <f>IF(Country_5!$C48="","",Country_5!E48)</f>
        <v/>
      </c>
      <c r="F447" s="16" t="str">
        <f>IF(Country_5!$C48="","",Country_5!F48)</f>
        <v/>
      </c>
      <c r="G447" s="17" t="str">
        <f>IF(Country_5!$C48="","",Country_5!G48)</f>
        <v/>
      </c>
      <c r="H447" s="17" t="str">
        <f>IF(Country_5!$C48="","",Country_5!H48)</f>
        <v/>
      </c>
      <c r="I447" s="16" t="str">
        <f>IF(Country_5!$C48="","",Country_5!I48)</f>
        <v/>
      </c>
      <c r="J447" s="16" t="str">
        <f>IF(Country_5!$C48="","",Country_5!J48)</f>
        <v/>
      </c>
      <c r="K447" s="18" t="str">
        <f>IF(Country_5!$C48="","",Country_5!K48)</f>
        <v/>
      </c>
      <c r="L447" s="18" t="str">
        <f>IF(Country_5!$C48="","",Country_5!L48)</f>
        <v/>
      </c>
      <c r="M447" s="19" t="str">
        <f>IF(Country_5!$C48="","",Country_5!M48)</f>
        <v/>
      </c>
      <c r="N447" s="16" t="str">
        <f>IF(Country_5!$C48="","",Country_5!N48)</f>
        <v/>
      </c>
      <c r="O447" s="16" t="str">
        <f>IF(Country_5!$C48="","",Country_5!O48)</f>
        <v/>
      </c>
      <c r="P447" s="16" t="str">
        <f>IF(Country_5!$C48="","",Country_5!P48)</f>
        <v/>
      </c>
      <c r="Q447" s="16" t="str">
        <f>IF(Country_5!$C48="","",Country_5!Q48)</f>
        <v/>
      </c>
    </row>
    <row r="448" spans="1:17" x14ac:dyDescent="0.25">
      <c r="A448" s="16" t="str">
        <f>IF(Country_5!$C49="","",Country_5!A49)</f>
        <v/>
      </c>
      <c r="B448" s="16" t="str">
        <f>IF(Country_5!$C49="","",Country_5!B49)</f>
        <v/>
      </c>
      <c r="C448" s="16" t="str">
        <f>IF(Country_5!$C49="","",Country_5!C49)</f>
        <v/>
      </c>
      <c r="D448" s="16" t="str">
        <f>IF(Country_5!$C49="","",Country_5!D49)</f>
        <v/>
      </c>
      <c r="E448" s="16" t="str">
        <f>IF(Country_5!$C49="","",Country_5!E49)</f>
        <v/>
      </c>
      <c r="F448" s="16" t="str">
        <f>IF(Country_5!$C49="","",Country_5!F49)</f>
        <v/>
      </c>
      <c r="G448" s="17" t="str">
        <f>IF(Country_5!$C49="","",Country_5!G49)</f>
        <v/>
      </c>
      <c r="H448" s="17" t="str">
        <f>IF(Country_5!$C49="","",Country_5!H49)</f>
        <v/>
      </c>
      <c r="I448" s="16" t="str">
        <f>IF(Country_5!$C49="","",Country_5!I49)</f>
        <v/>
      </c>
      <c r="J448" s="16" t="str">
        <f>IF(Country_5!$C49="","",Country_5!J49)</f>
        <v/>
      </c>
      <c r="K448" s="18" t="str">
        <f>IF(Country_5!$C49="","",Country_5!K49)</f>
        <v/>
      </c>
      <c r="L448" s="18" t="str">
        <f>IF(Country_5!$C49="","",Country_5!L49)</f>
        <v/>
      </c>
      <c r="M448" s="19" t="str">
        <f>IF(Country_5!$C49="","",Country_5!M49)</f>
        <v/>
      </c>
      <c r="N448" s="16" t="str">
        <f>IF(Country_5!$C49="","",Country_5!N49)</f>
        <v/>
      </c>
      <c r="O448" s="16" t="str">
        <f>IF(Country_5!$C49="","",Country_5!O49)</f>
        <v/>
      </c>
      <c r="P448" s="16" t="str">
        <f>IF(Country_5!$C49="","",Country_5!P49)</f>
        <v/>
      </c>
      <c r="Q448" s="16" t="str">
        <f>IF(Country_5!$C49="","",Country_5!Q49)</f>
        <v/>
      </c>
    </row>
    <row r="449" spans="1:17" x14ac:dyDescent="0.25">
      <c r="A449" s="16" t="str">
        <f>IF(Country_5!$C50="","",Country_5!A50)</f>
        <v/>
      </c>
      <c r="B449" s="16" t="str">
        <f>IF(Country_5!$C50="","",Country_5!B50)</f>
        <v/>
      </c>
      <c r="C449" s="16" t="str">
        <f>IF(Country_5!$C50="","",Country_5!C50)</f>
        <v/>
      </c>
      <c r="D449" s="16" t="str">
        <f>IF(Country_5!$C50="","",Country_5!D50)</f>
        <v/>
      </c>
      <c r="E449" s="16" t="str">
        <f>IF(Country_5!$C50="","",Country_5!E50)</f>
        <v/>
      </c>
      <c r="F449" s="16" t="str">
        <f>IF(Country_5!$C50="","",Country_5!F50)</f>
        <v/>
      </c>
      <c r="G449" s="17" t="str">
        <f>IF(Country_5!$C50="","",Country_5!G50)</f>
        <v/>
      </c>
      <c r="H449" s="17" t="str">
        <f>IF(Country_5!$C50="","",Country_5!H50)</f>
        <v/>
      </c>
      <c r="I449" s="16" t="str">
        <f>IF(Country_5!$C50="","",Country_5!I50)</f>
        <v/>
      </c>
      <c r="J449" s="16" t="str">
        <f>IF(Country_5!$C50="","",Country_5!J50)</f>
        <v/>
      </c>
      <c r="K449" s="18" t="str">
        <f>IF(Country_5!$C50="","",Country_5!K50)</f>
        <v/>
      </c>
      <c r="L449" s="18" t="str">
        <f>IF(Country_5!$C50="","",Country_5!L50)</f>
        <v/>
      </c>
      <c r="M449" s="19" t="str">
        <f>IF(Country_5!$C50="","",Country_5!M50)</f>
        <v/>
      </c>
      <c r="N449" s="16" t="str">
        <f>IF(Country_5!$C50="","",Country_5!N50)</f>
        <v/>
      </c>
      <c r="O449" s="16" t="str">
        <f>IF(Country_5!$C50="","",Country_5!O50)</f>
        <v/>
      </c>
      <c r="P449" s="16" t="str">
        <f>IF(Country_5!$C50="","",Country_5!P50)</f>
        <v/>
      </c>
      <c r="Q449" s="16" t="str">
        <f>IF(Country_5!$C50="","",Country_5!Q50)</f>
        <v/>
      </c>
    </row>
    <row r="450" spans="1:17" x14ac:dyDescent="0.25">
      <c r="A450" s="16" t="str">
        <f>IF(Country_5!$C51="","",Country_5!A51)</f>
        <v/>
      </c>
      <c r="B450" s="16" t="str">
        <f>IF(Country_5!$C51="","",Country_5!B51)</f>
        <v/>
      </c>
      <c r="C450" s="16" t="str">
        <f>IF(Country_5!$C51="","",Country_5!C51)</f>
        <v/>
      </c>
      <c r="D450" s="16" t="str">
        <f>IF(Country_5!$C51="","",Country_5!D51)</f>
        <v/>
      </c>
      <c r="E450" s="16" t="str">
        <f>IF(Country_5!$C51="","",Country_5!E51)</f>
        <v/>
      </c>
      <c r="F450" s="16" t="str">
        <f>IF(Country_5!$C51="","",Country_5!F51)</f>
        <v/>
      </c>
      <c r="G450" s="17" t="str">
        <f>IF(Country_5!$C51="","",Country_5!G51)</f>
        <v/>
      </c>
      <c r="H450" s="17" t="str">
        <f>IF(Country_5!$C51="","",Country_5!H51)</f>
        <v/>
      </c>
      <c r="I450" s="16" t="str">
        <f>IF(Country_5!$C51="","",Country_5!I51)</f>
        <v/>
      </c>
      <c r="J450" s="16" t="str">
        <f>IF(Country_5!$C51="","",Country_5!J51)</f>
        <v/>
      </c>
      <c r="K450" s="18" t="str">
        <f>IF(Country_5!$C51="","",Country_5!K51)</f>
        <v/>
      </c>
      <c r="L450" s="18" t="str">
        <f>IF(Country_5!$C51="","",Country_5!L51)</f>
        <v/>
      </c>
      <c r="M450" s="19" t="str">
        <f>IF(Country_5!$C51="","",Country_5!M51)</f>
        <v/>
      </c>
      <c r="N450" s="16" t="str">
        <f>IF(Country_5!$C51="","",Country_5!N51)</f>
        <v/>
      </c>
      <c r="O450" s="16" t="str">
        <f>IF(Country_5!$C51="","",Country_5!O51)</f>
        <v/>
      </c>
      <c r="P450" s="16" t="str">
        <f>IF(Country_5!$C51="","",Country_5!P51)</f>
        <v/>
      </c>
      <c r="Q450" s="16" t="str">
        <f>IF(Country_5!$C51="","",Country_5!Q51)</f>
        <v/>
      </c>
    </row>
    <row r="451" spans="1:17" x14ac:dyDescent="0.25">
      <c r="A451" s="16" t="str">
        <f>IF(Country_5!$C52="","",Country_5!A52)</f>
        <v/>
      </c>
      <c r="B451" s="16" t="str">
        <f>IF(Country_5!$C52="","",Country_5!B52)</f>
        <v/>
      </c>
      <c r="C451" s="16" t="str">
        <f>IF(Country_5!$C52="","",Country_5!C52)</f>
        <v/>
      </c>
      <c r="D451" s="16" t="str">
        <f>IF(Country_5!$C52="","",Country_5!D52)</f>
        <v/>
      </c>
      <c r="E451" s="16" t="str">
        <f>IF(Country_5!$C52="","",Country_5!E52)</f>
        <v/>
      </c>
      <c r="F451" s="16" t="str">
        <f>IF(Country_5!$C52="","",Country_5!F52)</f>
        <v/>
      </c>
      <c r="G451" s="17" t="str">
        <f>IF(Country_5!$C52="","",Country_5!G52)</f>
        <v/>
      </c>
      <c r="H451" s="17" t="str">
        <f>IF(Country_5!$C52="","",Country_5!H52)</f>
        <v/>
      </c>
      <c r="I451" s="16" t="str">
        <f>IF(Country_5!$C52="","",Country_5!I52)</f>
        <v/>
      </c>
      <c r="J451" s="16" t="str">
        <f>IF(Country_5!$C52="","",Country_5!J52)</f>
        <v/>
      </c>
      <c r="K451" s="18" t="str">
        <f>IF(Country_5!$C52="","",Country_5!K52)</f>
        <v/>
      </c>
      <c r="L451" s="18" t="str">
        <f>IF(Country_5!$C52="","",Country_5!L52)</f>
        <v/>
      </c>
      <c r="M451" s="19" t="str">
        <f>IF(Country_5!$C52="","",Country_5!M52)</f>
        <v/>
      </c>
      <c r="N451" s="16" t="str">
        <f>IF(Country_5!$C52="","",Country_5!N52)</f>
        <v/>
      </c>
      <c r="O451" s="16" t="str">
        <f>IF(Country_5!$C52="","",Country_5!O52)</f>
        <v/>
      </c>
      <c r="P451" s="16" t="str">
        <f>IF(Country_5!$C52="","",Country_5!P52)</f>
        <v/>
      </c>
      <c r="Q451" s="16" t="str">
        <f>IF(Country_5!$C52="","",Country_5!Q52)</f>
        <v/>
      </c>
    </row>
    <row r="452" spans="1:17" x14ac:dyDescent="0.25">
      <c r="A452" s="16" t="str">
        <f>IF(Country_5!$C53="","",Country_5!A53)</f>
        <v/>
      </c>
      <c r="B452" s="16" t="str">
        <f>IF(Country_5!$C53="","",Country_5!B53)</f>
        <v/>
      </c>
      <c r="C452" s="16" t="str">
        <f>IF(Country_5!$C53="","",Country_5!C53)</f>
        <v/>
      </c>
      <c r="D452" s="16" t="str">
        <f>IF(Country_5!$C53="","",Country_5!D53)</f>
        <v/>
      </c>
      <c r="E452" s="16" t="str">
        <f>IF(Country_5!$C53="","",Country_5!E53)</f>
        <v/>
      </c>
      <c r="F452" s="16" t="str">
        <f>IF(Country_5!$C53="","",Country_5!F53)</f>
        <v/>
      </c>
      <c r="G452" s="17" t="str">
        <f>IF(Country_5!$C53="","",Country_5!G53)</f>
        <v/>
      </c>
      <c r="H452" s="17" t="str">
        <f>IF(Country_5!$C53="","",Country_5!H53)</f>
        <v/>
      </c>
      <c r="I452" s="16" t="str">
        <f>IF(Country_5!$C53="","",Country_5!I53)</f>
        <v/>
      </c>
      <c r="J452" s="16" t="str">
        <f>IF(Country_5!$C53="","",Country_5!J53)</f>
        <v/>
      </c>
      <c r="K452" s="18" t="str">
        <f>IF(Country_5!$C53="","",Country_5!K53)</f>
        <v/>
      </c>
      <c r="L452" s="18" t="str">
        <f>IF(Country_5!$C53="","",Country_5!L53)</f>
        <v/>
      </c>
      <c r="M452" s="19" t="str">
        <f>IF(Country_5!$C53="","",Country_5!M53)</f>
        <v/>
      </c>
      <c r="N452" s="16" t="str">
        <f>IF(Country_5!$C53="","",Country_5!N53)</f>
        <v/>
      </c>
      <c r="O452" s="16" t="str">
        <f>IF(Country_5!$C53="","",Country_5!O53)</f>
        <v/>
      </c>
      <c r="P452" s="16" t="str">
        <f>IF(Country_5!$C53="","",Country_5!P53)</f>
        <v/>
      </c>
      <c r="Q452" s="16" t="str">
        <f>IF(Country_5!$C53="","",Country_5!Q53)</f>
        <v/>
      </c>
    </row>
    <row r="453" spans="1:17" x14ac:dyDescent="0.25">
      <c r="A453" s="16" t="str">
        <f>IF(Country_5!$C54="","",Country_5!A54)</f>
        <v/>
      </c>
      <c r="B453" s="16" t="str">
        <f>IF(Country_5!$C54="","",Country_5!B54)</f>
        <v/>
      </c>
      <c r="C453" s="16" t="str">
        <f>IF(Country_5!$C54="","",Country_5!C54)</f>
        <v/>
      </c>
      <c r="D453" s="16" t="str">
        <f>IF(Country_5!$C54="","",Country_5!D54)</f>
        <v/>
      </c>
      <c r="E453" s="16" t="str">
        <f>IF(Country_5!$C54="","",Country_5!E54)</f>
        <v/>
      </c>
      <c r="F453" s="16" t="str">
        <f>IF(Country_5!$C54="","",Country_5!F54)</f>
        <v/>
      </c>
      <c r="G453" s="17" t="str">
        <f>IF(Country_5!$C54="","",Country_5!G54)</f>
        <v/>
      </c>
      <c r="H453" s="17" t="str">
        <f>IF(Country_5!$C54="","",Country_5!H54)</f>
        <v/>
      </c>
      <c r="I453" s="16" t="str">
        <f>IF(Country_5!$C54="","",Country_5!I54)</f>
        <v/>
      </c>
      <c r="J453" s="16" t="str">
        <f>IF(Country_5!$C54="","",Country_5!J54)</f>
        <v/>
      </c>
      <c r="K453" s="18" t="str">
        <f>IF(Country_5!$C54="","",Country_5!K54)</f>
        <v/>
      </c>
      <c r="L453" s="18" t="str">
        <f>IF(Country_5!$C54="","",Country_5!L54)</f>
        <v/>
      </c>
      <c r="M453" s="19" t="str">
        <f>IF(Country_5!$C54="","",Country_5!M54)</f>
        <v/>
      </c>
      <c r="N453" s="16" t="str">
        <f>IF(Country_5!$C54="","",Country_5!N54)</f>
        <v/>
      </c>
      <c r="O453" s="16" t="str">
        <f>IF(Country_5!$C54="","",Country_5!O54)</f>
        <v/>
      </c>
      <c r="P453" s="16" t="str">
        <f>IF(Country_5!$C54="","",Country_5!P54)</f>
        <v/>
      </c>
      <c r="Q453" s="16" t="str">
        <f>IF(Country_5!$C54="","",Country_5!Q54)</f>
        <v/>
      </c>
    </row>
    <row r="454" spans="1:17" x14ac:dyDescent="0.25">
      <c r="A454" s="16" t="str">
        <f>IF(Country_5!$C55="","",Country_5!A55)</f>
        <v/>
      </c>
      <c r="B454" s="16" t="str">
        <f>IF(Country_5!$C55="","",Country_5!B55)</f>
        <v/>
      </c>
      <c r="C454" s="16" t="str">
        <f>IF(Country_5!$C55="","",Country_5!C55)</f>
        <v/>
      </c>
      <c r="D454" s="16" t="str">
        <f>IF(Country_5!$C55="","",Country_5!D55)</f>
        <v/>
      </c>
      <c r="E454" s="16" t="str">
        <f>IF(Country_5!$C55="","",Country_5!E55)</f>
        <v/>
      </c>
      <c r="F454" s="16" t="str">
        <f>IF(Country_5!$C55="","",Country_5!F55)</f>
        <v/>
      </c>
      <c r="G454" s="17" t="str">
        <f>IF(Country_5!$C55="","",Country_5!G55)</f>
        <v/>
      </c>
      <c r="H454" s="17" t="str">
        <f>IF(Country_5!$C55="","",Country_5!H55)</f>
        <v/>
      </c>
      <c r="I454" s="16" t="str">
        <f>IF(Country_5!$C55="","",Country_5!I55)</f>
        <v/>
      </c>
      <c r="J454" s="16" t="str">
        <f>IF(Country_5!$C55="","",Country_5!J55)</f>
        <v/>
      </c>
      <c r="K454" s="18" t="str">
        <f>IF(Country_5!$C55="","",Country_5!K55)</f>
        <v/>
      </c>
      <c r="L454" s="18" t="str">
        <f>IF(Country_5!$C55="","",Country_5!L55)</f>
        <v/>
      </c>
      <c r="M454" s="19" t="str">
        <f>IF(Country_5!$C55="","",Country_5!M55)</f>
        <v/>
      </c>
      <c r="N454" s="16" t="str">
        <f>IF(Country_5!$C55="","",Country_5!N55)</f>
        <v/>
      </c>
      <c r="O454" s="16" t="str">
        <f>IF(Country_5!$C55="","",Country_5!O55)</f>
        <v/>
      </c>
      <c r="P454" s="16" t="str">
        <f>IF(Country_5!$C55="","",Country_5!P55)</f>
        <v/>
      </c>
      <c r="Q454" s="16" t="str">
        <f>IF(Country_5!$C55="","",Country_5!Q55)</f>
        <v/>
      </c>
    </row>
    <row r="455" spans="1:17" x14ac:dyDescent="0.25">
      <c r="A455" s="16" t="str">
        <f>IF(Country_5!$C56="","",Country_5!A56)</f>
        <v/>
      </c>
      <c r="B455" s="16" t="str">
        <f>IF(Country_5!$C56="","",Country_5!B56)</f>
        <v/>
      </c>
      <c r="C455" s="16" t="str">
        <f>IF(Country_5!$C56="","",Country_5!C56)</f>
        <v/>
      </c>
      <c r="D455" s="16" t="str">
        <f>IF(Country_5!$C56="","",Country_5!D56)</f>
        <v/>
      </c>
      <c r="E455" s="16" t="str">
        <f>IF(Country_5!$C56="","",Country_5!E56)</f>
        <v/>
      </c>
      <c r="F455" s="16" t="str">
        <f>IF(Country_5!$C56="","",Country_5!F56)</f>
        <v/>
      </c>
      <c r="G455" s="17" t="str">
        <f>IF(Country_5!$C56="","",Country_5!G56)</f>
        <v/>
      </c>
      <c r="H455" s="17" t="str">
        <f>IF(Country_5!$C56="","",Country_5!H56)</f>
        <v/>
      </c>
      <c r="I455" s="16" t="str">
        <f>IF(Country_5!$C56="","",Country_5!I56)</f>
        <v/>
      </c>
      <c r="J455" s="16" t="str">
        <f>IF(Country_5!$C56="","",Country_5!J56)</f>
        <v/>
      </c>
      <c r="K455" s="18" t="str">
        <f>IF(Country_5!$C56="","",Country_5!K56)</f>
        <v/>
      </c>
      <c r="L455" s="18" t="str">
        <f>IF(Country_5!$C56="","",Country_5!L56)</f>
        <v/>
      </c>
      <c r="M455" s="19" t="str">
        <f>IF(Country_5!$C56="","",Country_5!M56)</f>
        <v/>
      </c>
      <c r="N455" s="16" t="str">
        <f>IF(Country_5!$C56="","",Country_5!N56)</f>
        <v/>
      </c>
      <c r="O455" s="16" t="str">
        <f>IF(Country_5!$C56="","",Country_5!O56)</f>
        <v/>
      </c>
      <c r="P455" s="16" t="str">
        <f>IF(Country_5!$C56="","",Country_5!P56)</f>
        <v/>
      </c>
      <c r="Q455" s="16" t="str">
        <f>IF(Country_5!$C56="","",Country_5!Q56)</f>
        <v/>
      </c>
    </row>
    <row r="456" spans="1:17" x14ac:dyDescent="0.25">
      <c r="A456" s="16" t="str">
        <f>IF(Country_5!$C57="","",Country_5!A57)</f>
        <v/>
      </c>
      <c r="B456" s="16" t="str">
        <f>IF(Country_5!$C57="","",Country_5!B57)</f>
        <v/>
      </c>
      <c r="C456" s="16" t="str">
        <f>IF(Country_5!$C57="","",Country_5!C57)</f>
        <v/>
      </c>
      <c r="D456" s="16" t="str">
        <f>IF(Country_5!$C57="","",Country_5!D57)</f>
        <v/>
      </c>
      <c r="E456" s="16" t="str">
        <f>IF(Country_5!$C57="","",Country_5!E57)</f>
        <v/>
      </c>
      <c r="F456" s="16" t="str">
        <f>IF(Country_5!$C57="","",Country_5!F57)</f>
        <v/>
      </c>
      <c r="G456" s="17" t="str">
        <f>IF(Country_5!$C57="","",Country_5!G57)</f>
        <v/>
      </c>
      <c r="H456" s="17" t="str">
        <f>IF(Country_5!$C57="","",Country_5!H57)</f>
        <v/>
      </c>
      <c r="I456" s="16" t="str">
        <f>IF(Country_5!$C57="","",Country_5!I57)</f>
        <v/>
      </c>
      <c r="J456" s="16" t="str">
        <f>IF(Country_5!$C57="","",Country_5!J57)</f>
        <v/>
      </c>
      <c r="K456" s="18" t="str">
        <f>IF(Country_5!$C57="","",Country_5!K57)</f>
        <v/>
      </c>
      <c r="L456" s="18" t="str">
        <f>IF(Country_5!$C57="","",Country_5!L57)</f>
        <v/>
      </c>
      <c r="M456" s="19" t="str">
        <f>IF(Country_5!$C57="","",Country_5!M57)</f>
        <v/>
      </c>
      <c r="N456" s="16" t="str">
        <f>IF(Country_5!$C57="","",Country_5!N57)</f>
        <v/>
      </c>
      <c r="O456" s="16" t="str">
        <f>IF(Country_5!$C57="","",Country_5!O57)</f>
        <v/>
      </c>
      <c r="P456" s="16" t="str">
        <f>IF(Country_5!$C57="","",Country_5!P57)</f>
        <v/>
      </c>
      <c r="Q456" s="16" t="str">
        <f>IF(Country_5!$C57="","",Country_5!Q57)</f>
        <v/>
      </c>
    </row>
    <row r="457" spans="1:17" x14ac:dyDescent="0.25">
      <c r="A457" s="16" t="str">
        <f>IF(Country_5!$C58="","",Country_5!A58)</f>
        <v/>
      </c>
      <c r="B457" s="16" t="str">
        <f>IF(Country_5!$C58="","",Country_5!B58)</f>
        <v/>
      </c>
      <c r="C457" s="16" t="str">
        <f>IF(Country_5!$C58="","",Country_5!C58)</f>
        <v/>
      </c>
      <c r="D457" s="16" t="str">
        <f>IF(Country_5!$C58="","",Country_5!D58)</f>
        <v/>
      </c>
      <c r="E457" s="16" t="str">
        <f>IF(Country_5!$C58="","",Country_5!E58)</f>
        <v/>
      </c>
      <c r="F457" s="16" t="str">
        <f>IF(Country_5!$C58="","",Country_5!F58)</f>
        <v/>
      </c>
      <c r="G457" s="17" t="str">
        <f>IF(Country_5!$C58="","",Country_5!G58)</f>
        <v/>
      </c>
      <c r="H457" s="17" t="str">
        <f>IF(Country_5!$C58="","",Country_5!H58)</f>
        <v/>
      </c>
      <c r="I457" s="16" t="str">
        <f>IF(Country_5!$C58="","",Country_5!I58)</f>
        <v/>
      </c>
      <c r="J457" s="16" t="str">
        <f>IF(Country_5!$C58="","",Country_5!J58)</f>
        <v/>
      </c>
      <c r="K457" s="18" t="str">
        <f>IF(Country_5!$C58="","",Country_5!K58)</f>
        <v/>
      </c>
      <c r="L457" s="18" t="str">
        <f>IF(Country_5!$C58="","",Country_5!L58)</f>
        <v/>
      </c>
      <c r="M457" s="19" t="str">
        <f>IF(Country_5!$C58="","",Country_5!M58)</f>
        <v/>
      </c>
      <c r="N457" s="16" t="str">
        <f>IF(Country_5!$C58="","",Country_5!N58)</f>
        <v/>
      </c>
      <c r="O457" s="16" t="str">
        <f>IF(Country_5!$C58="","",Country_5!O58)</f>
        <v/>
      </c>
      <c r="P457" s="16" t="str">
        <f>IF(Country_5!$C58="","",Country_5!P58)</f>
        <v/>
      </c>
      <c r="Q457" s="16" t="str">
        <f>IF(Country_5!$C58="","",Country_5!Q58)</f>
        <v/>
      </c>
    </row>
    <row r="458" spans="1:17" x14ac:dyDescent="0.25">
      <c r="A458" s="16" t="str">
        <f>IF(Country_5!$C59="","",Country_5!A59)</f>
        <v/>
      </c>
      <c r="B458" s="16" t="str">
        <f>IF(Country_5!$C59="","",Country_5!B59)</f>
        <v/>
      </c>
      <c r="C458" s="16" t="str">
        <f>IF(Country_5!$C59="","",Country_5!C59)</f>
        <v/>
      </c>
      <c r="D458" s="16" t="str">
        <f>IF(Country_5!$C59="","",Country_5!D59)</f>
        <v/>
      </c>
      <c r="E458" s="16" t="str">
        <f>IF(Country_5!$C59="","",Country_5!E59)</f>
        <v/>
      </c>
      <c r="F458" s="16" t="str">
        <f>IF(Country_5!$C59="","",Country_5!F59)</f>
        <v/>
      </c>
      <c r="G458" s="17" t="str">
        <f>IF(Country_5!$C59="","",Country_5!G59)</f>
        <v/>
      </c>
      <c r="H458" s="17" t="str">
        <f>IF(Country_5!$C59="","",Country_5!H59)</f>
        <v/>
      </c>
      <c r="I458" s="16" t="str">
        <f>IF(Country_5!$C59="","",Country_5!I59)</f>
        <v/>
      </c>
      <c r="J458" s="16" t="str">
        <f>IF(Country_5!$C59="","",Country_5!J59)</f>
        <v/>
      </c>
      <c r="K458" s="18" t="str">
        <f>IF(Country_5!$C59="","",Country_5!K59)</f>
        <v/>
      </c>
      <c r="L458" s="18" t="str">
        <f>IF(Country_5!$C59="","",Country_5!L59)</f>
        <v/>
      </c>
      <c r="M458" s="19" t="str">
        <f>IF(Country_5!$C59="","",Country_5!M59)</f>
        <v/>
      </c>
      <c r="N458" s="16" t="str">
        <f>IF(Country_5!$C59="","",Country_5!N59)</f>
        <v/>
      </c>
      <c r="O458" s="16" t="str">
        <f>IF(Country_5!$C59="","",Country_5!O59)</f>
        <v/>
      </c>
      <c r="P458" s="16" t="str">
        <f>IF(Country_5!$C59="","",Country_5!P59)</f>
        <v/>
      </c>
      <c r="Q458" s="16" t="str">
        <f>IF(Country_5!$C59="","",Country_5!Q59)</f>
        <v/>
      </c>
    </row>
    <row r="459" spans="1:17" x14ac:dyDescent="0.25">
      <c r="A459" s="16" t="str">
        <f>IF(Country_5!$C60="","",Country_5!A60)</f>
        <v/>
      </c>
      <c r="B459" s="16" t="str">
        <f>IF(Country_5!$C60="","",Country_5!B60)</f>
        <v/>
      </c>
      <c r="C459" s="16" t="str">
        <f>IF(Country_5!$C60="","",Country_5!C60)</f>
        <v/>
      </c>
      <c r="D459" s="16" t="str">
        <f>IF(Country_5!$C60="","",Country_5!D60)</f>
        <v/>
      </c>
      <c r="E459" s="16" t="str">
        <f>IF(Country_5!$C60="","",Country_5!E60)</f>
        <v/>
      </c>
      <c r="F459" s="16" t="str">
        <f>IF(Country_5!$C60="","",Country_5!F60)</f>
        <v/>
      </c>
      <c r="G459" s="17" t="str">
        <f>IF(Country_5!$C60="","",Country_5!G60)</f>
        <v/>
      </c>
      <c r="H459" s="17" t="str">
        <f>IF(Country_5!$C60="","",Country_5!H60)</f>
        <v/>
      </c>
      <c r="I459" s="16" t="str">
        <f>IF(Country_5!$C60="","",Country_5!I60)</f>
        <v/>
      </c>
      <c r="J459" s="16" t="str">
        <f>IF(Country_5!$C60="","",Country_5!J60)</f>
        <v/>
      </c>
      <c r="K459" s="18" t="str">
        <f>IF(Country_5!$C60="","",Country_5!K60)</f>
        <v/>
      </c>
      <c r="L459" s="18" t="str">
        <f>IF(Country_5!$C60="","",Country_5!L60)</f>
        <v/>
      </c>
      <c r="M459" s="19" t="str">
        <f>IF(Country_5!$C60="","",Country_5!M60)</f>
        <v/>
      </c>
      <c r="N459" s="16" t="str">
        <f>IF(Country_5!$C60="","",Country_5!N60)</f>
        <v/>
      </c>
      <c r="O459" s="16" t="str">
        <f>IF(Country_5!$C60="","",Country_5!O60)</f>
        <v/>
      </c>
      <c r="P459" s="16" t="str">
        <f>IF(Country_5!$C60="","",Country_5!P60)</f>
        <v/>
      </c>
      <c r="Q459" s="16" t="str">
        <f>IF(Country_5!$C60="","",Country_5!Q60)</f>
        <v/>
      </c>
    </row>
    <row r="460" spans="1:17" x14ac:dyDescent="0.25">
      <c r="A460" s="16" t="str">
        <f>IF(Country_5!$C61="","",Country_5!A61)</f>
        <v/>
      </c>
      <c r="B460" s="16" t="str">
        <f>IF(Country_5!$C61="","",Country_5!B61)</f>
        <v/>
      </c>
      <c r="C460" s="16" t="str">
        <f>IF(Country_5!$C61="","",Country_5!C61)</f>
        <v/>
      </c>
      <c r="D460" s="16" t="str">
        <f>IF(Country_5!$C61="","",Country_5!D61)</f>
        <v/>
      </c>
      <c r="E460" s="16" t="str">
        <f>IF(Country_5!$C61="","",Country_5!E61)</f>
        <v/>
      </c>
      <c r="F460" s="16" t="str">
        <f>IF(Country_5!$C61="","",Country_5!F61)</f>
        <v/>
      </c>
      <c r="G460" s="17" t="str">
        <f>IF(Country_5!$C61="","",Country_5!G61)</f>
        <v/>
      </c>
      <c r="H460" s="17" t="str">
        <f>IF(Country_5!$C61="","",Country_5!H61)</f>
        <v/>
      </c>
      <c r="I460" s="16" t="str">
        <f>IF(Country_5!$C61="","",Country_5!I61)</f>
        <v/>
      </c>
      <c r="J460" s="16" t="str">
        <f>IF(Country_5!$C61="","",Country_5!J61)</f>
        <v/>
      </c>
      <c r="K460" s="18" t="str">
        <f>IF(Country_5!$C61="","",Country_5!K61)</f>
        <v/>
      </c>
      <c r="L460" s="18" t="str">
        <f>IF(Country_5!$C61="","",Country_5!L61)</f>
        <v/>
      </c>
      <c r="M460" s="19" t="str">
        <f>IF(Country_5!$C61="","",Country_5!M61)</f>
        <v/>
      </c>
      <c r="N460" s="16" t="str">
        <f>IF(Country_5!$C61="","",Country_5!N61)</f>
        <v/>
      </c>
      <c r="O460" s="16" t="str">
        <f>IF(Country_5!$C61="","",Country_5!O61)</f>
        <v/>
      </c>
      <c r="P460" s="16" t="str">
        <f>IF(Country_5!$C61="","",Country_5!P61)</f>
        <v/>
      </c>
      <c r="Q460" s="16" t="str">
        <f>IF(Country_5!$C61="","",Country_5!Q61)</f>
        <v/>
      </c>
    </row>
    <row r="461" spans="1:17" x14ac:dyDescent="0.25">
      <c r="A461" s="16" t="str">
        <f>IF(Country_5!$C62="","",Country_5!A62)</f>
        <v/>
      </c>
      <c r="B461" s="16" t="str">
        <f>IF(Country_5!$C62="","",Country_5!B62)</f>
        <v/>
      </c>
      <c r="C461" s="16" t="str">
        <f>IF(Country_5!$C62="","",Country_5!C62)</f>
        <v/>
      </c>
      <c r="D461" s="16" t="str">
        <f>IF(Country_5!$C62="","",Country_5!D62)</f>
        <v/>
      </c>
      <c r="E461" s="16" t="str">
        <f>IF(Country_5!$C62="","",Country_5!E62)</f>
        <v/>
      </c>
      <c r="F461" s="16" t="str">
        <f>IF(Country_5!$C62="","",Country_5!F62)</f>
        <v/>
      </c>
      <c r="G461" s="17" t="str">
        <f>IF(Country_5!$C62="","",Country_5!G62)</f>
        <v/>
      </c>
      <c r="H461" s="17" t="str">
        <f>IF(Country_5!$C62="","",Country_5!H62)</f>
        <v/>
      </c>
      <c r="I461" s="16" t="str">
        <f>IF(Country_5!$C62="","",Country_5!I62)</f>
        <v/>
      </c>
      <c r="J461" s="16" t="str">
        <f>IF(Country_5!$C62="","",Country_5!J62)</f>
        <v/>
      </c>
      <c r="K461" s="18" t="str">
        <f>IF(Country_5!$C62="","",Country_5!K62)</f>
        <v/>
      </c>
      <c r="L461" s="18" t="str">
        <f>IF(Country_5!$C62="","",Country_5!L62)</f>
        <v/>
      </c>
      <c r="M461" s="19" t="str">
        <f>IF(Country_5!$C62="","",Country_5!M62)</f>
        <v/>
      </c>
      <c r="N461" s="16" t="str">
        <f>IF(Country_5!$C62="","",Country_5!N62)</f>
        <v/>
      </c>
      <c r="O461" s="16" t="str">
        <f>IF(Country_5!$C62="","",Country_5!O62)</f>
        <v/>
      </c>
      <c r="P461" s="16" t="str">
        <f>IF(Country_5!$C62="","",Country_5!P62)</f>
        <v/>
      </c>
      <c r="Q461" s="16" t="str">
        <f>IF(Country_5!$C62="","",Country_5!Q62)</f>
        <v/>
      </c>
    </row>
    <row r="462" spans="1:17" x14ac:dyDescent="0.25">
      <c r="A462" s="16" t="str">
        <f>IF(Country_5!$C63="","",Country_5!A63)</f>
        <v/>
      </c>
      <c r="B462" s="16" t="str">
        <f>IF(Country_5!$C63="","",Country_5!B63)</f>
        <v/>
      </c>
      <c r="C462" s="16" t="str">
        <f>IF(Country_5!$C63="","",Country_5!C63)</f>
        <v/>
      </c>
      <c r="D462" s="16" t="str">
        <f>IF(Country_5!$C63="","",Country_5!D63)</f>
        <v/>
      </c>
      <c r="E462" s="16" t="str">
        <f>IF(Country_5!$C63="","",Country_5!E63)</f>
        <v/>
      </c>
      <c r="F462" s="16" t="str">
        <f>IF(Country_5!$C63="","",Country_5!F63)</f>
        <v/>
      </c>
      <c r="G462" s="17" t="str">
        <f>IF(Country_5!$C63="","",Country_5!G63)</f>
        <v/>
      </c>
      <c r="H462" s="17" t="str">
        <f>IF(Country_5!$C63="","",Country_5!H63)</f>
        <v/>
      </c>
      <c r="I462" s="16" t="str">
        <f>IF(Country_5!$C63="","",Country_5!I63)</f>
        <v/>
      </c>
      <c r="J462" s="16" t="str">
        <f>IF(Country_5!$C63="","",Country_5!J63)</f>
        <v/>
      </c>
      <c r="K462" s="18" t="str">
        <f>IF(Country_5!$C63="","",Country_5!K63)</f>
        <v/>
      </c>
      <c r="L462" s="18" t="str">
        <f>IF(Country_5!$C63="","",Country_5!L63)</f>
        <v/>
      </c>
      <c r="M462" s="19" t="str">
        <f>IF(Country_5!$C63="","",Country_5!M63)</f>
        <v/>
      </c>
      <c r="N462" s="16" t="str">
        <f>IF(Country_5!$C63="","",Country_5!N63)</f>
        <v/>
      </c>
      <c r="O462" s="16" t="str">
        <f>IF(Country_5!$C63="","",Country_5!O63)</f>
        <v/>
      </c>
      <c r="P462" s="16" t="str">
        <f>IF(Country_5!$C63="","",Country_5!P63)</f>
        <v/>
      </c>
      <c r="Q462" s="16" t="str">
        <f>IF(Country_5!$C63="","",Country_5!Q63)</f>
        <v/>
      </c>
    </row>
    <row r="463" spans="1:17" x14ac:dyDescent="0.25">
      <c r="A463" s="16" t="str">
        <f>IF(Country_5!$C64="","",Country_5!A64)</f>
        <v/>
      </c>
      <c r="B463" s="16" t="str">
        <f>IF(Country_5!$C64="","",Country_5!B64)</f>
        <v/>
      </c>
      <c r="C463" s="16" t="str">
        <f>IF(Country_5!$C64="","",Country_5!C64)</f>
        <v/>
      </c>
      <c r="D463" s="16" t="str">
        <f>IF(Country_5!$C64="","",Country_5!D64)</f>
        <v/>
      </c>
      <c r="E463" s="16" t="str">
        <f>IF(Country_5!$C64="","",Country_5!E64)</f>
        <v/>
      </c>
      <c r="F463" s="16" t="str">
        <f>IF(Country_5!$C64="","",Country_5!F64)</f>
        <v/>
      </c>
      <c r="G463" s="17" t="str">
        <f>IF(Country_5!$C64="","",Country_5!G64)</f>
        <v/>
      </c>
      <c r="H463" s="17" t="str">
        <f>IF(Country_5!$C64="","",Country_5!H64)</f>
        <v/>
      </c>
      <c r="I463" s="16" t="str">
        <f>IF(Country_5!$C64="","",Country_5!I64)</f>
        <v/>
      </c>
      <c r="J463" s="16" t="str">
        <f>IF(Country_5!$C64="","",Country_5!J64)</f>
        <v/>
      </c>
      <c r="K463" s="18" t="str">
        <f>IF(Country_5!$C64="","",Country_5!K64)</f>
        <v/>
      </c>
      <c r="L463" s="18" t="str">
        <f>IF(Country_5!$C64="","",Country_5!L64)</f>
        <v/>
      </c>
      <c r="M463" s="19" t="str">
        <f>IF(Country_5!$C64="","",Country_5!M64)</f>
        <v/>
      </c>
      <c r="N463" s="16" t="str">
        <f>IF(Country_5!$C64="","",Country_5!N64)</f>
        <v/>
      </c>
      <c r="O463" s="16" t="str">
        <f>IF(Country_5!$C64="","",Country_5!O64)</f>
        <v/>
      </c>
      <c r="P463" s="16" t="str">
        <f>IF(Country_5!$C64="","",Country_5!P64)</f>
        <v/>
      </c>
      <c r="Q463" s="16" t="str">
        <f>IF(Country_5!$C64="","",Country_5!Q64)</f>
        <v/>
      </c>
    </row>
    <row r="464" spans="1:17" x14ac:dyDescent="0.25">
      <c r="A464" s="16" t="str">
        <f>IF(Country_5!$C65="","",Country_5!A65)</f>
        <v/>
      </c>
      <c r="B464" s="16" t="str">
        <f>IF(Country_5!$C65="","",Country_5!B65)</f>
        <v/>
      </c>
      <c r="C464" s="16" t="str">
        <f>IF(Country_5!$C65="","",Country_5!C65)</f>
        <v/>
      </c>
      <c r="D464" s="16" t="str">
        <f>IF(Country_5!$C65="","",Country_5!D65)</f>
        <v/>
      </c>
      <c r="E464" s="16" t="str">
        <f>IF(Country_5!$C65="","",Country_5!E65)</f>
        <v/>
      </c>
      <c r="F464" s="16" t="str">
        <f>IF(Country_5!$C65="","",Country_5!F65)</f>
        <v/>
      </c>
      <c r="G464" s="17" t="str">
        <f>IF(Country_5!$C65="","",Country_5!G65)</f>
        <v/>
      </c>
      <c r="H464" s="17" t="str">
        <f>IF(Country_5!$C65="","",Country_5!H65)</f>
        <v/>
      </c>
      <c r="I464" s="16" t="str">
        <f>IF(Country_5!$C65="","",Country_5!I65)</f>
        <v/>
      </c>
      <c r="J464" s="16" t="str">
        <f>IF(Country_5!$C65="","",Country_5!J65)</f>
        <v/>
      </c>
      <c r="K464" s="18" t="str">
        <f>IF(Country_5!$C65="","",Country_5!K65)</f>
        <v/>
      </c>
      <c r="L464" s="18" t="str">
        <f>IF(Country_5!$C65="","",Country_5!L65)</f>
        <v/>
      </c>
      <c r="M464" s="19" t="str">
        <f>IF(Country_5!$C65="","",Country_5!M65)</f>
        <v/>
      </c>
      <c r="N464" s="16" t="str">
        <f>IF(Country_5!$C65="","",Country_5!N65)</f>
        <v/>
      </c>
      <c r="O464" s="16" t="str">
        <f>IF(Country_5!$C65="","",Country_5!O65)</f>
        <v/>
      </c>
      <c r="P464" s="16" t="str">
        <f>IF(Country_5!$C65="","",Country_5!P65)</f>
        <v/>
      </c>
      <c r="Q464" s="16" t="str">
        <f>IF(Country_5!$C65="","",Country_5!Q65)</f>
        <v/>
      </c>
    </row>
    <row r="465" spans="1:17" x14ac:dyDescent="0.25">
      <c r="A465" s="16" t="str">
        <f>IF(Country_5!$C66="","",Country_5!A66)</f>
        <v/>
      </c>
      <c r="B465" s="16" t="str">
        <f>IF(Country_5!$C66="","",Country_5!B66)</f>
        <v/>
      </c>
      <c r="C465" s="16" t="str">
        <f>IF(Country_5!$C66="","",Country_5!C66)</f>
        <v/>
      </c>
      <c r="D465" s="16" t="str">
        <f>IF(Country_5!$C66="","",Country_5!D66)</f>
        <v/>
      </c>
      <c r="E465" s="16" t="str">
        <f>IF(Country_5!$C66="","",Country_5!E66)</f>
        <v/>
      </c>
      <c r="F465" s="16" t="str">
        <f>IF(Country_5!$C66="","",Country_5!F66)</f>
        <v/>
      </c>
      <c r="G465" s="17" t="str">
        <f>IF(Country_5!$C66="","",Country_5!G66)</f>
        <v/>
      </c>
      <c r="H465" s="17" t="str">
        <f>IF(Country_5!$C66="","",Country_5!H66)</f>
        <v/>
      </c>
      <c r="I465" s="16" t="str">
        <f>IF(Country_5!$C66="","",Country_5!I66)</f>
        <v/>
      </c>
      <c r="J465" s="16" t="str">
        <f>IF(Country_5!$C66="","",Country_5!J66)</f>
        <v/>
      </c>
      <c r="K465" s="18" t="str">
        <f>IF(Country_5!$C66="","",Country_5!K66)</f>
        <v/>
      </c>
      <c r="L465" s="18" t="str">
        <f>IF(Country_5!$C66="","",Country_5!L66)</f>
        <v/>
      </c>
      <c r="M465" s="19" t="str">
        <f>IF(Country_5!$C66="","",Country_5!M66)</f>
        <v/>
      </c>
      <c r="N465" s="16" t="str">
        <f>IF(Country_5!$C66="","",Country_5!N66)</f>
        <v/>
      </c>
      <c r="O465" s="16" t="str">
        <f>IF(Country_5!$C66="","",Country_5!O66)</f>
        <v/>
      </c>
      <c r="P465" s="16" t="str">
        <f>IF(Country_5!$C66="","",Country_5!P66)</f>
        <v/>
      </c>
      <c r="Q465" s="16" t="str">
        <f>IF(Country_5!$C66="","",Country_5!Q66)</f>
        <v/>
      </c>
    </row>
    <row r="466" spans="1:17" x14ac:dyDescent="0.25">
      <c r="A466" s="16" t="str">
        <f>IF(Country_5!$C67="","",Country_5!A67)</f>
        <v/>
      </c>
      <c r="B466" s="16" t="str">
        <f>IF(Country_5!$C67="","",Country_5!B67)</f>
        <v/>
      </c>
      <c r="C466" s="16" t="str">
        <f>IF(Country_5!$C67="","",Country_5!C67)</f>
        <v/>
      </c>
      <c r="D466" s="16" t="str">
        <f>IF(Country_5!$C67="","",Country_5!D67)</f>
        <v/>
      </c>
      <c r="E466" s="16" t="str">
        <f>IF(Country_5!$C67="","",Country_5!E67)</f>
        <v/>
      </c>
      <c r="F466" s="16" t="str">
        <f>IF(Country_5!$C67="","",Country_5!F67)</f>
        <v/>
      </c>
      <c r="G466" s="17" t="str">
        <f>IF(Country_5!$C67="","",Country_5!G67)</f>
        <v/>
      </c>
      <c r="H466" s="17" t="str">
        <f>IF(Country_5!$C67="","",Country_5!H67)</f>
        <v/>
      </c>
      <c r="I466" s="16" t="str">
        <f>IF(Country_5!$C67="","",Country_5!I67)</f>
        <v/>
      </c>
      <c r="J466" s="16" t="str">
        <f>IF(Country_5!$C67="","",Country_5!J67)</f>
        <v/>
      </c>
      <c r="K466" s="18" t="str">
        <f>IF(Country_5!$C67="","",Country_5!K67)</f>
        <v/>
      </c>
      <c r="L466" s="18" t="str">
        <f>IF(Country_5!$C67="","",Country_5!L67)</f>
        <v/>
      </c>
      <c r="M466" s="19" t="str">
        <f>IF(Country_5!$C67="","",Country_5!M67)</f>
        <v/>
      </c>
      <c r="N466" s="16" t="str">
        <f>IF(Country_5!$C67="","",Country_5!N67)</f>
        <v/>
      </c>
      <c r="O466" s="16" t="str">
        <f>IF(Country_5!$C67="","",Country_5!O67)</f>
        <v/>
      </c>
      <c r="P466" s="16" t="str">
        <f>IF(Country_5!$C67="","",Country_5!P67)</f>
        <v/>
      </c>
      <c r="Q466" s="16" t="str">
        <f>IF(Country_5!$C67="","",Country_5!Q67)</f>
        <v/>
      </c>
    </row>
    <row r="467" spans="1:17" x14ac:dyDescent="0.25">
      <c r="A467" s="16" t="str">
        <f>IF(Country_5!$C68="","",Country_5!A68)</f>
        <v/>
      </c>
      <c r="B467" s="16" t="str">
        <f>IF(Country_5!$C68="","",Country_5!B68)</f>
        <v/>
      </c>
      <c r="C467" s="16" t="str">
        <f>IF(Country_5!$C68="","",Country_5!C68)</f>
        <v/>
      </c>
      <c r="D467" s="16" t="str">
        <f>IF(Country_5!$C68="","",Country_5!D68)</f>
        <v/>
      </c>
      <c r="E467" s="16" t="str">
        <f>IF(Country_5!$C68="","",Country_5!E68)</f>
        <v/>
      </c>
      <c r="F467" s="16" t="str">
        <f>IF(Country_5!$C68="","",Country_5!F68)</f>
        <v/>
      </c>
      <c r="G467" s="17" t="str">
        <f>IF(Country_5!$C68="","",Country_5!G68)</f>
        <v/>
      </c>
      <c r="H467" s="17" t="str">
        <f>IF(Country_5!$C68="","",Country_5!H68)</f>
        <v/>
      </c>
      <c r="I467" s="16" t="str">
        <f>IF(Country_5!$C68="","",Country_5!I68)</f>
        <v/>
      </c>
      <c r="J467" s="16" t="str">
        <f>IF(Country_5!$C68="","",Country_5!J68)</f>
        <v/>
      </c>
      <c r="K467" s="18" t="str">
        <f>IF(Country_5!$C68="","",Country_5!K68)</f>
        <v/>
      </c>
      <c r="L467" s="18" t="str">
        <f>IF(Country_5!$C68="","",Country_5!L68)</f>
        <v/>
      </c>
      <c r="M467" s="19" t="str">
        <f>IF(Country_5!$C68="","",Country_5!M68)</f>
        <v/>
      </c>
      <c r="N467" s="16" t="str">
        <f>IF(Country_5!$C68="","",Country_5!N68)</f>
        <v/>
      </c>
      <c r="O467" s="16" t="str">
        <f>IF(Country_5!$C68="","",Country_5!O68)</f>
        <v/>
      </c>
      <c r="P467" s="16" t="str">
        <f>IF(Country_5!$C68="","",Country_5!P68)</f>
        <v/>
      </c>
      <c r="Q467" s="16" t="str">
        <f>IF(Country_5!$C68="","",Country_5!Q68)</f>
        <v/>
      </c>
    </row>
    <row r="468" spans="1:17" x14ac:dyDescent="0.25">
      <c r="A468" s="16" t="str">
        <f>IF(Country_5!$C69="","",Country_5!A69)</f>
        <v/>
      </c>
      <c r="B468" s="16" t="str">
        <f>IF(Country_5!$C69="","",Country_5!B69)</f>
        <v/>
      </c>
      <c r="C468" s="16" t="str">
        <f>IF(Country_5!$C69="","",Country_5!C69)</f>
        <v/>
      </c>
      <c r="D468" s="16" t="str">
        <f>IF(Country_5!$C69="","",Country_5!D69)</f>
        <v/>
      </c>
      <c r="E468" s="16" t="str">
        <f>IF(Country_5!$C69="","",Country_5!E69)</f>
        <v/>
      </c>
      <c r="F468" s="16" t="str">
        <f>IF(Country_5!$C69="","",Country_5!F69)</f>
        <v/>
      </c>
      <c r="G468" s="17" t="str">
        <f>IF(Country_5!$C69="","",Country_5!G69)</f>
        <v/>
      </c>
      <c r="H468" s="17" t="str">
        <f>IF(Country_5!$C69="","",Country_5!H69)</f>
        <v/>
      </c>
      <c r="I468" s="16" t="str">
        <f>IF(Country_5!$C69="","",Country_5!I69)</f>
        <v/>
      </c>
      <c r="J468" s="16" t="str">
        <f>IF(Country_5!$C69="","",Country_5!J69)</f>
        <v/>
      </c>
      <c r="K468" s="18" t="str">
        <f>IF(Country_5!$C69="","",Country_5!K69)</f>
        <v/>
      </c>
      <c r="L468" s="18" t="str">
        <f>IF(Country_5!$C69="","",Country_5!L69)</f>
        <v/>
      </c>
      <c r="M468" s="19" t="str">
        <f>IF(Country_5!$C69="","",Country_5!M69)</f>
        <v/>
      </c>
      <c r="N468" s="16" t="str">
        <f>IF(Country_5!$C69="","",Country_5!N69)</f>
        <v/>
      </c>
      <c r="O468" s="16" t="str">
        <f>IF(Country_5!$C69="","",Country_5!O69)</f>
        <v/>
      </c>
      <c r="P468" s="16" t="str">
        <f>IF(Country_5!$C69="","",Country_5!P69)</f>
        <v/>
      </c>
      <c r="Q468" s="16" t="str">
        <f>IF(Country_5!$C69="","",Country_5!Q69)</f>
        <v/>
      </c>
    </row>
    <row r="469" spans="1:17" x14ac:dyDescent="0.25">
      <c r="A469" s="16" t="str">
        <f>IF(Country_5!$C70="","",Country_5!A70)</f>
        <v/>
      </c>
      <c r="B469" s="16" t="str">
        <f>IF(Country_5!$C70="","",Country_5!B70)</f>
        <v/>
      </c>
      <c r="C469" s="16" t="str">
        <f>IF(Country_5!$C70="","",Country_5!C70)</f>
        <v/>
      </c>
      <c r="D469" s="16" t="str">
        <f>IF(Country_5!$C70="","",Country_5!D70)</f>
        <v/>
      </c>
      <c r="E469" s="16" t="str">
        <f>IF(Country_5!$C70="","",Country_5!E70)</f>
        <v/>
      </c>
      <c r="F469" s="16" t="str">
        <f>IF(Country_5!$C70="","",Country_5!F70)</f>
        <v/>
      </c>
      <c r="G469" s="17" t="str">
        <f>IF(Country_5!$C70="","",Country_5!G70)</f>
        <v/>
      </c>
      <c r="H469" s="17" t="str">
        <f>IF(Country_5!$C70="","",Country_5!H70)</f>
        <v/>
      </c>
      <c r="I469" s="16" t="str">
        <f>IF(Country_5!$C70="","",Country_5!I70)</f>
        <v/>
      </c>
      <c r="J469" s="16" t="str">
        <f>IF(Country_5!$C70="","",Country_5!J70)</f>
        <v/>
      </c>
      <c r="K469" s="18" t="str">
        <f>IF(Country_5!$C70="","",Country_5!K70)</f>
        <v/>
      </c>
      <c r="L469" s="18" t="str">
        <f>IF(Country_5!$C70="","",Country_5!L70)</f>
        <v/>
      </c>
      <c r="M469" s="19" t="str">
        <f>IF(Country_5!$C70="","",Country_5!M70)</f>
        <v/>
      </c>
      <c r="N469" s="16" t="str">
        <f>IF(Country_5!$C70="","",Country_5!N70)</f>
        <v/>
      </c>
      <c r="O469" s="16" t="str">
        <f>IF(Country_5!$C70="","",Country_5!O70)</f>
        <v/>
      </c>
      <c r="P469" s="16" t="str">
        <f>IF(Country_5!$C70="","",Country_5!P70)</f>
        <v/>
      </c>
      <c r="Q469" s="16" t="str">
        <f>IF(Country_5!$C70="","",Country_5!Q70)</f>
        <v/>
      </c>
    </row>
    <row r="470" spans="1:17" x14ac:dyDescent="0.25">
      <c r="A470" s="16" t="str">
        <f>IF(Country_5!$C71="","",Country_5!A71)</f>
        <v/>
      </c>
      <c r="B470" s="16" t="str">
        <f>IF(Country_5!$C71="","",Country_5!B71)</f>
        <v/>
      </c>
      <c r="C470" s="16" t="str">
        <f>IF(Country_5!$C71="","",Country_5!C71)</f>
        <v/>
      </c>
      <c r="D470" s="16" t="str">
        <f>IF(Country_5!$C71="","",Country_5!D71)</f>
        <v/>
      </c>
      <c r="E470" s="16" t="str">
        <f>IF(Country_5!$C71="","",Country_5!E71)</f>
        <v/>
      </c>
      <c r="F470" s="16" t="str">
        <f>IF(Country_5!$C71="","",Country_5!F71)</f>
        <v/>
      </c>
      <c r="G470" s="17" t="str">
        <f>IF(Country_5!$C71="","",Country_5!G71)</f>
        <v/>
      </c>
      <c r="H470" s="17" t="str">
        <f>IF(Country_5!$C71="","",Country_5!H71)</f>
        <v/>
      </c>
      <c r="I470" s="16" t="str">
        <f>IF(Country_5!$C71="","",Country_5!I71)</f>
        <v/>
      </c>
      <c r="J470" s="16" t="str">
        <f>IF(Country_5!$C71="","",Country_5!J71)</f>
        <v/>
      </c>
      <c r="K470" s="18" t="str">
        <f>IF(Country_5!$C71="","",Country_5!K71)</f>
        <v/>
      </c>
      <c r="L470" s="18" t="str">
        <f>IF(Country_5!$C71="","",Country_5!L71)</f>
        <v/>
      </c>
      <c r="M470" s="19" t="str">
        <f>IF(Country_5!$C71="","",Country_5!M71)</f>
        <v/>
      </c>
      <c r="N470" s="16" t="str">
        <f>IF(Country_5!$C71="","",Country_5!N71)</f>
        <v/>
      </c>
      <c r="O470" s="16" t="str">
        <f>IF(Country_5!$C71="","",Country_5!O71)</f>
        <v/>
      </c>
      <c r="P470" s="16" t="str">
        <f>IF(Country_5!$C71="","",Country_5!P71)</f>
        <v/>
      </c>
      <c r="Q470" s="16" t="str">
        <f>IF(Country_5!$C71="","",Country_5!Q71)</f>
        <v/>
      </c>
    </row>
    <row r="471" spans="1:17" x14ac:dyDescent="0.25">
      <c r="A471" s="16" t="str">
        <f>IF(Country_5!$C72="","",Country_5!A72)</f>
        <v/>
      </c>
      <c r="B471" s="16" t="str">
        <f>IF(Country_5!$C72="","",Country_5!B72)</f>
        <v/>
      </c>
      <c r="C471" s="16" t="str">
        <f>IF(Country_5!$C72="","",Country_5!C72)</f>
        <v/>
      </c>
      <c r="D471" s="16" t="str">
        <f>IF(Country_5!$C72="","",Country_5!D72)</f>
        <v/>
      </c>
      <c r="E471" s="16" t="str">
        <f>IF(Country_5!$C72="","",Country_5!E72)</f>
        <v/>
      </c>
      <c r="F471" s="16" t="str">
        <f>IF(Country_5!$C72="","",Country_5!F72)</f>
        <v/>
      </c>
      <c r="G471" s="17" t="str">
        <f>IF(Country_5!$C72="","",Country_5!G72)</f>
        <v/>
      </c>
      <c r="H471" s="17" t="str">
        <f>IF(Country_5!$C72="","",Country_5!H72)</f>
        <v/>
      </c>
      <c r="I471" s="16" t="str">
        <f>IF(Country_5!$C72="","",Country_5!I72)</f>
        <v/>
      </c>
      <c r="J471" s="16" t="str">
        <f>IF(Country_5!$C72="","",Country_5!J72)</f>
        <v/>
      </c>
      <c r="K471" s="18" t="str">
        <f>IF(Country_5!$C72="","",Country_5!K72)</f>
        <v/>
      </c>
      <c r="L471" s="18" t="str">
        <f>IF(Country_5!$C72="","",Country_5!L72)</f>
        <v/>
      </c>
      <c r="M471" s="19" t="str">
        <f>IF(Country_5!$C72="","",Country_5!M72)</f>
        <v/>
      </c>
      <c r="N471" s="16" t="str">
        <f>IF(Country_5!$C72="","",Country_5!N72)</f>
        <v/>
      </c>
      <c r="O471" s="16" t="str">
        <f>IF(Country_5!$C72="","",Country_5!O72)</f>
        <v/>
      </c>
      <c r="P471" s="16" t="str">
        <f>IF(Country_5!$C72="","",Country_5!P72)</f>
        <v/>
      </c>
      <c r="Q471" s="16" t="str">
        <f>IF(Country_5!$C72="","",Country_5!Q72)</f>
        <v/>
      </c>
    </row>
    <row r="472" spans="1:17" x14ac:dyDescent="0.25">
      <c r="A472" s="16" t="str">
        <f>IF(Country_5!$C73="","",Country_5!A73)</f>
        <v/>
      </c>
      <c r="B472" s="16" t="str">
        <f>IF(Country_5!$C73="","",Country_5!B73)</f>
        <v/>
      </c>
      <c r="C472" s="16" t="str">
        <f>IF(Country_5!$C73="","",Country_5!C73)</f>
        <v/>
      </c>
      <c r="D472" s="16" t="str">
        <f>IF(Country_5!$C73="","",Country_5!D73)</f>
        <v/>
      </c>
      <c r="E472" s="16" t="str">
        <f>IF(Country_5!$C73="","",Country_5!E73)</f>
        <v/>
      </c>
      <c r="F472" s="16" t="str">
        <f>IF(Country_5!$C73="","",Country_5!F73)</f>
        <v/>
      </c>
      <c r="G472" s="17" t="str">
        <f>IF(Country_5!$C73="","",Country_5!G73)</f>
        <v/>
      </c>
      <c r="H472" s="17" t="str">
        <f>IF(Country_5!$C73="","",Country_5!H73)</f>
        <v/>
      </c>
      <c r="I472" s="16" t="str">
        <f>IF(Country_5!$C73="","",Country_5!I73)</f>
        <v/>
      </c>
      <c r="J472" s="16" t="str">
        <f>IF(Country_5!$C73="","",Country_5!J73)</f>
        <v/>
      </c>
      <c r="K472" s="18" t="str">
        <f>IF(Country_5!$C73="","",Country_5!K73)</f>
        <v/>
      </c>
      <c r="L472" s="18" t="str">
        <f>IF(Country_5!$C73="","",Country_5!L73)</f>
        <v/>
      </c>
      <c r="M472" s="19" t="str">
        <f>IF(Country_5!$C73="","",Country_5!M73)</f>
        <v/>
      </c>
      <c r="N472" s="16" t="str">
        <f>IF(Country_5!$C73="","",Country_5!N73)</f>
        <v/>
      </c>
      <c r="O472" s="16" t="str">
        <f>IF(Country_5!$C73="","",Country_5!O73)</f>
        <v/>
      </c>
      <c r="P472" s="16" t="str">
        <f>IF(Country_5!$C73="","",Country_5!P73)</f>
        <v/>
      </c>
      <c r="Q472" s="16" t="str">
        <f>IF(Country_5!$C73="","",Country_5!Q73)</f>
        <v/>
      </c>
    </row>
    <row r="473" spans="1:17" x14ac:dyDescent="0.25">
      <c r="A473" s="16" t="str">
        <f>IF(Country_5!$C74="","",Country_5!A74)</f>
        <v/>
      </c>
      <c r="B473" s="16" t="str">
        <f>IF(Country_5!$C74="","",Country_5!B74)</f>
        <v/>
      </c>
      <c r="C473" s="16" t="str">
        <f>IF(Country_5!$C74="","",Country_5!C74)</f>
        <v/>
      </c>
      <c r="D473" s="16" t="str">
        <f>IF(Country_5!$C74="","",Country_5!D74)</f>
        <v/>
      </c>
      <c r="E473" s="16" t="str">
        <f>IF(Country_5!$C74="","",Country_5!E74)</f>
        <v/>
      </c>
      <c r="F473" s="16" t="str">
        <f>IF(Country_5!$C74="","",Country_5!F74)</f>
        <v/>
      </c>
      <c r="G473" s="17" t="str">
        <f>IF(Country_5!$C74="","",Country_5!G74)</f>
        <v/>
      </c>
      <c r="H473" s="17" t="str">
        <f>IF(Country_5!$C74="","",Country_5!H74)</f>
        <v/>
      </c>
      <c r="I473" s="16" t="str">
        <f>IF(Country_5!$C74="","",Country_5!I74)</f>
        <v/>
      </c>
      <c r="J473" s="16" t="str">
        <f>IF(Country_5!$C74="","",Country_5!J74)</f>
        <v/>
      </c>
      <c r="K473" s="18" t="str">
        <f>IF(Country_5!$C74="","",Country_5!K74)</f>
        <v/>
      </c>
      <c r="L473" s="18" t="str">
        <f>IF(Country_5!$C74="","",Country_5!L74)</f>
        <v/>
      </c>
      <c r="M473" s="19" t="str">
        <f>IF(Country_5!$C74="","",Country_5!M74)</f>
        <v/>
      </c>
      <c r="N473" s="16" t="str">
        <f>IF(Country_5!$C74="","",Country_5!N74)</f>
        <v/>
      </c>
      <c r="O473" s="16" t="str">
        <f>IF(Country_5!$C74="","",Country_5!O74)</f>
        <v/>
      </c>
      <c r="P473" s="16" t="str">
        <f>IF(Country_5!$C74="","",Country_5!P74)</f>
        <v/>
      </c>
      <c r="Q473" s="16" t="str">
        <f>IF(Country_5!$C74="","",Country_5!Q74)</f>
        <v/>
      </c>
    </row>
    <row r="474" spans="1:17" x14ac:dyDescent="0.25">
      <c r="A474" s="16" t="str">
        <f>IF(Country_5!$C75="","",Country_5!A75)</f>
        <v/>
      </c>
      <c r="B474" s="16" t="str">
        <f>IF(Country_5!$C75="","",Country_5!B75)</f>
        <v/>
      </c>
      <c r="C474" s="16" t="str">
        <f>IF(Country_5!$C75="","",Country_5!C75)</f>
        <v/>
      </c>
      <c r="D474" s="16" t="str">
        <f>IF(Country_5!$C75="","",Country_5!D75)</f>
        <v/>
      </c>
      <c r="E474" s="16" t="str">
        <f>IF(Country_5!$C75="","",Country_5!E75)</f>
        <v/>
      </c>
      <c r="F474" s="16" t="str">
        <f>IF(Country_5!$C75="","",Country_5!F75)</f>
        <v/>
      </c>
      <c r="G474" s="17" t="str">
        <f>IF(Country_5!$C75="","",Country_5!G75)</f>
        <v/>
      </c>
      <c r="H474" s="17" t="str">
        <f>IF(Country_5!$C75="","",Country_5!H75)</f>
        <v/>
      </c>
      <c r="I474" s="16" t="str">
        <f>IF(Country_5!$C75="","",Country_5!I75)</f>
        <v/>
      </c>
      <c r="J474" s="16" t="str">
        <f>IF(Country_5!$C75="","",Country_5!J75)</f>
        <v/>
      </c>
      <c r="K474" s="18" t="str">
        <f>IF(Country_5!$C75="","",Country_5!K75)</f>
        <v/>
      </c>
      <c r="L474" s="18" t="str">
        <f>IF(Country_5!$C75="","",Country_5!L75)</f>
        <v/>
      </c>
      <c r="M474" s="19" t="str">
        <f>IF(Country_5!$C75="","",Country_5!M75)</f>
        <v/>
      </c>
      <c r="N474" s="16" t="str">
        <f>IF(Country_5!$C75="","",Country_5!N75)</f>
        <v/>
      </c>
      <c r="O474" s="16" t="str">
        <f>IF(Country_5!$C75="","",Country_5!O75)</f>
        <v/>
      </c>
      <c r="P474" s="16" t="str">
        <f>IF(Country_5!$C75="","",Country_5!P75)</f>
        <v/>
      </c>
      <c r="Q474" s="16" t="str">
        <f>IF(Country_5!$C75="","",Country_5!Q75)</f>
        <v/>
      </c>
    </row>
    <row r="475" spans="1:17" x14ac:dyDescent="0.25">
      <c r="A475" s="16" t="str">
        <f>IF(Country_5!$C76="","",Country_5!A76)</f>
        <v/>
      </c>
      <c r="B475" s="16" t="str">
        <f>IF(Country_5!$C76="","",Country_5!B76)</f>
        <v/>
      </c>
      <c r="C475" s="16" t="str">
        <f>IF(Country_5!$C76="","",Country_5!C76)</f>
        <v/>
      </c>
      <c r="D475" s="16" t="str">
        <f>IF(Country_5!$C76="","",Country_5!D76)</f>
        <v/>
      </c>
      <c r="E475" s="16" t="str">
        <f>IF(Country_5!$C76="","",Country_5!E76)</f>
        <v/>
      </c>
      <c r="F475" s="16" t="str">
        <f>IF(Country_5!$C76="","",Country_5!F76)</f>
        <v/>
      </c>
      <c r="G475" s="17" t="str">
        <f>IF(Country_5!$C76="","",Country_5!G76)</f>
        <v/>
      </c>
      <c r="H475" s="17" t="str">
        <f>IF(Country_5!$C76="","",Country_5!H76)</f>
        <v/>
      </c>
      <c r="I475" s="16" t="str">
        <f>IF(Country_5!$C76="","",Country_5!I76)</f>
        <v/>
      </c>
      <c r="J475" s="16" t="str">
        <f>IF(Country_5!$C76="","",Country_5!J76)</f>
        <v/>
      </c>
      <c r="K475" s="18" t="str">
        <f>IF(Country_5!$C76="","",Country_5!K76)</f>
        <v/>
      </c>
      <c r="L475" s="18" t="str">
        <f>IF(Country_5!$C76="","",Country_5!L76)</f>
        <v/>
      </c>
      <c r="M475" s="19" t="str">
        <f>IF(Country_5!$C76="","",Country_5!M76)</f>
        <v/>
      </c>
      <c r="N475" s="16" t="str">
        <f>IF(Country_5!$C76="","",Country_5!N76)</f>
        <v/>
      </c>
      <c r="O475" s="16" t="str">
        <f>IF(Country_5!$C76="","",Country_5!O76)</f>
        <v/>
      </c>
      <c r="P475" s="16" t="str">
        <f>IF(Country_5!$C76="","",Country_5!P76)</f>
        <v/>
      </c>
      <c r="Q475" s="16" t="str">
        <f>IF(Country_5!$C76="","",Country_5!Q76)</f>
        <v/>
      </c>
    </row>
    <row r="476" spans="1:17" x14ac:dyDescent="0.25">
      <c r="A476" s="16" t="str">
        <f>IF(Country_5!$C77="","",Country_5!A77)</f>
        <v/>
      </c>
      <c r="B476" s="16" t="str">
        <f>IF(Country_5!$C77="","",Country_5!B77)</f>
        <v/>
      </c>
      <c r="C476" s="16" t="str">
        <f>IF(Country_5!$C77="","",Country_5!C77)</f>
        <v/>
      </c>
      <c r="D476" s="16" t="str">
        <f>IF(Country_5!$C77="","",Country_5!D77)</f>
        <v/>
      </c>
      <c r="E476" s="16" t="str">
        <f>IF(Country_5!$C77="","",Country_5!E77)</f>
        <v/>
      </c>
      <c r="F476" s="16" t="str">
        <f>IF(Country_5!$C77="","",Country_5!F77)</f>
        <v/>
      </c>
      <c r="G476" s="17" t="str">
        <f>IF(Country_5!$C77="","",Country_5!G77)</f>
        <v/>
      </c>
      <c r="H476" s="17" t="str">
        <f>IF(Country_5!$C77="","",Country_5!H77)</f>
        <v/>
      </c>
      <c r="I476" s="16" t="str">
        <f>IF(Country_5!$C77="","",Country_5!I77)</f>
        <v/>
      </c>
      <c r="J476" s="16" t="str">
        <f>IF(Country_5!$C77="","",Country_5!J77)</f>
        <v/>
      </c>
      <c r="K476" s="18" t="str">
        <f>IF(Country_5!$C77="","",Country_5!K77)</f>
        <v/>
      </c>
      <c r="L476" s="18" t="str">
        <f>IF(Country_5!$C77="","",Country_5!L77)</f>
        <v/>
      </c>
      <c r="M476" s="19" t="str">
        <f>IF(Country_5!$C77="","",Country_5!M77)</f>
        <v/>
      </c>
      <c r="N476" s="16" t="str">
        <f>IF(Country_5!$C77="","",Country_5!N77)</f>
        <v/>
      </c>
      <c r="O476" s="16" t="str">
        <f>IF(Country_5!$C77="","",Country_5!O77)</f>
        <v/>
      </c>
      <c r="P476" s="16" t="str">
        <f>IF(Country_5!$C77="","",Country_5!P77)</f>
        <v/>
      </c>
      <c r="Q476" s="16" t="str">
        <f>IF(Country_5!$C77="","",Country_5!Q77)</f>
        <v/>
      </c>
    </row>
    <row r="477" spans="1:17" x14ac:dyDescent="0.25">
      <c r="A477" s="16" t="str">
        <f>IF(Country_5!$C78="","",Country_5!A78)</f>
        <v/>
      </c>
      <c r="B477" s="16" t="str">
        <f>IF(Country_5!$C78="","",Country_5!B78)</f>
        <v/>
      </c>
      <c r="C477" s="16" t="str">
        <f>IF(Country_5!$C78="","",Country_5!C78)</f>
        <v/>
      </c>
      <c r="D477" s="16" t="str">
        <f>IF(Country_5!$C78="","",Country_5!D78)</f>
        <v/>
      </c>
      <c r="E477" s="16" t="str">
        <f>IF(Country_5!$C78="","",Country_5!E78)</f>
        <v/>
      </c>
      <c r="F477" s="16" t="str">
        <f>IF(Country_5!$C78="","",Country_5!F78)</f>
        <v/>
      </c>
      <c r="G477" s="17" t="str">
        <f>IF(Country_5!$C78="","",Country_5!G78)</f>
        <v/>
      </c>
      <c r="H477" s="17" t="str">
        <f>IF(Country_5!$C78="","",Country_5!H78)</f>
        <v/>
      </c>
      <c r="I477" s="16" t="str">
        <f>IF(Country_5!$C78="","",Country_5!I78)</f>
        <v/>
      </c>
      <c r="J477" s="16" t="str">
        <f>IF(Country_5!$C78="","",Country_5!J78)</f>
        <v/>
      </c>
      <c r="K477" s="18" t="str">
        <f>IF(Country_5!$C78="","",Country_5!K78)</f>
        <v/>
      </c>
      <c r="L477" s="18" t="str">
        <f>IF(Country_5!$C78="","",Country_5!L78)</f>
        <v/>
      </c>
      <c r="M477" s="19" t="str">
        <f>IF(Country_5!$C78="","",Country_5!M78)</f>
        <v/>
      </c>
      <c r="N477" s="16" t="str">
        <f>IF(Country_5!$C78="","",Country_5!N78)</f>
        <v/>
      </c>
      <c r="O477" s="16" t="str">
        <f>IF(Country_5!$C78="","",Country_5!O78)</f>
        <v/>
      </c>
      <c r="P477" s="16" t="str">
        <f>IF(Country_5!$C78="","",Country_5!P78)</f>
        <v/>
      </c>
      <c r="Q477" s="16" t="str">
        <f>IF(Country_5!$C78="","",Country_5!Q78)</f>
        <v/>
      </c>
    </row>
    <row r="478" spans="1:17" x14ac:dyDescent="0.25">
      <c r="A478" s="16" t="str">
        <f>IF(Country_5!$C79="","",Country_5!A79)</f>
        <v/>
      </c>
      <c r="B478" s="16" t="str">
        <f>IF(Country_5!$C79="","",Country_5!B79)</f>
        <v/>
      </c>
      <c r="C478" s="16" t="str">
        <f>IF(Country_5!$C79="","",Country_5!C79)</f>
        <v/>
      </c>
      <c r="D478" s="16" t="str">
        <f>IF(Country_5!$C79="","",Country_5!D79)</f>
        <v/>
      </c>
      <c r="E478" s="16" t="str">
        <f>IF(Country_5!$C79="","",Country_5!E79)</f>
        <v/>
      </c>
      <c r="F478" s="16" t="str">
        <f>IF(Country_5!$C79="","",Country_5!F79)</f>
        <v/>
      </c>
      <c r="G478" s="17" t="str">
        <f>IF(Country_5!$C79="","",Country_5!G79)</f>
        <v/>
      </c>
      <c r="H478" s="17" t="str">
        <f>IF(Country_5!$C79="","",Country_5!H79)</f>
        <v/>
      </c>
      <c r="I478" s="16" t="str">
        <f>IF(Country_5!$C79="","",Country_5!I79)</f>
        <v/>
      </c>
      <c r="J478" s="16" t="str">
        <f>IF(Country_5!$C79="","",Country_5!J79)</f>
        <v/>
      </c>
      <c r="K478" s="18" t="str">
        <f>IF(Country_5!$C79="","",Country_5!K79)</f>
        <v/>
      </c>
      <c r="L478" s="18" t="str">
        <f>IF(Country_5!$C79="","",Country_5!L79)</f>
        <v/>
      </c>
      <c r="M478" s="19" t="str">
        <f>IF(Country_5!$C79="","",Country_5!M79)</f>
        <v/>
      </c>
      <c r="N478" s="16" t="str">
        <f>IF(Country_5!$C79="","",Country_5!N79)</f>
        <v/>
      </c>
      <c r="O478" s="16" t="str">
        <f>IF(Country_5!$C79="","",Country_5!O79)</f>
        <v/>
      </c>
      <c r="P478" s="16" t="str">
        <f>IF(Country_5!$C79="","",Country_5!P79)</f>
        <v/>
      </c>
      <c r="Q478" s="16" t="str">
        <f>IF(Country_5!$C79="","",Country_5!Q79)</f>
        <v/>
      </c>
    </row>
    <row r="479" spans="1:17" x14ac:dyDescent="0.25">
      <c r="A479" s="16" t="str">
        <f>IF(Country_5!$C80="","",Country_5!A80)</f>
        <v/>
      </c>
      <c r="B479" s="16" t="str">
        <f>IF(Country_5!$C80="","",Country_5!B80)</f>
        <v/>
      </c>
      <c r="C479" s="16" t="str">
        <f>IF(Country_5!$C80="","",Country_5!C80)</f>
        <v/>
      </c>
      <c r="D479" s="16" t="str">
        <f>IF(Country_5!$C80="","",Country_5!D80)</f>
        <v/>
      </c>
      <c r="E479" s="16" t="str">
        <f>IF(Country_5!$C80="","",Country_5!E80)</f>
        <v/>
      </c>
      <c r="F479" s="16" t="str">
        <f>IF(Country_5!$C80="","",Country_5!F80)</f>
        <v/>
      </c>
      <c r="G479" s="17" t="str">
        <f>IF(Country_5!$C80="","",Country_5!G80)</f>
        <v/>
      </c>
      <c r="H479" s="17" t="str">
        <f>IF(Country_5!$C80="","",Country_5!H80)</f>
        <v/>
      </c>
      <c r="I479" s="16" t="str">
        <f>IF(Country_5!$C80="","",Country_5!I80)</f>
        <v/>
      </c>
      <c r="J479" s="16" t="str">
        <f>IF(Country_5!$C80="","",Country_5!J80)</f>
        <v/>
      </c>
      <c r="K479" s="18" t="str">
        <f>IF(Country_5!$C80="","",Country_5!K80)</f>
        <v/>
      </c>
      <c r="L479" s="18" t="str">
        <f>IF(Country_5!$C80="","",Country_5!L80)</f>
        <v/>
      </c>
      <c r="M479" s="19" t="str">
        <f>IF(Country_5!$C80="","",Country_5!M80)</f>
        <v/>
      </c>
      <c r="N479" s="16" t="str">
        <f>IF(Country_5!$C80="","",Country_5!N80)</f>
        <v/>
      </c>
      <c r="O479" s="16" t="str">
        <f>IF(Country_5!$C80="","",Country_5!O80)</f>
        <v/>
      </c>
      <c r="P479" s="16" t="str">
        <f>IF(Country_5!$C80="","",Country_5!P80)</f>
        <v/>
      </c>
      <c r="Q479" s="16" t="str">
        <f>IF(Country_5!$C80="","",Country_5!Q80)</f>
        <v/>
      </c>
    </row>
    <row r="480" spans="1:17" x14ac:dyDescent="0.25">
      <c r="A480" s="16" t="str">
        <f>IF(Country_5!$C81="","",Country_5!A81)</f>
        <v/>
      </c>
      <c r="B480" s="16" t="str">
        <f>IF(Country_5!$C81="","",Country_5!B81)</f>
        <v/>
      </c>
      <c r="C480" s="16" t="str">
        <f>IF(Country_5!$C81="","",Country_5!C81)</f>
        <v/>
      </c>
      <c r="D480" s="16" t="str">
        <f>IF(Country_5!$C81="","",Country_5!D81)</f>
        <v/>
      </c>
      <c r="E480" s="16" t="str">
        <f>IF(Country_5!$C81="","",Country_5!E81)</f>
        <v/>
      </c>
      <c r="F480" s="16" t="str">
        <f>IF(Country_5!$C81="","",Country_5!F81)</f>
        <v/>
      </c>
      <c r="G480" s="17" t="str">
        <f>IF(Country_5!$C81="","",Country_5!G81)</f>
        <v/>
      </c>
      <c r="H480" s="17" t="str">
        <f>IF(Country_5!$C81="","",Country_5!H81)</f>
        <v/>
      </c>
      <c r="I480" s="16" t="str">
        <f>IF(Country_5!$C81="","",Country_5!I81)</f>
        <v/>
      </c>
      <c r="J480" s="16" t="str">
        <f>IF(Country_5!$C81="","",Country_5!J81)</f>
        <v/>
      </c>
      <c r="K480" s="18" t="str">
        <f>IF(Country_5!$C81="","",Country_5!K81)</f>
        <v/>
      </c>
      <c r="L480" s="18" t="str">
        <f>IF(Country_5!$C81="","",Country_5!L81)</f>
        <v/>
      </c>
      <c r="M480" s="19" t="str">
        <f>IF(Country_5!$C81="","",Country_5!M81)</f>
        <v/>
      </c>
      <c r="N480" s="16" t="str">
        <f>IF(Country_5!$C81="","",Country_5!N81)</f>
        <v/>
      </c>
      <c r="O480" s="16" t="str">
        <f>IF(Country_5!$C81="","",Country_5!O81)</f>
        <v/>
      </c>
      <c r="P480" s="16" t="str">
        <f>IF(Country_5!$C81="","",Country_5!P81)</f>
        <v/>
      </c>
      <c r="Q480" s="16" t="str">
        <f>IF(Country_5!$C81="","",Country_5!Q81)</f>
        <v/>
      </c>
    </row>
    <row r="481" spans="1:17" x14ac:dyDescent="0.25">
      <c r="A481" s="16" t="str">
        <f>IF(Country_5!$C82="","",Country_5!A82)</f>
        <v/>
      </c>
      <c r="B481" s="16" t="str">
        <f>IF(Country_5!$C82="","",Country_5!B82)</f>
        <v/>
      </c>
      <c r="C481" s="16" t="str">
        <f>IF(Country_5!$C82="","",Country_5!C82)</f>
        <v/>
      </c>
      <c r="D481" s="16" t="str">
        <f>IF(Country_5!$C82="","",Country_5!D82)</f>
        <v/>
      </c>
      <c r="E481" s="16" t="str">
        <f>IF(Country_5!$C82="","",Country_5!E82)</f>
        <v/>
      </c>
      <c r="F481" s="16" t="str">
        <f>IF(Country_5!$C82="","",Country_5!F82)</f>
        <v/>
      </c>
      <c r="G481" s="17" t="str">
        <f>IF(Country_5!$C82="","",Country_5!G82)</f>
        <v/>
      </c>
      <c r="H481" s="17" t="str">
        <f>IF(Country_5!$C82="","",Country_5!H82)</f>
        <v/>
      </c>
      <c r="I481" s="16" t="str">
        <f>IF(Country_5!$C82="","",Country_5!I82)</f>
        <v/>
      </c>
      <c r="J481" s="16" t="str">
        <f>IF(Country_5!$C82="","",Country_5!J82)</f>
        <v/>
      </c>
      <c r="K481" s="18" t="str">
        <f>IF(Country_5!$C82="","",Country_5!K82)</f>
        <v/>
      </c>
      <c r="L481" s="18" t="str">
        <f>IF(Country_5!$C82="","",Country_5!L82)</f>
        <v/>
      </c>
      <c r="M481" s="19" t="str">
        <f>IF(Country_5!$C82="","",Country_5!M82)</f>
        <v/>
      </c>
      <c r="N481" s="16" t="str">
        <f>IF(Country_5!$C82="","",Country_5!N82)</f>
        <v/>
      </c>
      <c r="O481" s="16" t="str">
        <f>IF(Country_5!$C82="","",Country_5!O82)</f>
        <v/>
      </c>
      <c r="P481" s="16" t="str">
        <f>IF(Country_5!$C82="","",Country_5!P82)</f>
        <v/>
      </c>
      <c r="Q481" s="16" t="str">
        <f>IF(Country_5!$C82="","",Country_5!Q82)</f>
        <v/>
      </c>
    </row>
    <row r="482" spans="1:17" x14ac:dyDescent="0.25">
      <c r="A482" s="16" t="str">
        <f>IF(Country_5!$C83="","",Country_5!A83)</f>
        <v/>
      </c>
      <c r="B482" s="16" t="str">
        <f>IF(Country_5!$C83="","",Country_5!B83)</f>
        <v/>
      </c>
      <c r="C482" s="16" t="str">
        <f>IF(Country_5!$C83="","",Country_5!C83)</f>
        <v/>
      </c>
      <c r="D482" s="16" t="str">
        <f>IF(Country_5!$C83="","",Country_5!D83)</f>
        <v/>
      </c>
      <c r="E482" s="16" t="str">
        <f>IF(Country_5!$C83="","",Country_5!E83)</f>
        <v/>
      </c>
      <c r="F482" s="16" t="str">
        <f>IF(Country_5!$C83="","",Country_5!F83)</f>
        <v/>
      </c>
      <c r="G482" s="17" t="str">
        <f>IF(Country_5!$C83="","",Country_5!G83)</f>
        <v/>
      </c>
      <c r="H482" s="17" t="str">
        <f>IF(Country_5!$C83="","",Country_5!H83)</f>
        <v/>
      </c>
      <c r="I482" s="16" t="str">
        <f>IF(Country_5!$C83="","",Country_5!I83)</f>
        <v/>
      </c>
      <c r="J482" s="16" t="str">
        <f>IF(Country_5!$C83="","",Country_5!J83)</f>
        <v/>
      </c>
      <c r="K482" s="18" t="str">
        <f>IF(Country_5!$C83="","",Country_5!K83)</f>
        <v/>
      </c>
      <c r="L482" s="18" t="str">
        <f>IF(Country_5!$C83="","",Country_5!L83)</f>
        <v/>
      </c>
      <c r="M482" s="19" t="str">
        <f>IF(Country_5!$C83="","",Country_5!M83)</f>
        <v/>
      </c>
      <c r="N482" s="16" t="str">
        <f>IF(Country_5!$C83="","",Country_5!N83)</f>
        <v/>
      </c>
      <c r="O482" s="16" t="str">
        <f>IF(Country_5!$C83="","",Country_5!O83)</f>
        <v/>
      </c>
      <c r="P482" s="16" t="str">
        <f>IF(Country_5!$C83="","",Country_5!P83)</f>
        <v/>
      </c>
      <c r="Q482" s="16" t="str">
        <f>IF(Country_5!$C83="","",Country_5!Q83)</f>
        <v/>
      </c>
    </row>
    <row r="483" spans="1:17" x14ac:dyDescent="0.25">
      <c r="A483" s="16" t="str">
        <f>IF(Country_5!$C84="","",Country_5!A84)</f>
        <v/>
      </c>
      <c r="B483" s="16" t="str">
        <f>IF(Country_5!$C84="","",Country_5!B84)</f>
        <v/>
      </c>
      <c r="C483" s="16" t="str">
        <f>IF(Country_5!$C84="","",Country_5!C84)</f>
        <v/>
      </c>
      <c r="D483" s="16" t="str">
        <f>IF(Country_5!$C84="","",Country_5!D84)</f>
        <v/>
      </c>
      <c r="E483" s="16" t="str">
        <f>IF(Country_5!$C84="","",Country_5!E84)</f>
        <v/>
      </c>
      <c r="F483" s="16" t="str">
        <f>IF(Country_5!$C84="","",Country_5!F84)</f>
        <v/>
      </c>
      <c r="G483" s="17" t="str">
        <f>IF(Country_5!$C84="","",Country_5!G84)</f>
        <v/>
      </c>
      <c r="H483" s="17" t="str">
        <f>IF(Country_5!$C84="","",Country_5!H84)</f>
        <v/>
      </c>
      <c r="I483" s="16" t="str">
        <f>IF(Country_5!$C84="","",Country_5!I84)</f>
        <v/>
      </c>
      <c r="J483" s="16" t="str">
        <f>IF(Country_5!$C84="","",Country_5!J84)</f>
        <v/>
      </c>
      <c r="K483" s="18" t="str">
        <f>IF(Country_5!$C84="","",Country_5!K84)</f>
        <v/>
      </c>
      <c r="L483" s="18" t="str">
        <f>IF(Country_5!$C84="","",Country_5!L84)</f>
        <v/>
      </c>
      <c r="M483" s="19" t="str">
        <f>IF(Country_5!$C84="","",Country_5!M84)</f>
        <v/>
      </c>
      <c r="N483" s="16" t="str">
        <f>IF(Country_5!$C84="","",Country_5!N84)</f>
        <v/>
      </c>
      <c r="O483" s="16" t="str">
        <f>IF(Country_5!$C84="","",Country_5!O84)</f>
        <v/>
      </c>
      <c r="P483" s="16" t="str">
        <f>IF(Country_5!$C84="","",Country_5!P84)</f>
        <v/>
      </c>
      <c r="Q483" s="16" t="str">
        <f>IF(Country_5!$C84="","",Country_5!Q84)</f>
        <v/>
      </c>
    </row>
    <row r="484" spans="1:17" x14ac:dyDescent="0.25">
      <c r="A484" s="16" t="str">
        <f>IF(Country_5!$C85="","",Country_5!A85)</f>
        <v/>
      </c>
      <c r="B484" s="16" t="str">
        <f>IF(Country_5!$C85="","",Country_5!B85)</f>
        <v/>
      </c>
      <c r="C484" s="16" t="str">
        <f>IF(Country_5!$C85="","",Country_5!C85)</f>
        <v/>
      </c>
      <c r="D484" s="16" t="str">
        <f>IF(Country_5!$C85="","",Country_5!D85)</f>
        <v/>
      </c>
      <c r="E484" s="16" t="str">
        <f>IF(Country_5!$C85="","",Country_5!E85)</f>
        <v/>
      </c>
      <c r="F484" s="16" t="str">
        <f>IF(Country_5!$C85="","",Country_5!F85)</f>
        <v/>
      </c>
      <c r="G484" s="17" t="str">
        <f>IF(Country_5!$C85="","",Country_5!G85)</f>
        <v/>
      </c>
      <c r="H484" s="17" t="str">
        <f>IF(Country_5!$C85="","",Country_5!H85)</f>
        <v/>
      </c>
      <c r="I484" s="16" t="str">
        <f>IF(Country_5!$C85="","",Country_5!I85)</f>
        <v/>
      </c>
      <c r="J484" s="16" t="str">
        <f>IF(Country_5!$C85="","",Country_5!J85)</f>
        <v/>
      </c>
      <c r="K484" s="18" t="str">
        <f>IF(Country_5!$C85="","",Country_5!K85)</f>
        <v/>
      </c>
      <c r="L484" s="18" t="str">
        <f>IF(Country_5!$C85="","",Country_5!L85)</f>
        <v/>
      </c>
      <c r="M484" s="19" t="str">
        <f>IF(Country_5!$C85="","",Country_5!M85)</f>
        <v/>
      </c>
      <c r="N484" s="16" t="str">
        <f>IF(Country_5!$C85="","",Country_5!N85)</f>
        <v/>
      </c>
      <c r="O484" s="16" t="str">
        <f>IF(Country_5!$C85="","",Country_5!O85)</f>
        <v/>
      </c>
      <c r="P484" s="16" t="str">
        <f>IF(Country_5!$C85="","",Country_5!P85)</f>
        <v/>
      </c>
      <c r="Q484" s="16" t="str">
        <f>IF(Country_5!$C85="","",Country_5!Q85)</f>
        <v/>
      </c>
    </row>
    <row r="485" spans="1:17" x14ac:dyDescent="0.25">
      <c r="A485" s="16" t="str">
        <f>IF(Country_5!$C86="","",Country_5!A86)</f>
        <v/>
      </c>
      <c r="B485" s="16" t="str">
        <f>IF(Country_5!$C86="","",Country_5!B86)</f>
        <v/>
      </c>
      <c r="C485" s="16" t="str">
        <f>IF(Country_5!$C86="","",Country_5!C86)</f>
        <v/>
      </c>
      <c r="D485" s="16" t="str">
        <f>IF(Country_5!$C86="","",Country_5!D86)</f>
        <v/>
      </c>
      <c r="E485" s="16" t="str">
        <f>IF(Country_5!$C86="","",Country_5!E86)</f>
        <v/>
      </c>
      <c r="F485" s="16" t="str">
        <f>IF(Country_5!$C86="","",Country_5!F86)</f>
        <v/>
      </c>
      <c r="G485" s="17" t="str">
        <f>IF(Country_5!$C86="","",Country_5!G86)</f>
        <v/>
      </c>
      <c r="H485" s="17" t="str">
        <f>IF(Country_5!$C86="","",Country_5!H86)</f>
        <v/>
      </c>
      <c r="I485" s="16" t="str">
        <f>IF(Country_5!$C86="","",Country_5!I86)</f>
        <v/>
      </c>
      <c r="J485" s="16" t="str">
        <f>IF(Country_5!$C86="","",Country_5!J86)</f>
        <v/>
      </c>
      <c r="K485" s="18" t="str">
        <f>IF(Country_5!$C86="","",Country_5!K86)</f>
        <v/>
      </c>
      <c r="L485" s="18" t="str">
        <f>IF(Country_5!$C86="","",Country_5!L86)</f>
        <v/>
      </c>
      <c r="M485" s="19" t="str">
        <f>IF(Country_5!$C86="","",Country_5!M86)</f>
        <v/>
      </c>
      <c r="N485" s="16" t="str">
        <f>IF(Country_5!$C86="","",Country_5!N86)</f>
        <v/>
      </c>
      <c r="O485" s="16" t="str">
        <f>IF(Country_5!$C86="","",Country_5!O86)</f>
        <v/>
      </c>
      <c r="P485" s="16" t="str">
        <f>IF(Country_5!$C86="","",Country_5!P86)</f>
        <v/>
      </c>
      <c r="Q485" s="16" t="str">
        <f>IF(Country_5!$C86="","",Country_5!Q86)</f>
        <v/>
      </c>
    </row>
    <row r="486" spans="1:17" x14ac:dyDescent="0.25">
      <c r="A486" s="16" t="str">
        <f>IF(Country_5!$C87="","",Country_5!A87)</f>
        <v/>
      </c>
      <c r="B486" s="16" t="str">
        <f>IF(Country_5!$C87="","",Country_5!B87)</f>
        <v/>
      </c>
      <c r="C486" s="16" t="str">
        <f>IF(Country_5!$C87="","",Country_5!C87)</f>
        <v/>
      </c>
      <c r="D486" s="16" t="str">
        <f>IF(Country_5!$C87="","",Country_5!D87)</f>
        <v/>
      </c>
      <c r="E486" s="16" t="str">
        <f>IF(Country_5!$C87="","",Country_5!E87)</f>
        <v/>
      </c>
      <c r="F486" s="16" t="str">
        <f>IF(Country_5!$C87="","",Country_5!F87)</f>
        <v/>
      </c>
      <c r="G486" s="17" t="str">
        <f>IF(Country_5!$C87="","",Country_5!G87)</f>
        <v/>
      </c>
      <c r="H486" s="17" t="str">
        <f>IF(Country_5!$C87="","",Country_5!H87)</f>
        <v/>
      </c>
      <c r="I486" s="16" t="str">
        <f>IF(Country_5!$C87="","",Country_5!I87)</f>
        <v/>
      </c>
      <c r="J486" s="16" t="str">
        <f>IF(Country_5!$C87="","",Country_5!J87)</f>
        <v/>
      </c>
      <c r="K486" s="18" t="str">
        <f>IF(Country_5!$C87="","",Country_5!K87)</f>
        <v/>
      </c>
      <c r="L486" s="18" t="str">
        <f>IF(Country_5!$C87="","",Country_5!L87)</f>
        <v/>
      </c>
      <c r="M486" s="19" t="str">
        <f>IF(Country_5!$C87="","",Country_5!M87)</f>
        <v/>
      </c>
      <c r="N486" s="16" t="str">
        <f>IF(Country_5!$C87="","",Country_5!N87)</f>
        <v/>
      </c>
      <c r="O486" s="16" t="str">
        <f>IF(Country_5!$C87="","",Country_5!O87)</f>
        <v/>
      </c>
      <c r="P486" s="16" t="str">
        <f>IF(Country_5!$C87="","",Country_5!P87)</f>
        <v/>
      </c>
      <c r="Q486" s="16" t="str">
        <f>IF(Country_5!$C87="","",Country_5!Q87)</f>
        <v/>
      </c>
    </row>
    <row r="487" spans="1:17" x14ac:dyDescent="0.25">
      <c r="A487" s="16" t="str">
        <f>IF(Country_5!$C88="","",Country_5!A88)</f>
        <v/>
      </c>
      <c r="B487" s="16" t="str">
        <f>IF(Country_5!$C88="","",Country_5!B88)</f>
        <v/>
      </c>
      <c r="C487" s="16" t="str">
        <f>IF(Country_5!$C88="","",Country_5!C88)</f>
        <v/>
      </c>
      <c r="D487" s="16" t="str">
        <f>IF(Country_5!$C88="","",Country_5!D88)</f>
        <v/>
      </c>
      <c r="E487" s="16" t="str">
        <f>IF(Country_5!$C88="","",Country_5!E88)</f>
        <v/>
      </c>
      <c r="F487" s="16" t="str">
        <f>IF(Country_5!$C88="","",Country_5!F88)</f>
        <v/>
      </c>
      <c r="G487" s="17" t="str">
        <f>IF(Country_5!$C88="","",Country_5!G88)</f>
        <v/>
      </c>
      <c r="H487" s="17" t="str">
        <f>IF(Country_5!$C88="","",Country_5!H88)</f>
        <v/>
      </c>
      <c r="I487" s="16" t="str">
        <f>IF(Country_5!$C88="","",Country_5!I88)</f>
        <v/>
      </c>
      <c r="J487" s="16" t="str">
        <f>IF(Country_5!$C88="","",Country_5!J88)</f>
        <v/>
      </c>
      <c r="K487" s="18" t="str">
        <f>IF(Country_5!$C88="","",Country_5!K88)</f>
        <v/>
      </c>
      <c r="L487" s="18" t="str">
        <f>IF(Country_5!$C88="","",Country_5!L88)</f>
        <v/>
      </c>
      <c r="M487" s="19" t="str">
        <f>IF(Country_5!$C88="","",Country_5!M88)</f>
        <v/>
      </c>
      <c r="N487" s="16" t="str">
        <f>IF(Country_5!$C88="","",Country_5!N88)</f>
        <v/>
      </c>
      <c r="O487" s="16" t="str">
        <f>IF(Country_5!$C88="","",Country_5!O88)</f>
        <v/>
      </c>
      <c r="P487" s="16" t="str">
        <f>IF(Country_5!$C88="","",Country_5!P88)</f>
        <v/>
      </c>
      <c r="Q487" s="16" t="str">
        <f>IF(Country_5!$C88="","",Country_5!Q88)</f>
        <v/>
      </c>
    </row>
    <row r="488" spans="1:17" x14ac:dyDescent="0.25">
      <c r="A488" s="16" t="str">
        <f>IF(Country_5!$C89="","",Country_5!A89)</f>
        <v/>
      </c>
      <c r="B488" s="16" t="str">
        <f>IF(Country_5!$C89="","",Country_5!B89)</f>
        <v/>
      </c>
      <c r="C488" s="16" t="str">
        <f>IF(Country_5!$C89="","",Country_5!C89)</f>
        <v/>
      </c>
      <c r="D488" s="16" t="str">
        <f>IF(Country_5!$C89="","",Country_5!D89)</f>
        <v/>
      </c>
      <c r="E488" s="16" t="str">
        <f>IF(Country_5!$C89="","",Country_5!E89)</f>
        <v/>
      </c>
      <c r="F488" s="16" t="str">
        <f>IF(Country_5!$C89="","",Country_5!F89)</f>
        <v/>
      </c>
      <c r="G488" s="17" t="str">
        <f>IF(Country_5!$C89="","",Country_5!G89)</f>
        <v/>
      </c>
      <c r="H488" s="17" t="str">
        <f>IF(Country_5!$C89="","",Country_5!H89)</f>
        <v/>
      </c>
      <c r="I488" s="16" t="str">
        <f>IF(Country_5!$C89="","",Country_5!I89)</f>
        <v/>
      </c>
      <c r="J488" s="16" t="str">
        <f>IF(Country_5!$C89="","",Country_5!J89)</f>
        <v/>
      </c>
      <c r="K488" s="18" t="str">
        <f>IF(Country_5!$C89="","",Country_5!K89)</f>
        <v/>
      </c>
      <c r="L488" s="18" t="str">
        <f>IF(Country_5!$C89="","",Country_5!L89)</f>
        <v/>
      </c>
      <c r="M488" s="19" t="str">
        <f>IF(Country_5!$C89="","",Country_5!M89)</f>
        <v/>
      </c>
      <c r="N488" s="16" t="str">
        <f>IF(Country_5!$C89="","",Country_5!N89)</f>
        <v/>
      </c>
      <c r="O488" s="16" t="str">
        <f>IF(Country_5!$C89="","",Country_5!O89)</f>
        <v/>
      </c>
      <c r="P488" s="16" t="str">
        <f>IF(Country_5!$C89="","",Country_5!P89)</f>
        <v/>
      </c>
      <c r="Q488" s="16" t="str">
        <f>IF(Country_5!$C89="","",Country_5!Q89)</f>
        <v/>
      </c>
    </row>
    <row r="489" spans="1:17" x14ac:dyDescent="0.25">
      <c r="A489" s="16" t="str">
        <f>IF(Country_5!$C90="","",Country_5!A90)</f>
        <v/>
      </c>
      <c r="B489" s="16" t="str">
        <f>IF(Country_5!$C90="","",Country_5!B90)</f>
        <v/>
      </c>
      <c r="C489" s="16" t="str">
        <f>IF(Country_5!$C90="","",Country_5!C90)</f>
        <v/>
      </c>
      <c r="D489" s="16" t="str">
        <f>IF(Country_5!$C90="","",Country_5!D90)</f>
        <v/>
      </c>
      <c r="E489" s="16" t="str">
        <f>IF(Country_5!$C90="","",Country_5!E90)</f>
        <v/>
      </c>
      <c r="F489" s="16" t="str">
        <f>IF(Country_5!$C90="","",Country_5!F90)</f>
        <v/>
      </c>
      <c r="G489" s="17" t="str">
        <f>IF(Country_5!$C90="","",Country_5!G90)</f>
        <v/>
      </c>
      <c r="H489" s="17" t="str">
        <f>IF(Country_5!$C90="","",Country_5!H90)</f>
        <v/>
      </c>
      <c r="I489" s="16" t="str">
        <f>IF(Country_5!$C90="","",Country_5!I90)</f>
        <v/>
      </c>
      <c r="J489" s="16" t="str">
        <f>IF(Country_5!$C90="","",Country_5!J90)</f>
        <v/>
      </c>
      <c r="K489" s="18" t="str">
        <f>IF(Country_5!$C90="","",Country_5!K90)</f>
        <v/>
      </c>
      <c r="L489" s="18" t="str">
        <f>IF(Country_5!$C90="","",Country_5!L90)</f>
        <v/>
      </c>
      <c r="M489" s="19" t="str">
        <f>IF(Country_5!$C90="","",Country_5!M90)</f>
        <v/>
      </c>
      <c r="N489" s="16" t="str">
        <f>IF(Country_5!$C90="","",Country_5!N90)</f>
        <v/>
      </c>
      <c r="O489" s="16" t="str">
        <f>IF(Country_5!$C90="","",Country_5!O90)</f>
        <v/>
      </c>
      <c r="P489" s="16" t="str">
        <f>IF(Country_5!$C90="","",Country_5!P90)</f>
        <v/>
      </c>
      <c r="Q489" s="16" t="str">
        <f>IF(Country_5!$C90="","",Country_5!Q90)</f>
        <v/>
      </c>
    </row>
    <row r="490" spans="1:17" x14ac:dyDescent="0.25">
      <c r="A490" s="16" t="str">
        <f>IF(Country_5!$C91="","",Country_5!A91)</f>
        <v/>
      </c>
      <c r="B490" s="16" t="str">
        <f>IF(Country_5!$C91="","",Country_5!B91)</f>
        <v/>
      </c>
      <c r="C490" s="16" t="str">
        <f>IF(Country_5!$C91="","",Country_5!C91)</f>
        <v/>
      </c>
      <c r="D490" s="16" t="str">
        <f>IF(Country_5!$C91="","",Country_5!D91)</f>
        <v/>
      </c>
      <c r="E490" s="16" t="str">
        <f>IF(Country_5!$C91="","",Country_5!E91)</f>
        <v/>
      </c>
      <c r="F490" s="16" t="str">
        <f>IF(Country_5!$C91="","",Country_5!F91)</f>
        <v/>
      </c>
      <c r="G490" s="17" t="str">
        <f>IF(Country_5!$C91="","",Country_5!G91)</f>
        <v/>
      </c>
      <c r="H490" s="17" t="str">
        <f>IF(Country_5!$C91="","",Country_5!H91)</f>
        <v/>
      </c>
      <c r="I490" s="16" t="str">
        <f>IF(Country_5!$C91="","",Country_5!I91)</f>
        <v/>
      </c>
      <c r="J490" s="16" t="str">
        <f>IF(Country_5!$C91="","",Country_5!J91)</f>
        <v/>
      </c>
      <c r="K490" s="18" t="str">
        <f>IF(Country_5!$C91="","",Country_5!K91)</f>
        <v/>
      </c>
      <c r="L490" s="18" t="str">
        <f>IF(Country_5!$C91="","",Country_5!L91)</f>
        <v/>
      </c>
      <c r="M490" s="19" t="str">
        <f>IF(Country_5!$C91="","",Country_5!M91)</f>
        <v/>
      </c>
      <c r="N490" s="16" t="str">
        <f>IF(Country_5!$C91="","",Country_5!N91)</f>
        <v/>
      </c>
      <c r="O490" s="16" t="str">
        <f>IF(Country_5!$C91="","",Country_5!O91)</f>
        <v/>
      </c>
      <c r="P490" s="16" t="str">
        <f>IF(Country_5!$C91="","",Country_5!P91)</f>
        <v/>
      </c>
      <c r="Q490" s="16" t="str">
        <f>IF(Country_5!$C91="","",Country_5!Q91)</f>
        <v/>
      </c>
    </row>
    <row r="491" spans="1:17" x14ac:dyDescent="0.25">
      <c r="A491" s="16" t="str">
        <f>IF(Country_5!$C92="","",Country_5!A92)</f>
        <v/>
      </c>
      <c r="B491" s="16" t="str">
        <f>IF(Country_5!$C92="","",Country_5!B92)</f>
        <v/>
      </c>
      <c r="C491" s="16" t="str">
        <f>IF(Country_5!$C92="","",Country_5!C92)</f>
        <v/>
      </c>
      <c r="D491" s="16" t="str">
        <f>IF(Country_5!$C92="","",Country_5!D92)</f>
        <v/>
      </c>
      <c r="E491" s="16" t="str">
        <f>IF(Country_5!$C92="","",Country_5!E92)</f>
        <v/>
      </c>
      <c r="F491" s="16" t="str">
        <f>IF(Country_5!$C92="","",Country_5!F92)</f>
        <v/>
      </c>
      <c r="G491" s="17" t="str">
        <f>IF(Country_5!$C92="","",Country_5!G92)</f>
        <v/>
      </c>
      <c r="H491" s="17" t="str">
        <f>IF(Country_5!$C92="","",Country_5!H92)</f>
        <v/>
      </c>
      <c r="I491" s="16" t="str">
        <f>IF(Country_5!$C92="","",Country_5!I92)</f>
        <v/>
      </c>
      <c r="J491" s="16" t="str">
        <f>IF(Country_5!$C92="","",Country_5!J92)</f>
        <v/>
      </c>
      <c r="K491" s="18" t="str">
        <f>IF(Country_5!$C92="","",Country_5!K92)</f>
        <v/>
      </c>
      <c r="L491" s="18" t="str">
        <f>IF(Country_5!$C92="","",Country_5!L92)</f>
        <v/>
      </c>
      <c r="M491" s="19" t="str">
        <f>IF(Country_5!$C92="","",Country_5!M92)</f>
        <v/>
      </c>
      <c r="N491" s="16" t="str">
        <f>IF(Country_5!$C92="","",Country_5!N92)</f>
        <v/>
      </c>
      <c r="O491" s="16" t="str">
        <f>IF(Country_5!$C92="","",Country_5!O92)</f>
        <v/>
      </c>
      <c r="P491" s="16" t="str">
        <f>IF(Country_5!$C92="","",Country_5!P92)</f>
        <v/>
      </c>
      <c r="Q491" s="16" t="str">
        <f>IF(Country_5!$C92="","",Country_5!Q92)</f>
        <v/>
      </c>
    </row>
    <row r="492" spans="1:17" x14ac:dyDescent="0.25">
      <c r="A492" s="16" t="str">
        <f>IF(Country_5!$C93="","",Country_5!A93)</f>
        <v/>
      </c>
      <c r="B492" s="16" t="str">
        <f>IF(Country_5!$C93="","",Country_5!B93)</f>
        <v/>
      </c>
      <c r="C492" s="16" t="str">
        <f>IF(Country_5!$C93="","",Country_5!C93)</f>
        <v/>
      </c>
      <c r="D492" s="16" t="str">
        <f>IF(Country_5!$C93="","",Country_5!D93)</f>
        <v/>
      </c>
      <c r="E492" s="16" t="str">
        <f>IF(Country_5!$C93="","",Country_5!E93)</f>
        <v/>
      </c>
      <c r="F492" s="16" t="str">
        <f>IF(Country_5!$C93="","",Country_5!F93)</f>
        <v/>
      </c>
      <c r="G492" s="17" t="str">
        <f>IF(Country_5!$C93="","",Country_5!G93)</f>
        <v/>
      </c>
      <c r="H492" s="17" t="str">
        <f>IF(Country_5!$C93="","",Country_5!H93)</f>
        <v/>
      </c>
      <c r="I492" s="16" t="str">
        <f>IF(Country_5!$C93="","",Country_5!I93)</f>
        <v/>
      </c>
      <c r="J492" s="16" t="str">
        <f>IF(Country_5!$C93="","",Country_5!J93)</f>
        <v/>
      </c>
      <c r="K492" s="18" t="str">
        <f>IF(Country_5!$C93="","",Country_5!K93)</f>
        <v/>
      </c>
      <c r="L492" s="18" t="str">
        <f>IF(Country_5!$C93="","",Country_5!L93)</f>
        <v/>
      </c>
      <c r="M492" s="19" t="str">
        <f>IF(Country_5!$C93="","",Country_5!M93)</f>
        <v/>
      </c>
      <c r="N492" s="16" t="str">
        <f>IF(Country_5!$C93="","",Country_5!N93)</f>
        <v/>
      </c>
      <c r="O492" s="16" t="str">
        <f>IF(Country_5!$C93="","",Country_5!O93)</f>
        <v/>
      </c>
      <c r="P492" s="16" t="str">
        <f>IF(Country_5!$C93="","",Country_5!P93)</f>
        <v/>
      </c>
      <c r="Q492" s="16" t="str">
        <f>IF(Country_5!$C93="","",Country_5!Q93)</f>
        <v/>
      </c>
    </row>
    <row r="493" spans="1:17" x14ac:dyDescent="0.25">
      <c r="A493" s="16" t="str">
        <f>IF(Country_5!$C94="","",Country_5!A94)</f>
        <v/>
      </c>
      <c r="B493" s="16" t="str">
        <f>IF(Country_5!$C94="","",Country_5!B94)</f>
        <v/>
      </c>
      <c r="C493" s="16" t="str">
        <f>IF(Country_5!$C94="","",Country_5!C94)</f>
        <v/>
      </c>
      <c r="D493" s="16" t="str">
        <f>IF(Country_5!$C94="","",Country_5!D94)</f>
        <v/>
      </c>
      <c r="E493" s="16" t="str">
        <f>IF(Country_5!$C94="","",Country_5!E94)</f>
        <v/>
      </c>
      <c r="F493" s="16" t="str">
        <f>IF(Country_5!$C94="","",Country_5!F94)</f>
        <v/>
      </c>
      <c r="G493" s="17" t="str">
        <f>IF(Country_5!$C94="","",Country_5!G94)</f>
        <v/>
      </c>
      <c r="H493" s="17" t="str">
        <f>IF(Country_5!$C94="","",Country_5!H94)</f>
        <v/>
      </c>
      <c r="I493" s="16" t="str">
        <f>IF(Country_5!$C94="","",Country_5!I94)</f>
        <v/>
      </c>
      <c r="J493" s="16" t="str">
        <f>IF(Country_5!$C94="","",Country_5!J94)</f>
        <v/>
      </c>
      <c r="K493" s="18" t="str">
        <f>IF(Country_5!$C94="","",Country_5!K94)</f>
        <v/>
      </c>
      <c r="L493" s="18" t="str">
        <f>IF(Country_5!$C94="","",Country_5!L94)</f>
        <v/>
      </c>
      <c r="M493" s="19" t="str">
        <f>IF(Country_5!$C94="","",Country_5!M94)</f>
        <v/>
      </c>
      <c r="N493" s="16" t="str">
        <f>IF(Country_5!$C94="","",Country_5!N94)</f>
        <v/>
      </c>
      <c r="O493" s="16" t="str">
        <f>IF(Country_5!$C94="","",Country_5!O94)</f>
        <v/>
      </c>
      <c r="P493" s="16" t="str">
        <f>IF(Country_5!$C94="","",Country_5!P94)</f>
        <v/>
      </c>
      <c r="Q493" s="16" t="str">
        <f>IF(Country_5!$C94="","",Country_5!Q94)</f>
        <v/>
      </c>
    </row>
    <row r="494" spans="1:17" x14ac:dyDescent="0.25">
      <c r="A494" s="16" t="str">
        <f>IF(Country_5!$C95="","",Country_5!A95)</f>
        <v/>
      </c>
      <c r="B494" s="16" t="str">
        <f>IF(Country_5!$C95="","",Country_5!B95)</f>
        <v/>
      </c>
      <c r="C494" s="16" t="str">
        <f>IF(Country_5!$C95="","",Country_5!C95)</f>
        <v/>
      </c>
      <c r="D494" s="16" t="str">
        <f>IF(Country_5!$C95="","",Country_5!D95)</f>
        <v/>
      </c>
      <c r="E494" s="16" t="str">
        <f>IF(Country_5!$C95="","",Country_5!E95)</f>
        <v/>
      </c>
      <c r="F494" s="16" t="str">
        <f>IF(Country_5!$C95="","",Country_5!F95)</f>
        <v/>
      </c>
      <c r="G494" s="17" t="str">
        <f>IF(Country_5!$C95="","",Country_5!G95)</f>
        <v/>
      </c>
      <c r="H494" s="17" t="str">
        <f>IF(Country_5!$C95="","",Country_5!H95)</f>
        <v/>
      </c>
      <c r="I494" s="16" t="str">
        <f>IF(Country_5!$C95="","",Country_5!I95)</f>
        <v/>
      </c>
      <c r="J494" s="16" t="str">
        <f>IF(Country_5!$C95="","",Country_5!J95)</f>
        <v/>
      </c>
      <c r="K494" s="18" t="str">
        <f>IF(Country_5!$C95="","",Country_5!K95)</f>
        <v/>
      </c>
      <c r="L494" s="18" t="str">
        <f>IF(Country_5!$C95="","",Country_5!L95)</f>
        <v/>
      </c>
      <c r="M494" s="19" t="str">
        <f>IF(Country_5!$C95="","",Country_5!M95)</f>
        <v/>
      </c>
      <c r="N494" s="16" t="str">
        <f>IF(Country_5!$C95="","",Country_5!N95)</f>
        <v/>
      </c>
      <c r="O494" s="16" t="str">
        <f>IF(Country_5!$C95="","",Country_5!O95)</f>
        <v/>
      </c>
      <c r="P494" s="16" t="str">
        <f>IF(Country_5!$C95="","",Country_5!P95)</f>
        <v/>
      </c>
      <c r="Q494" s="16" t="str">
        <f>IF(Country_5!$C95="","",Country_5!Q95)</f>
        <v/>
      </c>
    </row>
    <row r="495" spans="1:17" x14ac:dyDescent="0.25">
      <c r="A495" s="16" t="str">
        <f>IF(Country_5!$C96="","",Country_5!A96)</f>
        <v/>
      </c>
      <c r="B495" s="16" t="str">
        <f>IF(Country_5!$C96="","",Country_5!B96)</f>
        <v/>
      </c>
      <c r="C495" s="16" t="str">
        <f>IF(Country_5!$C96="","",Country_5!C96)</f>
        <v/>
      </c>
      <c r="D495" s="16" t="str">
        <f>IF(Country_5!$C96="","",Country_5!D96)</f>
        <v/>
      </c>
      <c r="E495" s="16" t="str">
        <f>IF(Country_5!$C96="","",Country_5!E96)</f>
        <v/>
      </c>
      <c r="F495" s="16" t="str">
        <f>IF(Country_5!$C96="","",Country_5!F96)</f>
        <v/>
      </c>
      <c r="G495" s="17" t="str">
        <f>IF(Country_5!$C96="","",Country_5!G96)</f>
        <v/>
      </c>
      <c r="H495" s="17" t="str">
        <f>IF(Country_5!$C96="","",Country_5!H96)</f>
        <v/>
      </c>
      <c r="I495" s="16" t="str">
        <f>IF(Country_5!$C96="","",Country_5!I96)</f>
        <v/>
      </c>
      <c r="J495" s="16" t="str">
        <f>IF(Country_5!$C96="","",Country_5!J96)</f>
        <v/>
      </c>
      <c r="K495" s="18" t="str">
        <f>IF(Country_5!$C96="","",Country_5!K96)</f>
        <v/>
      </c>
      <c r="L495" s="18" t="str">
        <f>IF(Country_5!$C96="","",Country_5!L96)</f>
        <v/>
      </c>
      <c r="M495" s="19" t="str">
        <f>IF(Country_5!$C96="","",Country_5!M96)</f>
        <v/>
      </c>
      <c r="N495" s="16" t="str">
        <f>IF(Country_5!$C96="","",Country_5!N96)</f>
        <v/>
      </c>
      <c r="O495" s="16" t="str">
        <f>IF(Country_5!$C96="","",Country_5!O96)</f>
        <v/>
      </c>
      <c r="P495" s="16" t="str">
        <f>IF(Country_5!$C96="","",Country_5!P96)</f>
        <v/>
      </c>
      <c r="Q495" s="16" t="str">
        <f>IF(Country_5!$C96="","",Country_5!Q96)</f>
        <v/>
      </c>
    </row>
    <row r="496" spans="1:17" x14ac:dyDescent="0.25">
      <c r="A496" s="16" t="str">
        <f>IF(Country_5!$C97="","",Country_5!A97)</f>
        <v/>
      </c>
      <c r="B496" s="16" t="str">
        <f>IF(Country_5!$C97="","",Country_5!B97)</f>
        <v/>
      </c>
      <c r="C496" s="16" t="str">
        <f>IF(Country_5!$C97="","",Country_5!C97)</f>
        <v/>
      </c>
      <c r="D496" s="16" t="str">
        <f>IF(Country_5!$C97="","",Country_5!D97)</f>
        <v/>
      </c>
      <c r="E496" s="16" t="str">
        <f>IF(Country_5!$C97="","",Country_5!E97)</f>
        <v/>
      </c>
      <c r="F496" s="16" t="str">
        <f>IF(Country_5!$C97="","",Country_5!F97)</f>
        <v/>
      </c>
      <c r="G496" s="17" t="str">
        <f>IF(Country_5!$C97="","",Country_5!G97)</f>
        <v/>
      </c>
      <c r="H496" s="17" t="str">
        <f>IF(Country_5!$C97="","",Country_5!H97)</f>
        <v/>
      </c>
      <c r="I496" s="16" t="str">
        <f>IF(Country_5!$C97="","",Country_5!I97)</f>
        <v/>
      </c>
      <c r="J496" s="16" t="str">
        <f>IF(Country_5!$C97="","",Country_5!J97)</f>
        <v/>
      </c>
      <c r="K496" s="18" t="str">
        <f>IF(Country_5!$C97="","",Country_5!K97)</f>
        <v/>
      </c>
      <c r="L496" s="18" t="str">
        <f>IF(Country_5!$C97="","",Country_5!L97)</f>
        <v/>
      </c>
      <c r="M496" s="19" t="str">
        <f>IF(Country_5!$C97="","",Country_5!M97)</f>
        <v/>
      </c>
      <c r="N496" s="16" t="str">
        <f>IF(Country_5!$C97="","",Country_5!N97)</f>
        <v/>
      </c>
      <c r="O496" s="16" t="str">
        <f>IF(Country_5!$C97="","",Country_5!O97)</f>
        <v/>
      </c>
      <c r="P496" s="16" t="str">
        <f>IF(Country_5!$C97="","",Country_5!P97)</f>
        <v/>
      </c>
      <c r="Q496" s="16" t="str">
        <f>IF(Country_5!$C97="","",Country_5!Q97)</f>
        <v/>
      </c>
    </row>
    <row r="497" spans="1:17" x14ac:dyDescent="0.25">
      <c r="A497" s="16" t="str">
        <f>IF(Country_5!$C98="","",Country_5!A98)</f>
        <v/>
      </c>
      <c r="B497" s="16" t="str">
        <f>IF(Country_5!$C98="","",Country_5!B98)</f>
        <v/>
      </c>
      <c r="C497" s="16" t="str">
        <f>IF(Country_5!$C98="","",Country_5!C98)</f>
        <v/>
      </c>
      <c r="D497" s="16" t="str">
        <f>IF(Country_5!$C98="","",Country_5!D98)</f>
        <v/>
      </c>
      <c r="E497" s="16" t="str">
        <f>IF(Country_5!$C98="","",Country_5!E98)</f>
        <v/>
      </c>
      <c r="F497" s="16" t="str">
        <f>IF(Country_5!$C98="","",Country_5!F98)</f>
        <v/>
      </c>
      <c r="G497" s="17" t="str">
        <f>IF(Country_5!$C98="","",Country_5!G98)</f>
        <v/>
      </c>
      <c r="H497" s="17" t="str">
        <f>IF(Country_5!$C98="","",Country_5!H98)</f>
        <v/>
      </c>
      <c r="I497" s="16" t="str">
        <f>IF(Country_5!$C98="","",Country_5!I98)</f>
        <v/>
      </c>
      <c r="J497" s="16" t="str">
        <f>IF(Country_5!$C98="","",Country_5!J98)</f>
        <v/>
      </c>
      <c r="K497" s="18" t="str">
        <f>IF(Country_5!$C98="","",Country_5!K98)</f>
        <v/>
      </c>
      <c r="L497" s="18" t="str">
        <f>IF(Country_5!$C98="","",Country_5!L98)</f>
        <v/>
      </c>
      <c r="M497" s="19" t="str">
        <f>IF(Country_5!$C98="","",Country_5!M98)</f>
        <v/>
      </c>
      <c r="N497" s="16" t="str">
        <f>IF(Country_5!$C98="","",Country_5!N98)</f>
        <v/>
      </c>
      <c r="O497" s="16" t="str">
        <f>IF(Country_5!$C98="","",Country_5!O98)</f>
        <v/>
      </c>
      <c r="P497" s="16" t="str">
        <f>IF(Country_5!$C98="","",Country_5!P98)</f>
        <v/>
      </c>
      <c r="Q497" s="16" t="str">
        <f>IF(Country_5!$C98="","",Country_5!Q98)</f>
        <v/>
      </c>
    </row>
    <row r="498" spans="1:17" x14ac:dyDescent="0.25">
      <c r="A498" s="16" t="str">
        <f>IF(Country_5!$C99="","",Country_5!A99)</f>
        <v/>
      </c>
      <c r="B498" s="16" t="str">
        <f>IF(Country_5!$C99="","",Country_5!B99)</f>
        <v/>
      </c>
      <c r="C498" s="16" t="str">
        <f>IF(Country_5!$C99="","",Country_5!C99)</f>
        <v/>
      </c>
      <c r="D498" s="16" t="str">
        <f>IF(Country_5!$C99="","",Country_5!D99)</f>
        <v/>
      </c>
      <c r="E498" s="16" t="str">
        <f>IF(Country_5!$C99="","",Country_5!E99)</f>
        <v/>
      </c>
      <c r="F498" s="16" t="str">
        <f>IF(Country_5!$C99="","",Country_5!F99)</f>
        <v/>
      </c>
      <c r="G498" s="17" t="str">
        <f>IF(Country_5!$C99="","",Country_5!G99)</f>
        <v/>
      </c>
      <c r="H498" s="17" t="str">
        <f>IF(Country_5!$C99="","",Country_5!H99)</f>
        <v/>
      </c>
      <c r="I498" s="16" t="str">
        <f>IF(Country_5!$C99="","",Country_5!I99)</f>
        <v/>
      </c>
      <c r="J498" s="16" t="str">
        <f>IF(Country_5!$C99="","",Country_5!J99)</f>
        <v/>
      </c>
      <c r="K498" s="18" t="str">
        <f>IF(Country_5!$C99="","",Country_5!K99)</f>
        <v/>
      </c>
      <c r="L498" s="18" t="str">
        <f>IF(Country_5!$C99="","",Country_5!L99)</f>
        <v/>
      </c>
      <c r="M498" s="19" t="str">
        <f>IF(Country_5!$C99="","",Country_5!M99)</f>
        <v/>
      </c>
      <c r="N498" s="16" t="str">
        <f>IF(Country_5!$C99="","",Country_5!N99)</f>
        <v/>
      </c>
      <c r="O498" s="16" t="str">
        <f>IF(Country_5!$C99="","",Country_5!O99)</f>
        <v/>
      </c>
      <c r="P498" s="16" t="str">
        <f>IF(Country_5!$C99="","",Country_5!P99)</f>
        <v/>
      </c>
      <c r="Q498" s="16" t="str">
        <f>IF(Country_5!$C99="","",Country_5!Q99)</f>
        <v/>
      </c>
    </row>
    <row r="499" spans="1:17" x14ac:dyDescent="0.25">
      <c r="A499" s="16" t="str">
        <f>IF(Country_5!$C100="","",Country_5!A100)</f>
        <v/>
      </c>
      <c r="B499" s="16" t="str">
        <f>IF(Country_5!$C100="","",Country_5!B100)</f>
        <v/>
      </c>
      <c r="C499" s="16" t="str">
        <f>IF(Country_5!$C100="","",Country_5!C100)</f>
        <v/>
      </c>
      <c r="D499" s="16" t="str">
        <f>IF(Country_5!$C100="","",Country_5!D100)</f>
        <v/>
      </c>
      <c r="E499" s="16" t="str">
        <f>IF(Country_5!$C100="","",Country_5!E100)</f>
        <v/>
      </c>
      <c r="F499" s="16" t="str">
        <f>IF(Country_5!$C100="","",Country_5!F100)</f>
        <v/>
      </c>
      <c r="G499" s="17" t="str">
        <f>IF(Country_5!$C100="","",Country_5!G100)</f>
        <v/>
      </c>
      <c r="H499" s="17" t="str">
        <f>IF(Country_5!$C100="","",Country_5!H100)</f>
        <v/>
      </c>
      <c r="I499" s="16" t="str">
        <f>IF(Country_5!$C100="","",Country_5!I100)</f>
        <v/>
      </c>
      <c r="J499" s="16" t="str">
        <f>IF(Country_5!$C100="","",Country_5!J100)</f>
        <v/>
      </c>
      <c r="K499" s="18" t="str">
        <f>IF(Country_5!$C100="","",Country_5!K100)</f>
        <v/>
      </c>
      <c r="L499" s="18" t="str">
        <f>IF(Country_5!$C100="","",Country_5!L100)</f>
        <v/>
      </c>
      <c r="M499" s="19" t="str">
        <f>IF(Country_5!$C100="","",Country_5!M100)</f>
        <v/>
      </c>
      <c r="N499" s="16" t="str">
        <f>IF(Country_5!$C100="","",Country_5!N100)</f>
        <v/>
      </c>
      <c r="O499" s="16" t="str">
        <f>IF(Country_5!$C100="","",Country_5!O100)</f>
        <v/>
      </c>
      <c r="P499" s="16" t="str">
        <f>IF(Country_5!$C100="","",Country_5!P100)</f>
        <v/>
      </c>
      <c r="Q499" s="16" t="str">
        <f>IF(Country_5!$C100="","",Country_5!Q100)</f>
        <v/>
      </c>
    </row>
    <row r="500" spans="1:17" x14ac:dyDescent="0.25">
      <c r="A500" s="16" t="str">
        <f>IF(Country_5!$C101="","",Country_5!A101)</f>
        <v/>
      </c>
      <c r="B500" s="16" t="str">
        <f>IF(Country_5!$C101="","",Country_5!B101)</f>
        <v/>
      </c>
      <c r="C500" s="16" t="str">
        <f>IF(Country_5!$C101="","",Country_5!C101)</f>
        <v/>
      </c>
      <c r="D500" s="16" t="str">
        <f>IF(Country_5!$C101="","",Country_5!D101)</f>
        <v/>
      </c>
      <c r="E500" s="16" t="str">
        <f>IF(Country_5!$C101="","",Country_5!E101)</f>
        <v/>
      </c>
      <c r="F500" s="16" t="str">
        <f>IF(Country_5!$C101="","",Country_5!F101)</f>
        <v/>
      </c>
      <c r="G500" s="17" t="str">
        <f>IF(Country_5!$C101="","",Country_5!G101)</f>
        <v/>
      </c>
      <c r="H500" s="17" t="str">
        <f>IF(Country_5!$C101="","",Country_5!H101)</f>
        <v/>
      </c>
      <c r="I500" s="16" t="str">
        <f>IF(Country_5!$C101="","",Country_5!I101)</f>
        <v/>
      </c>
      <c r="J500" s="16" t="str">
        <f>IF(Country_5!$C101="","",Country_5!J101)</f>
        <v/>
      </c>
      <c r="K500" s="18" t="str">
        <f>IF(Country_5!$C101="","",Country_5!K101)</f>
        <v/>
      </c>
      <c r="L500" s="18" t="str">
        <f>IF(Country_5!$C101="","",Country_5!L101)</f>
        <v/>
      </c>
      <c r="M500" s="19" t="str">
        <f>IF(Country_5!$C101="","",Country_5!M101)</f>
        <v/>
      </c>
      <c r="N500" s="16" t="str">
        <f>IF(Country_5!$C101="","",Country_5!N101)</f>
        <v/>
      </c>
      <c r="O500" s="16" t="str">
        <f>IF(Country_5!$C101="","",Country_5!O101)</f>
        <v/>
      </c>
      <c r="P500" s="16" t="str">
        <f>IF(Country_5!$C101="","",Country_5!P101)</f>
        <v/>
      </c>
      <c r="Q500" s="16" t="str">
        <f>IF(Country_5!$C101="","",Country_5!Q101)</f>
        <v/>
      </c>
    </row>
    <row r="501" spans="1:17" x14ac:dyDescent="0.25">
      <c r="A501" s="16" t="str">
        <f>IF(Country_5!$C102="","",Country_5!A102)</f>
        <v/>
      </c>
      <c r="B501" s="16" t="str">
        <f>IF(Country_5!$C102="","",Country_5!B102)</f>
        <v/>
      </c>
      <c r="C501" s="16" t="str">
        <f>IF(Country_5!$C102="","",Country_5!C102)</f>
        <v/>
      </c>
      <c r="D501" s="16" t="str">
        <f>IF(Country_5!$C102="","",Country_5!D102)</f>
        <v/>
      </c>
      <c r="E501" s="16" t="str">
        <f>IF(Country_5!$C102="","",Country_5!E102)</f>
        <v/>
      </c>
      <c r="F501" s="16" t="str">
        <f>IF(Country_5!$C102="","",Country_5!F102)</f>
        <v/>
      </c>
      <c r="G501" s="17" t="str">
        <f>IF(Country_5!$C102="","",Country_5!G102)</f>
        <v/>
      </c>
      <c r="H501" s="17" t="str">
        <f>IF(Country_5!$C102="","",Country_5!H102)</f>
        <v/>
      </c>
      <c r="I501" s="16" t="str">
        <f>IF(Country_5!$C102="","",Country_5!I102)</f>
        <v/>
      </c>
      <c r="J501" s="16" t="str">
        <f>IF(Country_5!$C102="","",Country_5!J102)</f>
        <v/>
      </c>
      <c r="K501" s="18" t="str">
        <f>IF(Country_5!$C102="","",Country_5!K102)</f>
        <v/>
      </c>
      <c r="L501" s="18" t="str">
        <f>IF(Country_5!$C102="","",Country_5!L102)</f>
        <v/>
      </c>
      <c r="M501" s="19" t="str">
        <f>IF(Country_5!$C102="","",Country_5!M102)</f>
        <v/>
      </c>
      <c r="N501" s="16" t="str">
        <f>IF(Country_5!$C102="","",Country_5!N102)</f>
        <v/>
      </c>
      <c r="O501" s="16" t="str">
        <f>IF(Country_5!$C102="","",Country_5!O102)</f>
        <v/>
      </c>
      <c r="P501" s="16" t="str">
        <f>IF(Country_5!$C102="","",Country_5!P102)</f>
        <v/>
      </c>
      <c r="Q501" s="16" t="str">
        <f>IF(Country_5!$C102="","",Country_5!Q102)</f>
        <v/>
      </c>
    </row>
    <row r="502" spans="1:17" x14ac:dyDescent="0.25">
      <c r="A502" s="16" t="str">
        <f>IF(Country_6!$C3="","",Country_6!A3)</f>
        <v>OI-102</v>
      </c>
      <c r="B502" s="16" t="str">
        <f>IF(Country_6!$C3="","",Country_6!B3)</f>
        <v>Community outreach events delivered</v>
      </c>
      <c r="C502" s="16" t="str">
        <f>IF(Country_6!$C3="","",Country_6!C3)</f>
        <v>C6A001</v>
      </c>
      <c r="D502" s="16" t="str">
        <f>IF(Country_6!$C3="","",Country_6!D3)</f>
        <v>Community outreach campaign 1</v>
      </c>
      <c r="E502" s="16" t="str">
        <f>IF(Country_6!$C3="","",Country_6!E3)</f>
        <v>Outreach</v>
      </c>
      <c r="F502" s="16" t="str">
        <f>IF(Country_6!$C3="","",Country_6!F3)</f>
        <v>Country_6</v>
      </c>
      <c r="G502" s="17">
        <f>IF(Country_6!$C3="","",Country_6!G3)</f>
        <v>45839</v>
      </c>
      <c r="H502" s="17">
        <f>IF(Country_6!$C3="","",Country_6!H3)</f>
        <v>45930</v>
      </c>
      <c r="I502" s="16" t="str">
        <f>IF(Country_6!$C3="","",Country_6!I3)</f>
        <v>Year 2</v>
      </c>
      <c r="J502" s="16" t="str">
        <f>IF(Country_6!$C3="","",Country_6!J3)</f>
        <v>Y2Q3</v>
      </c>
      <c r="K502" s="18">
        <f>IF(Country_6!$C3="","",Country_6!K3)</f>
        <v>77</v>
      </c>
      <c r="L502" s="18">
        <f>IF(Country_6!$C3="","",Country_6!L3)</f>
        <v>81</v>
      </c>
      <c r="M502" s="19">
        <f>IF(Country_6!$C3="","",Country_6!M3)</f>
        <v>1.051948051948052</v>
      </c>
      <c r="N502" s="16" t="str">
        <f>IF(Country_6!$C3="","",Country_6!N3)</f>
        <v>Activity report; photo log</v>
      </c>
      <c r="O502" s="16" t="str">
        <f>IF(Country_6!$C3="","",Country_6!O3)</f>
        <v>No</v>
      </c>
      <c r="P502" s="16" t="str">
        <f>IF(Country_6!$C3="","",Country_6!P3)</f>
        <v>Completed</v>
      </c>
      <c r="Q502" s="16" t="str">
        <f>IF(Country_6!$C3="","",Country_6!Q3)</f>
        <v>Completed as scheduled.</v>
      </c>
    </row>
    <row r="503" spans="1:17" x14ac:dyDescent="0.25">
      <c r="A503" s="16" t="str">
        <f>IF(Country_6!$C4="","",Country_6!A4)</f>
        <v>OI-103</v>
      </c>
      <c r="B503" s="16" t="str">
        <f>IF(Country_6!$C4="","",Country_6!B4)</f>
        <v>Supportive supervision visits conducted</v>
      </c>
      <c r="C503" s="16" t="str">
        <f>IF(Country_6!$C4="","",Country_6!C4)</f>
        <v>C6A002</v>
      </c>
      <c r="D503" s="16" t="str">
        <f>IF(Country_6!$C4="","",Country_6!D4)</f>
        <v>Supportive supervision visit 2</v>
      </c>
      <c r="E503" s="16" t="str">
        <f>IF(Country_6!$C4="","",Country_6!E4)</f>
        <v>Monitoring</v>
      </c>
      <c r="F503" s="16" t="str">
        <f>IF(Country_6!$C4="","",Country_6!F4)</f>
        <v>Country_6</v>
      </c>
      <c r="G503" s="17">
        <f>IF(Country_6!$C4="","",Country_6!G4)</f>
        <v>45931</v>
      </c>
      <c r="H503" s="17">
        <f>IF(Country_6!$C4="","",Country_6!H4)</f>
        <v>46022</v>
      </c>
      <c r="I503" s="16" t="str">
        <f>IF(Country_6!$C4="","",Country_6!I4)</f>
        <v>Year 2</v>
      </c>
      <c r="J503" s="16" t="str">
        <f>IF(Country_6!$C4="","",Country_6!J4)</f>
        <v>Y2Q4</v>
      </c>
      <c r="K503" s="18">
        <f>IF(Country_6!$C4="","",Country_6!K4)</f>
        <v>32</v>
      </c>
      <c r="L503" s="18">
        <f>IF(Country_6!$C4="","",Country_6!L4)</f>
        <v>32</v>
      </c>
      <c r="M503" s="19">
        <f>IF(Country_6!$C4="","",Country_6!M4)</f>
        <v>1</v>
      </c>
      <c r="N503" s="16" t="str">
        <f>IF(Country_6!$C4="","",Country_6!N4)</f>
        <v>Supervision checklist; visit report</v>
      </c>
      <c r="O503" s="16" t="str">
        <f>IF(Country_6!$C4="","",Country_6!O4)</f>
        <v>No</v>
      </c>
      <c r="P503" s="16" t="str">
        <f>IF(Country_6!$C4="","",Country_6!P4)</f>
        <v>Completed</v>
      </c>
      <c r="Q503" s="16" t="str">
        <f>IF(Country_6!$C4="","",Country_6!Q4)</f>
        <v>Completed as scheduled.</v>
      </c>
    </row>
    <row r="504" spans="1:17" x14ac:dyDescent="0.25">
      <c r="A504" s="16" t="str">
        <f>IF(Country_6!$C5="","",Country_6!A5)</f>
        <v>OI-104</v>
      </c>
      <c r="B504" s="16" t="str">
        <f>IF(Country_6!$C5="","",Country_6!B5)</f>
        <v>Policy dialogues facilitated</v>
      </c>
      <c r="C504" s="16" t="str">
        <f>IF(Country_6!$C5="","",Country_6!C5)</f>
        <v>C6A003</v>
      </c>
      <c r="D504" s="16" t="str">
        <f>IF(Country_6!$C5="","",Country_6!D5)</f>
        <v>Policy dialogue 3</v>
      </c>
      <c r="E504" s="16" t="str">
        <f>IF(Country_6!$C5="","",Country_6!E5)</f>
        <v>Advocacy</v>
      </c>
      <c r="F504" s="16" t="str">
        <f>IF(Country_6!$C5="","",Country_6!F5)</f>
        <v>Country_6</v>
      </c>
      <c r="G504" s="17">
        <f>IF(Country_6!$C5="","",Country_6!G5)</f>
        <v>46023</v>
      </c>
      <c r="H504" s="17">
        <f>IF(Country_6!$C5="","",Country_6!H5)</f>
        <v>46112</v>
      </c>
      <c r="I504" s="16" t="str">
        <f>IF(Country_6!$C5="","",Country_6!I5)</f>
        <v>Year 3</v>
      </c>
      <c r="J504" s="16" t="str">
        <f>IF(Country_6!$C5="","",Country_6!J5)</f>
        <v>Y3Q1</v>
      </c>
      <c r="K504" s="18">
        <f>IF(Country_6!$C5="","",Country_6!K5)</f>
        <v>37</v>
      </c>
      <c r="L504" s="18">
        <f>IF(Country_6!$C5="","",Country_6!L5)</f>
        <v>33</v>
      </c>
      <c r="M504" s="19">
        <f>IF(Country_6!$C5="","",Country_6!M5)</f>
        <v>0.89189189189189189</v>
      </c>
      <c r="N504" s="16" t="str">
        <f>IF(Country_6!$C5="","",Country_6!N5)</f>
        <v>Meeting minutes; participant list</v>
      </c>
      <c r="O504" s="16" t="str">
        <f>IF(Country_6!$C5="","",Country_6!O5)</f>
        <v>Yes</v>
      </c>
      <c r="P504" s="16" t="str">
        <f>IF(Country_6!$C5="","",Country_6!P5)</f>
        <v>In progress</v>
      </c>
      <c r="Q504" s="16" t="str">
        <f>IF(Country_6!$C5="","",Country_6!Q5)</f>
        <v>Final attendance reconciliation pending.</v>
      </c>
    </row>
    <row r="505" spans="1:17" x14ac:dyDescent="0.25">
      <c r="A505" s="16" t="str">
        <f>IF(Country_6!$C6="","",Country_6!A6)</f>
        <v>OI-101</v>
      </c>
      <c r="B505" s="16" t="str">
        <f>IF(Country_6!$C6="","",Country_6!B6)</f>
        <v>People trained in targeted skills</v>
      </c>
      <c r="C505" s="16" t="str">
        <f>IF(Country_6!$C6="","",Country_6!C6)</f>
        <v>C6A004</v>
      </c>
      <c r="D505" s="16" t="str">
        <f>IF(Country_6!$C6="","",Country_6!D6)</f>
        <v>Training workshop 4</v>
      </c>
      <c r="E505" s="16" t="str">
        <f>IF(Country_6!$C6="","",Country_6!E6)</f>
        <v>Training</v>
      </c>
      <c r="F505" s="16" t="str">
        <f>IF(Country_6!$C6="","",Country_6!F6)</f>
        <v>Country_6</v>
      </c>
      <c r="G505" s="17">
        <f>IF(Country_6!$C6="","",Country_6!G6)</f>
        <v>46113</v>
      </c>
      <c r="H505" s="17">
        <f>IF(Country_6!$C6="","",Country_6!H6)</f>
        <v>46203</v>
      </c>
      <c r="I505" s="16" t="str">
        <f>IF(Country_6!$C6="","",Country_6!I6)</f>
        <v>Year 3</v>
      </c>
      <c r="J505" s="16" t="str">
        <f>IF(Country_6!$C6="","",Country_6!J6)</f>
        <v>Y3Q2</v>
      </c>
      <c r="K505" s="18">
        <f>IF(Country_6!$C6="","",Country_6!K6)</f>
        <v>42</v>
      </c>
      <c r="L505" s="18">
        <f>IF(Country_6!$C6="","",Country_6!L6)</f>
        <v>34</v>
      </c>
      <c r="M505" s="19">
        <f>IF(Country_6!$C6="","",Country_6!M6)</f>
        <v>0.80952380952380953</v>
      </c>
      <c r="N505" s="16" t="str">
        <f>IF(Country_6!$C6="","",Country_6!N6)</f>
        <v>Signed attendance sheet; pre/post test forms</v>
      </c>
      <c r="O505" s="16" t="str">
        <f>IF(Country_6!$C6="","",Country_6!O6)</f>
        <v>No</v>
      </c>
      <c r="P505" s="16" t="str">
        <f>IF(Country_6!$C6="","",Country_6!P6)</f>
        <v>In progress</v>
      </c>
      <c r="Q505" s="16" t="str">
        <f>IF(Country_6!$C6="","",Country_6!Q6)</f>
        <v>Final attendance reconciliation pending.</v>
      </c>
    </row>
    <row r="506" spans="1:17" x14ac:dyDescent="0.25">
      <c r="A506" s="16" t="str">
        <f>IF(Country_6!$C7="","",Country_6!A7)</f>
        <v>OI-102</v>
      </c>
      <c r="B506" s="16" t="str">
        <f>IF(Country_6!$C7="","",Country_6!B7)</f>
        <v>Community outreach events delivered</v>
      </c>
      <c r="C506" s="16" t="str">
        <f>IF(Country_6!$C7="","",Country_6!C7)</f>
        <v>C6A005</v>
      </c>
      <c r="D506" s="16" t="str">
        <f>IF(Country_6!$C7="","",Country_6!D7)</f>
        <v>Community outreach campaign 5</v>
      </c>
      <c r="E506" s="16" t="str">
        <f>IF(Country_6!$C7="","",Country_6!E7)</f>
        <v>Outreach</v>
      </c>
      <c r="F506" s="16" t="str">
        <f>IF(Country_6!$C7="","",Country_6!F7)</f>
        <v>Country_6</v>
      </c>
      <c r="G506" s="17">
        <f>IF(Country_6!$C7="","",Country_6!G7)</f>
        <v>46204</v>
      </c>
      <c r="H506" s="17">
        <f>IF(Country_6!$C7="","",Country_6!H7)</f>
        <v>46295</v>
      </c>
      <c r="I506" s="16" t="str">
        <f>IF(Country_6!$C7="","",Country_6!I7)</f>
        <v>Year 3</v>
      </c>
      <c r="J506" s="16" t="str">
        <f>IF(Country_6!$C7="","",Country_6!J7)</f>
        <v>Y3Q3</v>
      </c>
      <c r="K506" s="18">
        <f>IF(Country_6!$C7="","",Country_6!K7)</f>
        <v>47</v>
      </c>
      <c r="L506" s="18">
        <f>IF(Country_6!$C7="","",Country_6!L7)</f>
        <v>0</v>
      </c>
      <c r="M506" s="19">
        <f>IF(Country_6!$C7="","",Country_6!M7)</f>
        <v>0</v>
      </c>
      <c r="N506" s="16" t="str">
        <f>IF(Country_6!$C7="","",Country_6!N7)</f>
        <v>Activity report; photo log</v>
      </c>
      <c r="O506" s="16" t="str">
        <f>IF(Country_6!$C7="","",Country_6!O7)</f>
        <v>No</v>
      </c>
      <c r="P506" s="16" t="str">
        <f>IF(Country_6!$C7="","",Country_6!P7)</f>
        <v>Not started</v>
      </c>
      <c r="Q506" s="16" t="str">
        <f>IF(Country_6!$C7="","",Country_6!Q7)</f>
        <v>Planned for a future quarter.</v>
      </c>
    </row>
    <row r="507" spans="1:17" x14ac:dyDescent="0.25">
      <c r="A507" s="16" t="str">
        <f>IF(Country_6!$C8="","",Country_6!A8)</f>
        <v>OI-103</v>
      </c>
      <c r="B507" s="16" t="str">
        <f>IF(Country_6!$C8="","",Country_6!B8)</f>
        <v>Supportive supervision visits conducted</v>
      </c>
      <c r="C507" s="16" t="str">
        <f>IF(Country_6!$C8="","",Country_6!C8)</f>
        <v>C6A006</v>
      </c>
      <c r="D507" s="16" t="str">
        <f>IF(Country_6!$C8="","",Country_6!D8)</f>
        <v>Supportive supervision visit 6</v>
      </c>
      <c r="E507" s="16" t="str">
        <f>IF(Country_6!$C8="","",Country_6!E8)</f>
        <v>Monitoring</v>
      </c>
      <c r="F507" s="16" t="str">
        <f>IF(Country_6!$C8="","",Country_6!F8)</f>
        <v>Country_6</v>
      </c>
      <c r="G507" s="17">
        <f>IF(Country_6!$C8="","",Country_6!G8)</f>
        <v>46296</v>
      </c>
      <c r="H507" s="17">
        <f>IF(Country_6!$C8="","",Country_6!H8)</f>
        <v>46387</v>
      </c>
      <c r="I507" s="16" t="str">
        <f>IF(Country_6!$C8="","",Country_6!I8)</f>
        <v>Year 3</v>
      </c>
      <c r="J507" s="16" t="str">
        <f>IF(Country_6!$C8="","",Country_6!J8)</f>
        <v>Y3Q4</v>
      </c>
      <c r="K507" s="18">
        <f>IF(Country_6!$C8="","",Country_6!K8)</f>
        <v>52</v>
      </c>
      <c r="L507" s="18">
        <f>IF(Country_6!$C8="","",Country_6!L8)</f>
        <v>0</v>
      </c>
      <c r="M507" s="19">
        <f>IF(Country_6!$C8="","",Country_6!M8)</f>
        <v>0</v>
      </c>
      <c r="N507" s="16" t="str">
        <f>IF(Country_6!$C8="","",Country_6!N8)</f>
        <v>Supervision checklist; visit report</v>
      </c>
      <c r="O507" s="16" t="str">
        <f>IF(Country_6!$C8="","",Country_6!O8)</f>
        <v>Yes</v>
      </c>
      <c r="P507" s="16" t="str">
        <f>IF(Country_6!$C8="","",Country_6!P8)</f>
        <v>Not started</v>
      </c>
      <c r="Q507" s="16" t="str">
        <f>IF(Country_6!$C8="","",Country_6!Q8)</f>
        <v>Planned for a future quarter.</v>
      </c>
    </row>
    <row r="508" spans="1:17" x14ac:dyDescent="0.25">
      <c r="A508" s="16" t="str">
        <f>IF(Country_6!$C9="","",Country_6!A9)</f>
        <v/>
      </c>
      <c r="B508" s="16" t="str">
        <f>IF(Country_6!$C9="","",Country_6!B9)</f>
        <v/>
      </c>
      <c r="C508" s="16" t="str">
        <f>IF(Country_6!$C9="","",Country_6!C9)</f>
        <v/>
      </c>
      <c r="D508" s="16" t="str">
        <f>IF(Country_6!$C9="","",Country_6!D9)</f>
        <v/>
      </c>
      <c r="E508" s="16" t="str">
        <f>IF(Country_6!$C9="","",Country_6!E9)</f>
        <v/>
      </c>
      <c r="F508" s="16" t="str">
        <f>IF(Country_6!$C9="","",Country_6!F9)</f>
        <v/>
      </c>
      <c r="G508" s="17" t="str">
        <f>IF(Country_6!$C9="","",Country_6!G9)</f>
        <v/>
      </c>
      <c r="H508" s="17" t="str">
        <f>IF(Country_6!$C9="","",Country_6!H9)</f>
        <v/>
      </c>
      <c r="I508" s="16" t="str">
        <f>IF(Country_6!$C9="","",Country_6!I9)</f>
        <v/>
      </c>
      <c r="J508" s="16" t="str">
        <f>IF(Country_6!$C9="","",Country_6!J9)</f>
        <v/>
      </c>
      <c r="K508" s="18" t="str">
        <f>IF(Country_6!$C9="","",Country_6!K9)</f>
        <v/>
      </c>
      <c r="L508" s="18" t="str">
        <f>IF(Country_6!$C9="","",Country_6!L9)</f>
        <v/>
      </c>
      <c r="M508" s="19" t="str">
        <f>IF(Country_6!$C9="","",Country_6!M9)</f>
        <v/>
      </c>
      <c r="N508" s="16" t="str">
        <f>IF(Country_6!$C9="","",Country_6!N9)</f>
        <v/>
      </c>
      <c r="O508" s="16" t="str">
        <f>IF(Country_6!$C9="","",Country_6!O9)</f>
        <v/>
      </c>
      <c r="P508" s="16" t="str">
        <f>IF(Country_6!$C9="","",Country_6!P9)</f>
        <v/>
      </c>
      <c r="Q508" s="16" t="str">
        <f>IF(Country_6!$C9="","",Country_6!Q9)</f>
        <v/>
      </c>
    </row>
    <row r="509" spans="1:17" x14ac:dyDescent="0.25">
      <c r="A509" s="16" t="str">
        <f>IF(Country_6!$C10="","",Country_6!A10)</f>
        <v/>
      </c>
      <c r="B509" s="16" t="str">
        <f>IF(Country_6!$C10="","",Country_6!B10)</f>
        <v/>
      </c>
      <c r="C509" s="16" t="str">
        <f>IF(Country_6!$C10="","",Country_6!C10)</f>
        <v/>
      </c>
      <c r="D509" s="16" t="str">
        <f>IF(Country_6!$C10="","",Country_6!D10)</f>
        <v/>
      </c>
      <c r="E509" s="16" t="str">
        <f>IF(Country_6!$C10="","",Country_6!E10)</f>
        <v/>
      </c>
      <c r="F509" s="16" t="str">
        <f>IF(Country_6!$C10="","",Country_6!F10)</f>
        <v/>
      </c>
      <c r="G509" s="17" t="str">
        <f>IF(Country_6!$C10="","",Country_6!G10)</f>
        <v/>
      </c>
      <c r="H509" s="17" t="str">
        <f>IF(Country_6!$C10="","",Country_6!H10)</f>
        <v/>
      </c>
      <c r="I509" s="16" t="str">
        <f>IF(Country_6!$C10="","",Country_6!I10)</f>
        <v/>
      </c>
      <c r="J509" s="16" t="str">
        <f>IF(Country_6!$C10="","",Country_6!J10)</f>
        <v/>
      </c>
      <c r="K509" s="18" t="str">
        <f>IF(Country_6!$C10="","",Country_6!K10)</f>
        <v/>
      </c>
      <c r="L509" s="18" t="str">
        <f>IF(Country_6!$C10="","",Country_6!L10)</f>
        <v/>
      </c>
      <c r="M509" s="19" t="str">
        <f>IF(Country_6!$C10="","",Country_6!M10)</f>
        <v/>
      </c>
      <c r="N509" s="16" t="str">
        <f>IF(Country_6!$C10="","",Country_6!N10)</f>
        <v/>
      </c>
      <c r="O509" s="16" t="str">
        <f>IF(Country_6!$C10="","",Country_6!O10)</f>
        <v/>
      </c>
      <c r="P509" s="16" t="str">
        <f>IF(Country_6!$C10="","",Country_6!P10)</f>
        <v/>
      </c>
      <c r="Q509" s="16" t="str">
        <f>IF(Country_6!$C10="","",Country_6!Q10)</f>
        <v/>
      </c>
    </row>
    <row r="510" spans="1:17" x14ac:dyDescent="0.25">
      <c r="A510" s="16" t="str">
        <f>IF(Country_6!$C11="","",Country_6!A11)</f>
        <v/>
      </c>
      <c r="B510" s="16" t="str">
        <f>IF(Country_6!$C11="","",Country_6!B11)</f>
        <v/>
      </c>
      <c r="C510" s="16" t="str">
        <f>IF(Country_6!$C11="","",Country_6!C11)</f>
        <v/>
      </c>
      <c r="D510" s="16" t="str">
        <f>IF(Country_6!$C11="","",Country_6!D11)</f>
        <v/>
      </c>
      <c r="E510" s="16" t="str">
        <f>IF(Country_6!$C11="","",Country_6!E11)</f>
        <v/>
      </c>
      <c r="F510" s="16" t="str">
        <f>IF(Country_6!$C11="","",Country_6!F11)</f>
        <v/>
      </c>
      <c r="G510" s="17" t="str">
        <f>IF(Country_6!$C11="","",Country_6!G11)</f>
        <v/>
      </c>
      <c r="H510" s="17" t="str">
        <f>IF(Country_6!$C11="","",Country_6!H11)</f>
        <v/>
      </c>
      <c r="I510" s="16" t="str">
        <f>IF(Country_6!$C11="","",Country_6!I11)</f>
        <v/>
      </c>
      <c r="J510" s="16" t="str">
        <f>IF(Country_6!$C11="","",Country_6!J11)</f>
        <v/>
      </c>
      <c r="K510" s="18" t="str">
        <f>IF(Country_6!$C11="","",Country_6!K11)</f>
        <v/>
      </c>
      <c r="L510" s="18" t="str">
        <f>IF(Country_6!$C11="","",Country_6!L11)</f>
        <v/>
      </c>
      <c r="M510" s="19" t="str">
        <f>IF(Country_6!$C11="","",Country_6!M11)</f>
        <v/>
      </c>
      <c r="N510" s="16" t="str">
        <f>IF(Country_6!$C11="","",Country_6!N11)</f>
        <v/>
      </c>
      <c r="O510" s="16" t="str">
        <f>IF(Country_6!$C11="","",Country_6!O11)</f>
        <v/>
      </c>
      <c r="P510" s="16" t="str">
        <f>IF(Country_6!$C11="","",Country_6!P11)</f>
        <v/>
      </c>
      <c r="Q510" s="16" t="str">
        <f>IF(Country_6!$C11="","",Country_6!Q11)</f>
        <v/>
      </c>
    </row>
    <row r="511" spans="1:17" x14ac:dyDescent="0.25">
      <c r="A511" s="16" t="str">
        <f>IF(Country_6!$C12="","",Country_6!A12)</f>
        <v/>
      </c>
      <c r="B511" s="16" t="str">
        <f>IF(Country_6!$C12="","",Country_6!B12)</f>
        <v/>
      </c>
      <c r="C511" s="16" t="str">
        <f>IF(Country_6!$C12="","",Country_6!C12)</f>
        <v/>
      </c>
      <c r="D511" s="16" t="str">
        <f>IF(Country_6!$C12="","",Country_6!D12)</f>
        <v/>
      </c>
      <c r="E511" s="16" t="str">
        <f>IF(Country_6!$C12="","",Country_6!E12)</f>
        <v/>
      </c>
      <c r="F511" s="16" t="str">
        <f>IF(Country_6!$C12="","",Country_6!F12)</f>
        <v/>
      </c>
      <c r="G511" s="17" t="str">
        <f>IF(Country_6!$C12="","",Country_6!G12)</f>
        <v/>
      </c>
      <c r="H511" s="17" t="str">
        <f>IF(Country_6!$C12="","",Country_6!H12)</f>
        <v/>
      </c>
      <c r="I511" s="16" t="str">
        <f>IF(Country_6!$C12="","",Country_6!I12)</f>
        <v/>
      </c>
      <c r="J511" s="16" t="str">
        <f>IF(Country_6!$C12="","",Country_6!J12)</f>
        <v/>
      </c>
      <c r="K511" s="18" t="str">
        <f>IF(Country_6!$C12="","",Country_6!K12)</f>
        <v/>
      </c>
      <c r="L511" s="18" t="str">
        <f>IF(Country_6!$C12="","",Country_6!L12)</f>
        <v/>
      </c>
      <c r="M511" s="19" t="str">
        <f>IF(Country_6!$C12="","",Country_6!M12)</f>
        <v/>
      </c>
      <c r="N511" s="16" t="str">
        <f>IF(Country_6!$C12="","",Country_6!N12)</f>
        <v/>
      </c>
      <c r="O511" s="16" t="str">
        <f>IF(Country_6!$C12="","",Country_6!O12)</f>
        <v/>
      </c>
      <c r="P511" s="16" t="str">
        <f>IF(Country_6!$C12="","",Country_6!P12)</f>
        <v/>
      </c>
      <c r="Q511" s="16" t="str">
        <f>IF(Country_6!$C12="","",Country_6!Q12)</f>
        <v/>
      </c>
    </row>
    <row r="512" spans="1:17" x14ac:dyDescent="0.25">
      <c r="A512" s="16" t="str">
        <f>IF(Country_6!$C13="","",Country_6!A13)</f>
        <v/>
      </c>
      <c r="B512" s="16" t="str">
        <f>IF(Country_6!$C13="","",Country_6!B13)</f>
        <v/>
      </c>
      <c r="C512" s="16" t="str">
        <f>IF(Country_6!$C13="","",Country_6!C13)</f>
        <v/>
      </c>
      <c r="D512" s="16" t="str">
        <f>IF(Country_6!$C13="","",Country_6!D13)</f>
        <v/>
      </c>
      <c r="E512" s="16" t="str">
        <f>IF(Country_6!$C13="","",Country_6!E13)</f>
        <v/>
      </c>
      <c r="F512" s="16" t="str">
        <f>IF(Country_6!$C13="","",Country_6!F13)</f>
        <v/>
      </c>
      <c r="G512" s="17" t="str">
        <f>IF(Country_6!$C13="","",Country_6!G13)</f>
        <v/>
      </c>
      <c r="H512" s="17" t="str">
        <f>IF(Country_6!$C13="","",Country_6!H13)</f>
        <v/>
      </c>
      <c r="I512" s="16" t="str">
        <f>IF(Country_6!$C13="","",Country_6!I13)</f>
        <v/>
      </c>
      <c r="J512" s="16" t="str">
        <f>IF(Country_6!$C13="","",Country_6!J13)</f>
        <v/>
      </c>
      <c r="K512" s="18" t="str">
        <f>IF(Country_6!$C13="","",Country_6!K13)</f>
        <v/>
      </c>
      <c r="L512" s="18" t="str">
        <f>IF(Country_6!$C13="","",Country_6!L13)</f>
        <v/>
      </c>
      <c r="M512" s="19" t="str">
        <f>IF(Country_6!$C13="","",Country_6!M13)</f>
        <v/>
      </c>
      <c r="N512" s="16" t="str">
        <f>IF(Country_6!$C13="","",Country_6!N13)</f>
        <v/>
      </c>
      <c r="O512" s="16" t="str">
        <f>IF(Country_6!$C13="","",Country_6!O13)</f>
        <v/>
      </c>
      <c r="P512" s="16" t="str">
        <f>IF(Country_6!$C13="","",Country_6!P13)</f>
        <v/>
      </c>
      <c r="Q512" s="16" t="str">
        <f>IF(Country_6!$C13="","",Country_6!Q13)</f>
        <v/>
      </c>
    </row>
    <row r="513" spans="1:17" x14ac:dyDescent="0.25">
      <c r="A513" s="16" t="str">
        <f>IF(Country_6!$C14="","",Country_6!A14)</f>
        <v/>
      </c>
      <c r="B513" s="16" t="str">
        <f>IF(Country_6!$C14="","",Country_6!B14)</f>
        <v/>
      </c>
      <c r="C513" s="16" t="str">
        <f>IF(Country_6!$C14="","",Country_6!C14)</f>
        <v/>
      </c>
      <c r="D513" s="16" t="str">
        <f>IF(Country_6!$C14="","",Country_6!D14)</f>
        <v/>
      </c>
      <c r="E513" s="16" t="str">
        <f>IF(Country_6!$C14="","",Country_6!E14)</f>
        <v/>
      </c>
      <c r="F513" s="16" t="str">
        <f>IF(Country_6!$C14="","",Country_6!F14)</f>
        <v/>
      </c>
      <c r="G513" s="17" t="str">
        <f>IF(Country_6!$C14="","",Country_6!G14)</f>
        <v/>
      </c>
      <c r="H513" s="17" t="str">
        <f>IF(Country_6!$C14="","",Country_6!H14)</f>
        <v/>
      </c>
      <c r="I513" s="16" t="str">
        <f>IF(Country_6!$C14="","",Country_6!I14)</f>
        <v/>
      </c>
      <c r="J513" s="16" t="str">
        <f>IF(Country_6!$C14="","",Country_6!J14)</f>
        <v/>
      </c>
      <c r="K513" s="18" t="str">
        <f>IF(Country_6!$C14="","",Country_6!K14)</f>
        <v/>
      </c>
      <c r="L513" s="18" t="str">
        <f>IF(Country_6!$C14="","",Country_6!L14)</f>
        <v/>
      </c>
      <c r="M513" s="19" t="str">
        <f>IF(Country_6!$C14="","",Country_6!M14)</f>
        <v/>
      </c>
      <c r="N513" s="16" t="str">
        <f>IF(Country_6!$C14="","",Country_6!N14)</f>
        <v/>
      </c>
      <c r="O513" s="16" t="str">
        <f>IF(Country_6!$C14="","",Country_6!O14)</f>
        <v/>
      </c>
      <c r="P513" s="16" t="str">
        <f>IF(Country_6!$C14="","",Country_6!P14)</f>
        <v/>
      </c>
      <c r="Q513" s="16" t="str">
        <f>IF(Country_6!$C14="","",Country_6!Q14)</f>
        <v/>
      </c>
    </row>
    <row r="514" spans="1:17" x14ac:dyDescent="0.25">
      <c r="A514" s="16" t="str">
        <f>IF(Country_6!$C15="","",Country_6!A15)</f>
        <v/>
      </c>
      <c r="B514" s="16" t="str">
        <f>IF(Country_6!$C15="","",Country_6!B15)</f>
        <v/>
      </c>
      <c r="C514" s="16" t="str">
        <f>IF(Country_6!$C15="","",Country_6!C15)</f>
        <v/>
      </c>
      <c r="D514" s="16" t="str">
        <f>IF(Country_6!$C15="","",Country_6!D15)</f>
        <v/>
      </c>
      <c r="E514" s="16" t="str">
        <f>IF(Country_6!$C15="","",Country_6!E15)</f>
        <v/>
      </c>
      <c r="F514" s="16" t="str">
        <f>IF(Country_6!$C15="","",Country_6!F15)</f>
        <v/>
      </c>
      <c r="G514" s="17" t="str">
        <f>IF(Country_6!$C15="","",Country_6!G15)</f>
        <v/>
      </c>
      <c r="H514" s="17" t="str">
        <f>IF(Country_6!$C15="","",Country_6!H15)</f>
        <v/>
      </c>
      <c r="I514" s="16" t="str">
        <f>IF(Country_6!$C15="","",Country_6!I15)</f>
        <v/>
      </c>
      <c r="J514" s="16" t="str">
        <f>IF(Country_6!$C15="","",Country_6!J15)</f>
        <v/>
      </c>
      <c r="K514" s="18" t="str">
        <f>IF(Country_6!$C15="","",Country_6!K15)</f>
        <v/>
      </c>
      <c r="L514" s="18" t="str">
        <f>IF(Country_6!$C15="","",Country_6!L15)</f>
        <v/>
      </c>
      <c r="M514" s="19" t="str">
        <f>IF(Country_6!$C15="","",Country_6!M15)</f>
        <v/>
      </c>
      <c r="N514" s="16" t="str">
        <f>IF(Country_6!$C15="","",Country_6!N15)</f>
        <v/>
      </c>
      <c r="O514" s="16" t="str">
        <f>IF(Country_6!$C15="","",Country_6!O15)</f>
        <v/>
      </c>
      <c r="P514" s="16" t="str">
        <f>IF(Country_6!$C15="","",Country_6!P15)</f>
        <v/>
      </c>
      <c r="Q514" s="16" t="str">
        <f>IF(Country_6!$C15="","",Country_6!Q15)</f>
        <v/>
      </c>
    </row>
    <row r="515" spans="1:17" x14ac:dyDescent="0.25">
      <c r="A515" s="16" t="str">
        <f>IF(Country_6!$C16="","",Country_6!A16)</f>
        <v/>
      </c>
      <c r="B515" s="16" t="str">
        <f>IF(Country_6!$C16="","",Country_6!B16)</f>
        <v/>
      </c>
      <c r="C515" s="16" t="str">
        <f>IF(Country_6!$C16="","",Country_6!C16)</f>
        <v/>
      </c>
      <c r="D515" s="16" t="str">
        <f>IF(Country_6!$C16="","",Country_6!D16)</f>
        <v/>
      </c>
      <c r="E515" s="16" t="str">
        <f>IF(Country_6!$C16="","",Country_6!E16)</f>
        <v/>
      </c>
      <c r="F515" s="16" t="str">
        <f>IF(Country_6!$C16="","",Country_6!F16)</f>
        <v/>
      </c>
      <c r="G515" s="17" t="str">
        <f>IF(Country_6!$C16="","",Country_6!G16)</f>
        <v/>
      </c>
      <c r="H515" s="17" t="str">
        <f>IF(Country_6!$C16="","",Country_6!H16)</f>
        <v/>
      </c>
      <c r="I515" s="16" t="str">
        <f>IF(Country_6!$C16="","",Country_6!I16)</f>
        <v/>
      </c>
      <c r="J515" s="16" t="str">
        <f>IF(Country_6!$C16="","",Country_6!J16)</f>
        <v/>
      </c>
      <c r="K515" s="18" t="str">
        <f>IF(Country_6!$C16="","",Country_6!K16)</f>
        <v/>
      </c>
      <c r="L515" s="18" t="str">
        <f>IF(Country_6!$C16="","",Country_6!L16)</f>
        <v/>
      </c>
      <c r="M515" s="19" t="str">
        <f>IF(Country_6!$C16="","",Country_6!M16)</f>
        <v/>
      </c>
      <c r="N515" s="16" t="str">
        <f>IF(Country_6!$C16="","",Country_6!N16)</f>
        <v/>
      </c>
      <c r="O515" s="16" t="str">
        <f>IF(Country_6!$C16="","",Country_6!O16)</f>
        <v/>
      </c>
      <c r="P515" s="16" t="str">
        <f>IF(Country_6!$C16="","",Country_6!P16)</f>
        <v/>
      </c>
      <c r="Q515" s="16" t="str">
        <f>IF(Country_6!$C16="","",Country_6!Q16)</f>
        <v/>
      </c>
    </row>
    <row r="516" spans="1:17" x14ac:dyDescent="0.25">
      <c r="A516" s="16" t="str">
        <f>IF(Country_6!$C17="","",Country_6!A17)</f>
        <v/>
      </c>
      <c r="B516" s="16" t="str">
        <f>IF(Country_6!$C17="","",Country_6!B17)</f>
        <v/>
      </c>
      <c r="C516" s="16" t="str">
        <f>IF(Country_6!$C17="","",Country_6!C17)</f>
        <v/>
      </c>
      <c r="D516" s="16" t="str">
        <f>IF(Country_6!$C17="","",Country_6!D17)</f>
        <v/>
      </c>
      <c r="E516" s="16" t="str">
        <f>IF(Country_6!$C17="","",Country_6!E17)</f>
        <v/>
      </c>
      <c r="F516" s="16" t="str">
        <f>IF(Country_6!$C17="","",Country_6!F17)</f>
        <v/>
      </c>
      <c r="G516" s="17" t="str">
        <f>IF(Country_6!$C17="","",Country_6!G17)</f>
        <v/>
      </c>
      <c r="H516" s="17" t="str">
        <f>IF(Country_6!$C17="","",Country_6!H17)</f>
        <v/>
      </c>
      <c r="I516" s="16" t="str">
        <f>IF(Country_6!$C17="","",Country_6!I17)</f>
        <v/>
      </c>
      <c r="J516" s="16" t="str">
        <f>IF(Country_6!$C17="","",Country_6!J17)</f>
        <v/>
      </c>
      <c r="K516" s="18" t="str">
        <f>IF(Country_6!$C17="","",Country_6!K17)</f>
        <v/>
      </c>
      <c r="L516" s="18" t="str">
        <f>IF(Country_6!$C17="","",Country_6!L17)</f>
        <v/>
      </c>
      <c r="M516" s="19" t="str">
        <f>IF(Country_6!$C17="","",Country_6!M17)</f>
        <v/>
      </c>
      <c r="N516" s="16" t="str">
        <f>IF(Country_6!$C17="","",Country_6!N17)</f>
        <v/>
      </c>
      <c r="O516" s="16" t="str">
        <f>IF(Country_6!$C17="","",Country_6!O17)</f>
        <v/>
      </c>
      <c r="P516" s="16" t="str">
        <f>IF(Country_6!$C17="","",Country_6!P17)</f>
        <v/>
      </c>
      <c r="Q516" s="16" t="str">
        <f>IF(Country_6!$C17="","",Country_6!Q17)</f>
        <v/>
      </c>
    </row>
    <row r="517" spans="1:17" x14ac:dyDescent="0.25">
      <c r="A517" s="16" t="str">
        <f>IF(Country_6!$C18="","",Country_6!A18)</f>
        <v/>
      </c>
      <c r="B517" s="16" t="str">
        <f>IF(Country_6!$C18="","",Country_6!B18)</f>
        <v/>
      </c>
      <c r="C517" s="16" t="str">
        <f>IF(Country_6!$C18="","",Country_6!C18)</f>
        <v/>
      </c>
      <c r="D517" s="16" t="str">
        <f>IF(Country_6!$C18="","",Country_6!D18)</f>
        <v/>
      </c>
      <c r="E517" s="16" t="str">
        <f>IF(Country_6!$C18="","",Country_6!E18)</f>
        <v/>
      </c>
      <c r="F517" s="16" t="str">
        <f>IF(Country_6!$C18="","",Country_6!F18)</f>
        <v/>
      </c>
      <c r="G517" s="17" t="str">
        <f>IF(Country_6!$C18="","",Country_6!G18)</f>
        <v/>
      </c>
      <c r="H517" s="17" t="str">
        <f>IF(Country_6!$C18="","",Country_6!H18)</f>
        <v/>
      </c>
      <c r="I517" s="16" t="str">
        <f>IF(Country_6!$C18="","",Country_6!I18)</f>
        <v/>
      </c>
      <c r="J517" s="16" t="str">
        <f>IF(Country_6!$C18="","",Country_6!J18)</f>
        <v/>
      </c>
      <c r="K517" s="18" t="str">
        <f>IF(Country_6!$C18="","",Country_6!K18)</f>
        <v/>
      </c>
      <c r="L517" s="18" t="str">
        <f>IF(Country_6!$C18="","",Country_6!L18)</f>
        <v/>
      </c>
      <c r="M517" s="19" t="str">
        <f>IF(Country_6!$C18="","",Country_6!M18)</f>
        <v/>
      </c>
      <c r="N517" s="16" t="str">
        <f>IF(Country_6!$C18="","",Country_6!N18)</f>
        <v/>
      </c>
      <c r="O517" s="16" t="str">
        <f>IF(Country_6!$C18="","",Country_6!O18)</f>
        <v/>
      </c>
      <c r="P517" s="16" t="str">
        <f>IF(Country_6!$C18="","",Country_6!P18)</f>
        <v/>
      </c>
      <c r="Q517" s="16" t="str">
        <f>IF(Country_6!$C18="","",Country_6!Q18)</f>
        <v/>
      </c>
    </row>
    <row r="518" spans="1:17" x14ac:dyDescent="0.25">
      <c r="A518" s="16" t="str">
        <f>IF(Country_6!$C19="","",Country_6!A19)</f>
        <v/>
      </c>
      <c r="B518" s="16" t="str">
        <f>IF(Country_6!$C19="","",Country_6!B19)</f>
        <v/>
      </c>
      <c r="C518" s="16" t="str">
        <f>IF(Country_6!$C19="","",Country_6!C19)</f>
        <v/>
      </c>
      <c r="D518" s="16" t="str">
        <f>IF(Country_6!$C19="","",Country_6!D19)</f>
        <v/>
      </c>
      <c r="E518" s="16" t="str">
        <f>IF(Country_6!$C19="","",Country_6!E19)</f>
        <v/>
      </c>
      <c r="F518" s="16" t="str">
        <f>IF(Country_6!$C19="","",Country_6!F19)</f>
        <v/>
      </c>
      <c r="G518" s="17" t="str">
        <f>IF(Country_6!$C19="","",Country_6!G19)</f>
        <v/>
      </c>
      <c r="H518" s="17" t="str">
        <f>IF(Country_6!$C19="","",Country_6!H19)</f>
        <v/>
      </c>
      <c r="I518" s="16" t="str">
        <f>IF(Country_6!$C19="","",Country_6!I19)</f>
        <v/>
      </c>
      <c r="J518" s="16" t="str">
        <f>IF(Country_6!$C19="","",Country_6!J19)</f>
        <v/>
      </c>
      <c r="K518" s="18" t="str">
        <f>IF(Country_6!$C19="","",Country_6!K19)</f>
        <v/>
      </c>
      <c r="L518" s="18" t="str">
        <f>IF(Country_6!$C19="","",Country_6!L19)</f>
        <v/>
      </c>
      <c r="M518" s="19" t="str">
        <f>IF(Country_6!$C19="","",Country_6!M19)</f>
        <v/>
      </c>
      <c r="N518" s="16" t="str">
        <f>IF(Country_6!$C19="","",Country_6!N19)</f>
        <v/>
      </c>
      <c r="O518" s="16" t="str">
        <f>IF(Country_6!$C19="","",Country_6!O19)</f>
        <v/>
      </c>
      <c r="P518" s="16" t="str">
        <f>IF(Country_6!$C19="","",Country_6!P19)</f>
        <v/>
      </c>
      <c r="Q518" s="16" t="str">
        <f>IF(Country_6!$C19="","",Country_6!Q19)</f>
        <v/>
      </c>
    </row>
    <row r="519" spans="1:17" x14ac:dyDescent="0.25">
      <c r="A519" s="16" t="str">
        <f>IF(Country_6!$C20="","",Country_6!A20)</f>
        <v/>
      </c>
      <c r="B519" s="16" t="str">
        <f>IF(Country_6!$C20="","",Country_6!B20)</f>
        <v/>
      </c>
      <c r="C519" s="16" t="str">
        <f>IF(Country_6!$C20="","",Country_6!C20)</f>
        <v/>
      </c>
      <c r="D519" s="16" t="str">
        <f>IF(Country_6!$C20="","",Country_6!D20)</f>
        <v/>
      </c>
      <c r="E519" s="16" t="str">
        <f>IF(Country_6!$C20="","",Country_6!E20)</f>
        <v/>
      </c>
      <c r="F519" s="16" t="str">
        <f>IF(Country_6!$C20="","",Country_6!F20)</f>
        <v/>
      </c>
      <c r="G519" s="17" t="str">
        <f>IF(Country_6!$C20="","",Country_6!G20)</f>
        <v/>
      </c>
      <c r="H519" s="17" t="str">
        <f>IF(Country_6!$C20="","",Country_6!H20)</f>
        <v/>
      </c>
      <c r="I519" s="16" t="str">
        <f>IF(Country_6!$C20="","",Country_6!I20)</f>
        <v/>
      </c>
      <c r="J519" s="16" t="str">
        <f>IF(Country_6!$C20="","",Country_6!J20)</f>
        <v/>
      </c>
      <c r="K519" s="18" t="str">
        <f>IF(Country_6!$C20="","",Country_6!K20)</f>
        <v/>
      </c>
      <c r="L519" s="18" t="str">
        <f>IF(Country_6!$C20="","",Country_6!L20)</f>
        <v/>
      </c>
      <c r="M519" s="19" t="str">
        <f>IF(Country_6!$C20="","",Country_6!M20)</f>
        <v/>
      </c>
      <c r="N519" s="16" t="str">
        <f>IF(Country_6!$C20="","",Country_6!N20)</f>
        <v/>
      </c>
      <c r="O519" s="16" t="str">
        <f>IF(Country_6!$C20="","",Country_6!O20)</f>
        <v/>
      </c>
      <c r="P519" s="16" t="str">
        <f>IF(Country_6!$C20="","",Country_6!P20)</f>
        <v/>
      </c>
      <c r="Q519" s="16" t="str">
        <f>IF(Country_6!$C20="","",Country_6!Q20)</f>
        <v/>
      </c>
    </row>
    <row r="520" spans="1:17" x14ac:dyDescent="0.25">
      <c r="A520" s="16" t="str">
        <f>IF(Country_6!$C21="","",Country_6!A21)</f>
        <v/>
      </c>
      <c r="B520" s="16" t="str">
        <f>IF(Country_6!$C21="","",Country_6!B21)</f>
        <v/>
      </c>
      <c r="C520" s="16" t="str">
        <f>IF(Country_6!$C21="","",Country_6!C21)</f>
        <v/>
      </c>
      <c r="D520" s="16" t="str">
        <f>IF(Country_6!$C21="","",Country_6!D21)</f>
        <v/>
      </c>
      <c r="E520" s="16" t="str">
        <f>IF(Country_6!$C21="","",Country_6!E21)</f>
        <v/>
      </c>
      <c r="F520" s="16" t="str">
        <f>IF(Country_6!$C21="","",Country_6!F21)</f>
        <v/>
      </c>
      <c r="G520" s="17" t="str">
        <f>IF(Country_6!$C21="","",Country_6!G21)</f>
        <v/>
      </c>
      <c r="H520" s="17" t="str">
        <f>IF(Country_6!$C21="","",Country_6!H21)</f>
        <v/>
      </c>
      <c r="I520" s="16" t="str">
        <f>IF(Country_6!$C21="","",Country_6!I21)</f>
        <v/>
      </c>
      <c r="J520" s="16" t="str">
        <f>IF(Country_6!$C21="","",Country_6!J21)</f>
        <v/>
      </c>
      <c r="K520" s="18" t="str">
        <f>IF(Country_6!$C21="","",Country_6!K21)</f>
        <v/>
      </c>
      <c r="L520" s="18" t="str">
        <f>IF(Country_6!$C21="","",Country_6!L21)</f>
        <v/>
      </c>
      <c r="M520" s="19" t="str">
        <f>IF(Country_6!$C21="","",Country_6!M21)</f>
        <v/>
      </c>
      <c r="N520" s="16" t="str">
        <f>IF(Country_6!$C21="","",Country_6!N21)</f>
        <v/>
      </c>
      <c r="O520" s="16" t="str">
        <f>IF(Country_6!$C21="","",Country_6!O21)</f>
        <v/>
      </c>
      <c r="P520" s="16" t="str">
        <f>IF(Country_6!$C21="","",Country_6!P21)</f>
        <v/>
      </c>
      <c r="Q520" s="16" t="str">
        <f>IF(Country_6!$C21="","",Country_6!Q21)</f>
        <v/>
      </c>
    </row>
    <row r="521" spans="1:17" x14ac:dyDescent="0.25">
      <c r="A521" s="16" t="str">
        <f>IF(Country_6!$C22="","",Country_6!A22)</f>
        <v/>
      </c>
      <c r="B521" s="16" t="str">
        <f>IF(Country_6!$C22="","",Country_6!B22)</f>
        <v/>
      </c>
      <c r="C521" s="16" t="str">
        <f>IF(Country_6!$C22="","",Country_6!C22)</f>
        <v/>
      </c>
      <c r="D521" s="16" t="str">
        <f>IF(Country_6!$C22="","",Country_6!D22)</f>
        <v/>
      </c>
      <c r="E521" s="16" t="str">
        <f>IF(Country_6!$C22="","",Country_6!E22)</f>
        <v/>
      </c>
      <c r="F521" s="16" t="str">
        <f>IF(Country_6!$C22="","",Country_6!F22)</f>
        <v/>
      </c>
      <c r="G521" s="17" t="str">
        <f>IF(Country_6!$C22="","",Country_6!G22)</f>
        <v/>
      </c>
      <c r="H521" s="17" t="str">
        <f>IF(Country_6!$C22="","",Country_6!H22)</f>
        <v/>
      </c>
      <c r="I521" s="16" t="str">
        <f>IF(Country_6!$C22="","",Country_6!I22)</f>
        <v/>
      </c>
      <c r="J521" s="16" t="str">
        <f>IF(Country_6!$C22="","",Country_6!J22)</f>
        <v/>
      </c>
      <c r="K521" s="18" t="str">
        <f>IF(Country_6!$C22="","",Country_6!K22)</f>
        <v/>
      </c>
      <c r="L521" s="18" t="str">
        <f>IF(Country_6!$C22="","",Country_6!L22)</f>
        <v/>
      </c>
      <c r="M521" s="19" t="str">
        <f>IF(Country_6!$C22="","",Country_6!M22)</f>
        <v/>
      </c>
      <c r="N521" s="16" t="str">
        <f>IF(Country_6!$C22="","",Country_6!N22)</f>
        <v/>
      </c>
      <c r="O521" s="16" t="str">
        <f>IF(Country_6!$C22="","",Country_6!O22)</f>
        <v/>
      </c>
      <c r="P521" s="16" t="str">
        <f>IF(Country_6!$C22="","",Country_6!P22)</f>
        <v/>
      </c>
      <c r="Q521" s="16" t="str">
        <f>IF(Country_6!$C22="","",Country_6!Q22)</f>
        <v/>
      </c>
    </row>
    <row r="522" spans="1:17" x14ac:dyDescent="0.25">
      <c r="A522" s="16" t="str">
        <f>IF(Country_6!$C23="","",Country_6!A23)</f>
        <v/>
      </c>
      <c r="B522" s="16" t="str">
        <f>IF(Country_6!$C23="","",Country_6!B23)</f>
        <v/>
      </c>
      <c r="C522" s="16" t="str">
        <f>IF(Country_6!$C23="","",Country_6!C23)</f>
        <v/>
      </c>
      <c r="D522" s="16" t="str">
        <f>IF(Country_6!$C23="","",Country_6!D23)</f>
        <v/>
      </c>
      <c r="E522" s="16" t="str">
        <f>IF(Country_6!$C23="","",Country_6!E23)</f>
        <v/>
      </c>
      <c r="F522" s="16" t="str">
        <f>IF(Country_6!$C23="","",Country_6!F23)</f>
        <v/>
      </c>
      <c r="G522" s="17" t="str">
        <f>IF(Country_6!$C23="","",Country_6!G23)</f>
        <v/>
      </c>
      <c r="H522" s="17" t="str">
        <f>IF(Country_6!$C23="","",Country_6!H23)</f>
        <v/>
      </c>
      <c r="I522" s="16" t="str">
        <f>IF(Country_6!$C23="","",Country_6!I23)</f>
        <v/>
      </c>
      <c r="J522" s="16" t="str">
        <f>IF(Country_6!$C23="","",Country_6!J23)</f>
        <v/>
      </c>
      <c r="K522" s="18" t="str">
        <f>IF(Country_6!$C23="","",Country_6!K23)</f>
        <v/>
      </c>
      <c r="L522" s="18" t="str">
        <f>IF(Country_6!$C23="","",Country_6!L23)</f>
        <v/>
      </c>
      <c r="M522" s="19" t="str">
        <f>IF(Country_6!$C23="","",Country_6!M23)</f>
        <v/>
      </c>
      <c r="N522" s="16" t="str">
        <f>IF(Country_6!$C23="","",Country_6!N23)</f>
        <v/>
      </c>
      <c r="O522" s="16" t="str">
        <f>IF(Country_6!$C23="","",Country_6!O23)</f>
        <v/>
      </c>
      <c r="P522" s="16" t="str">
        <f>IF(Country_6!$C23="","",Country_6!P23)</f>
        <v/>
      </c>
      <c r="Q522" s="16" t="str">
        <f>IF(Country_6!$C23="","",Country_6!Q23)</f>
        <v/>
      </c>
    </row>
    <row r="523" spans="1:17" x14ac:dyDescent="0.25">
      <c r="A523" s="16" t="str">
        <f>IF(Country_6!$C24="","",Country_6!A24)</f>
        <v/>
      </c>
      <c r="B523" s="16" t="str">
        <f>IF(Country_6!$C24="","",Country_6!B24)</f>
        <v/>
      </c>
      <c r="C523" s="16" t="str">
        <f>IF(Country_6!$C24="","",Country_6!C24)</f>
        <v/>
      </c>
      <c r="D523" s="16" t="str">
        <f>IF(Country_6!$C24="","",Country_6!D24)</f>
        <v/>
      </c>
      <c r="E523" s="16" t="str">
        <f>IF(Country_6!$C24="","",Country_6!E24)</f>
        <v/>
      </c>
      <c r="F523" s="16" t="str">
        <f>IF(Country_6!$C24="","",Country_6!F24)</f>
        <v/>
      </c>
      <c r="G523" s="17" t="str">
        <f>IF(Country_6!$C24="","",Country_6!G24)</f>
        <v/>
      </c>
      <c r="H523" s="17" t="str">
        <f>IF(Country_6!$C24="","",Country_6!H24)</f>
        <v/>
      </c>
      <c r="I523" s="16" t="str">
        <f>IF(Country_6!$C24="","",Country_6!I24)</f>
        <v/>
      </c>
      <c r="J523" s="16" t="str">
        <f>IF(Country_6!$C24="","",Country_6!J24)</f>
        <v/>
      </c>
      <c r="K523" s="18" t="str">
        <f>IF(Country_6!$C24="","",Country_6!K24)</f>
        <v/>
      </c>
      <c r="L523" s="18" t="str">
        <f>IF(Country_6!$C24="","",Country_6!L24)</f>
        <v/>
      </c>
      <c r="M523" s="19" t="str">
        <f>IF(Country_6!$C24="","",Country_6!M24)</f>
        <v/>
      </c>
      <c r="N523" s="16" t="str">
        <f>IF(Country_6!$C24="","",Country_6!N24)</f>
        <v/>
      </c>
      <c r="O523" s="16" t="str">
        <f>IF(Country_6!$C24="","",Country_6!O24)</f>
        <v/>
      </c>
      <c r="P523" s="16" t="str">
        <f>IF(Country_6!$C24="","",Country_6!P24)</f>
        <v/>
      </c>
      <c r="Q523" s="16" t="str">
        <f>IF(Country_6!$C24="","",Country_6!Q24)</f>
        <v/>
      </c>
    </row>
    <row r="524" spans="1:17" x14ac:dyDescent="0.25">
      <c r="A524" s="16" t="str">
        <f>IF(Country_6!$C25="","",Country_6!A25)</f>
        <v/>
      </c>
      <c r="B524" s="16" t="str">
        <f>IF(Country_6!$C25="","",Country_6!B25)</f>
        <v/>
      </c>
      <c r="C524" s="16" t="str">
        <f>IF(Country_6!$C25="","",Country_6!C25)</f>
        <v/>
      </c>
      <c r="D524" s="16" t="str">
        <f>IF(Country_6!$C25="","",Country_6!D25)</f>
        <v/>
      </c>
      <c r="E524" s="16" t="str">
        <f>IF(Country_6!$C25="","",Country_6!E25)</f>
        <v/>
      </c>
      <c r="F524" s="16" t="str">
        <f>IF(Country_6!$C25="","",Country_6!F25)</f>
        <v/>
      </c>
      <c r="G524" s="17" t="str">
        <f>IF(Country_6!$C25="","",Country_6!G25)</f>
        <v/>
      </c>
      <c r="H524" s="17" t="str">
        <f>IF(Country_6!$C25="","",Country_6!H25)</f>
        <v/>
      </c>
      <c r="I524" s="16" t="str">
        <f>IF(Country_6!$C25="","",Country_6!I25)</f>
        <v/>
      </c>
      <c r="J524" s="16" t="str">
        <f>IF(Country_6!$C25="","",Country_6!J25)</f>
        <v/>
      </c>
      <c r="K524" s="18" t="str">
        <f>IF(Country_6!$C25="","",Country_6!K25)</f>
        <v/>
      </c>
      <c r="L524" s="18" t="str">
        <f>IF(Country_6!$C25="","",Country_6!L25)</f>
        <v/>
      </c>
      <c r="M524" s="19" t="str">
        <f>IF(Country_6!$C25="","",Country_6!M25)</f>
        <v/>
      </c>
      <c r="N524" s="16" t="str">
        <f>IF(Country_6!$C25="","",Country_6!N25)</f>
        <v/>
      </c>
      <c r="O524" s="16" t="str">
        <f>IF(Country_6!$C25="","",Country_6!O25)</f>
        <v/>
      </c>
      <c r="P524" s="16" t="str">
        <f>IF(Country_6!$C25="","",Country_6!P25)</f>
        <v/>
      </c>
      <c r="Q524" s="16" t="str">
        <f>IF(Country_6!$C25="","",Country_6!Q25)</f>
        <v/>
      </c>
    </row>
    <row r="525" spans="1:17" x14ac:dyDescent="0.25">
      <c r="A525" s="16" t="str">
        <f>IF(Country_6!$C26="","",Country_6!A26)</f>
        <v/>
      </c>
      <c r="B525" s="16" t="str">
        <f>IF(Country_6!$C26="","",Country_6!B26)</f>
        <v/>
      </c>
      <c r="C525" s="16" t="str">
        <f>IF(Country_6!$C26="","",Country_6!C26)</f>
        <v/>
      </c>
      <c r="D525" s="16" t="str">
        <f>IF(Country_6!$C26="","",Country_6!D26)</f>
        <v/>
      </c>
      <c r="E525" s="16" t="str">
        <f>IF(Country_6!$C26="","",Country_6!E26)</f>
        <v/>
      </c>
      <c r="F525" s="16" t="str">
        <f>IF(Country_6!$C26="","",Country_6!F26)</f>
        <v/>
      </c>
      <c r="G525" s="17" t="str">
        <f>IF(Country_6!$C26="","",Country_6!G26)</f>
        <v/>
      </c>
      <c r="H525" s="17" t="str">
        <f>IF(Country_6!$C26="","",Country_6!H26)</f>
        <v/>
      </c>
      <c r="I525" s="16" t="str">
        <f>IF(Country_6!$C26="","",Country_6!I26)</f>
        <v/>
      </c>
      <c r="J525" s="16" t="str">
        <f>IF(Country_6!$C26="","",Country_6!J26)</f>
        <v/>
      </c>
      <c r="K525" s="18" t="str">
        <f>IF(Country_6!$C26="","",Country_6!K26)</f>
        <v/>
      </c>
      <c r="L525" s="18" t="str">
        <f>IF(Country_6!$C26="","",Country_6!L26)</f>
        <v/>
      </c>
      <c r="M525" s="19" t="str">
        <f>IF(Country_6!$C26="","",Country_6!M26)</f>
        <v/>
      </c>
      <c r="N525" s="16" t="str">
        <f>IF(Country_6!$C26="","",Country_6!N26)</f>
        <v/>
      </c>
      <c r="O525" s="16" t="str">
        <f>IF(Country_6!$C26="","",Country_6!O26)</f>
        <v/>
      </c>
      <c r="P525" s="16" t="str">
        <f>IF(Country_6!$C26="","",Country_6!P26)</f>
        <v/>
      </c>
      <c r="Q525" s="16" t="str">
        <f>IF(Country_6!$C26="","",Country_6!Q26)</f>
        <v/>
      </c>
    </row>
    <row r="526" spans="1:17" x14ac:dyDescent="0.25">
      <c r="A526" s="16" t="str">
        <f>IF(Country_6!$C27="","",Country_6!A27)</f>
        <v/>
      </c>
      <c r="B526" s="16" t="str">
        <f>IF(Country_6!$C27="","",Country_6!B27)</f>
        <v/>
      </c>
      <c r="C526" s="16" t="str">
        <f>IF(Country_6!$C27="","",Country_6!C27)</f>
        <v/>
      </c>
      <c r="D526" s="16" t="str">
        <f>IF(Country_6!$C27="","",Country_6!D27)</f>
        <v/>
      </c>
      <c r="E526" s="16" t="str">
        <f>IF(Country_6!$C27="","",Country_6!E27)</f>
        <v/>
      </c>
      <c r="F526" s="16" t="str">
        <f>IF(Country_6!$C27="","",Country_6!F27)</f>
        <v/>
      </c>
      <c r="G526" s="17" t="str">
        <f>IF(Country_6!$C27="","",Country_6!G27)</f>
        <v/>
      </c>
      <c r="H526" s="17" t="str">
        <f>IF(Country_6!$C27="","",Country_6!H27)</f>
        <v/>
      </c>
      <c r="I526" s="16" t="str">
        <f>IF(Country_6!$C27="","",Country_6!I27)</f>
        <v/>
      </c>
      <c r="J526" s="16" t="str">
        <f>IF(Country_6!$C27="","",Country_6!J27)</f>
        <v/>
      </c>
      <c r="K526" s="18" t="str">
        <f>IF(Country_6!$C27="","",Country_6!K27)</f>
        <v/>
      </c>
      <c r="L526" s="18" t="str">
        <f>IF(Country_6!$C27="","",Country_6!L27)</f>
        <v/>
      </c>
      <c r="M526" s="19" t="str">
        <f>IF(Country_6!$C27="","",Country_6!M27)</f>
        <v/>
      </c>
      <c r="N526" s="16" t="str">
        <f>IF(Country_6!$C27="","",Country_6!N27)</f>
        <v/>
      </c>
      <c r="O526" s="16" t="str">
        <f>IF(Country_6!$C27="","",Country_6!O27)</f>
        <v/>
      </c>
      <c r="P526" s="16" t="str">
        <f>IF(Country_6!$C27="","",Country_6!P27)</f>
        <v/>
      </c>
      <c r="Q526" s="16" t="str">
        <f>IF(Country_6!$C27="","",Country_6!Q27)</f>
        <v/>
      </c>
    </row>
    <row r="527" spans="1:17" x14ac:dyDescent="0.25">
      <c r="A527" s="16" t="str">
        <f>IF(Country_6!$C28="","",Country_6!A28)</f>
        <v/>
      </c>
      <c r="B527" s="16" t="str">
        <f>IF(Country_6!$C28="","",Country_6!B28)</f>
        <v/>
      </c>
      <c r="C527" s="16" t="str">
        <f>IF(Country_6!$C28="","",Country_6!C28)</f>
        <v/>
      </c>
      <c r="D527" s="16" t="str">
        <f>IF(Country_6!$C28="","",Country_6!D28)</f>
        <v/>
      </c>
      <c r="E527" s="16" t="str">
        <f>IF(Country_6!$C28="","",Country_6!E28)</f>
        <v/>
      </c>
      <c r="F527" s="16" t="str">
        <f>IF(Country_6!$C28="","",Country_6!F28)</f>
        <v/>
      </c>
      <c r="G527" s="17" t="str">
        <f>IF(Country_6!$C28="","",Country_6!G28)</f>
        <v/>
      </c>
      <c r="H527" s="17" t="str">
        <f>IF(Country_6!$C28="","",Country_6!H28)</f>
        <v/>
      </c>
      <c r="I527" s="16" t="str">
        <f>IF(Country_6!$C28="","",Country_6!I28)</f>
        <v/>
      </c>
      <c r="J527" s="16" t="str">
        <f>IF(Country_6!$C28="","",Country_6!J28)</f>
        <v/>
      </c>
      <c r="K527" s="18" t="str">
        <f>IF(Country_6!$C28="","",Country_6!K28)</f>
        <v/>
      </c>
      <c r="L527" s="18" t="str">
        <f>IF(Country_6!$C28="","",Country_6!L28)</f>
        <v/>
      </c>
      <c r="M527" s="19" t="str">
        <f>IF(Country_6!$C28="","",Country_6!M28)</f>
        <v/>
      </c>
      <c r="N527" s="16" t="str">
        <f>IF(Country_6!$C28="","",Country_6!N28)</f>
        <v/>
      </c>
      <c r="O527" s="16" t="str">
        <f>IF(Country_6!$C28="","",Country_6!O28)</f>
        <v/>
      </c>
      <c r="P527" s="16" t="str">
        <f>IF(Country_6!$C28="","",Country_6!P28)</f>
        <v/>
      </c>
      <c r="Q527" s="16" t="str">
        <f>IF(Country_6!$C28="","",Country_6!Q28)</f>
        <v/>
      </c>
    </row>
    <row r="528" spans="1:17" x14ac:dyDescent="0.25">
      <c r="A528" s="16" t="str">
        <f>IF(Country_6!$C29="","",Country_6!A29)</f>
        <v/>
      </c>
      <c r="B528" s="16" t="str">
        <f>IF(Country_6!$C29="","",Country_6!B29)</f>
        <v/>
      </c>
      <c r="C528" s="16" t="str">
        <f>IF(Country_6!$C29="","",Country_6!C29)</f>
        <v/>
      </c>
      <c r="D528" s="16" t="str">
        <f>IF(Country_6!$C29="","",Country_6!D29)</f>
        <v/>
      </c>
      <c r="E528" s="16" t="str">
        <f>IF(Country_6!$C29="","",Country_6!E29)</f>
        <v/>
      </c>
      <c r="F528" s="16" t="str">
        <f>IF(Country_6!$C29="","",Country_6!F29)</f>
        <v/>
      </c>
      <c r="G528" s="17" t="str">
        <f>IF(Country_6!$C29="","",Country_6!G29)</f>
        <v/>
      </c>
      <c r="H528" s="17" t="str">
        <f>IF(Country_6!$C29="","",Country_6!H29)</f>
        <v/>
      </c>
      <c r="I528" s="16" t="str">
        <f>IF(Country_6!$C29="","",Country_6!I29)</f>
        <v/>
      </c>
      <c r="J528" s="16" t="str">
        <f>IF(Country_6!$C29="","",Country_6!J29)</f>
        <v/>
      </c>
      <c r="K528" s="18" t="str">
        <f>IF(Country_6!$C29="","",Country_6!K29)</f>
        <v/>
      </c>
      <c r="L528" s="18" t="str">
        <f>IF(Country_6!$C29="","",Country_6!L29)</f>
        <v/>
      </c>
      <c r="M528" s="19" t="str">
        <f>IF(Country_6!$C29="","",Country_6!M29)</f>
        <v/>
      </c>
      <c r="N528" s="16" t="str">
        <f>IF(Country_6!$C29="","",Country_6!N29)</f>
        <v/>
      </c>
      <c r="O528" s="16" t="str">
        <f>IF(Country_6!$C29="","",Country_6!O29)</f>
        <v/>
      </c>
      <c r="P528" s="16" t="str">
        <f>IF(Country_6!$C29="","",Country_6!P29)</f>
        <v/>
      </c>
      <c r="Q528" s="16" t="str">
        <f>IF(Country_6!$C29="","",Country_6!Q29)</f>
        <v/>
      </c>
    </row>
    <row r="529" spans="1:17" x14ac:dyDescent="0.25">
      <c r="A529" s="16" t="str">
        <f>IF(Country_6!$C30="","",Country_6!A30)</f>
        <v/>
      </c>
      <c r="B529" s="16" t="str">
        <f>IF(Country_6!$C30="","",Country_6!B30)</f>
        <v/>
      </c>
      <c r="C529" s="16" t="str">
        <f>IF(Country_6!$C30="","",Country_6!C30)</f>
        <v/>
      </c>
      <c r="D529" s="16" t="str">
        <f>IF(Country_6!$C30="","",Country_6!D30)</f>
        <v/>
      </c>
      <c r="E529" s="16" t="str">
        <f>IF(Country_6!$C30="","",Country_6!E30)</f>
        <v/>
      </c>
      <c r="F529" s="16" t="str">
        <f>IF(Country_6!$C30="","",Country_6!F30)</f>
        <v/>
      </c>
      <c r="G529" s="17" t="str">
        <f>IF(Country_6!$C30="","",Country_6!G30)</f>
        <v/>
      </c>
      <c r="H529" s="17" t="str">
        <f>IF(Country_6!$C30="","",Country_6!H30)</f>
        <v/>
      </c>
      <c r="I529" s="16" t="str">
        <f>IF(Country_6!$C30="","",Country_6!I30)</f>
        <v/>
      </c>
      <c r="J529" s="16" t="str">
        <f>IF(Country_6!$C30="","",Country_6!J30)</f>
        <v/>
      </c>
      <c r="K529" s="18" t="str">
        <f>IF(Country_6!$C30="","",Country_6!K30)</f>
        <v/>
      </c>
      <c r="L529" s="18" t="str">
        <f>IF(Country_6!$C30="","",Country_6!L30)</f>
        <v/>
      </c>
      <c r="M529" s="19" t="str">
        <f>IF(Country_6!$C30="","",Country_6!M30)</f>
        <v/>
      </c>
      <c r="N529" s="16" t="str">
        <f>IF(Country_6!$C30="","",Country_6!N30)</f>
        <v/>
      </c>
      <c r="O529" s="16" t="str">
        <f>IF(Country_6!$C30="","",Country_6!O30)</f>
        <v/>
      </c>
      <c r="P529" s="16" t="str">
        <f>IF(Country_6!$C30="","",Country_6!P30)</f>
        <v/>
      </c>
      <c r="Q529" s="16" t="str">
        <f>IF(Country_6!$C30="","",Country_6!Q30)</f>
        <v/>
      </c>
    </row>
    <row r="530" spans="1:17" x14ac:dyDescent="0.25">
      <c r="A530" s="16" t="str">
        <f>IF(Country_6!$C31="","",Country_6!A31)</f>
        <v/>
      </c>
      <c r="B530" s="16" t="str">
        <f>IF(Country_6!$C31="","",Country_6!B31)</f>
        <v/>
      </c>
      <c r="C530" s="16" t="str">
        <f>IF(Country_6!$C31="","",Country_6!C31)</f>
        <v/>
      </c>
      <c r="D530" s="16" t="str">
        <f>IF(Country_6!$C31="","",Country_6!D31)</f>
        <v/>
      </c>
      <c r="E530" s="16" t="str">
        <f>IF(Country_6!$C31="","",Country_6!E31)</f>
        <v/>
      </c>
      <c r="F530" s="16" t="str">
        <f>IF(Country_6!$C31="","",Country_6!F31)</f>
        <v/>
      </c>
      <c r="G530" s="17" t="str">
        <f>IF(Country_6!$C31="","",Country_6!G31)</f>
        <v/>
      </c>
      <c r="H530" s="17" t="str">
        <f>IF(Country_6!$C31="","",Country_6!H31)</f>
        <v/>
      </c>
      <c r="I530" s="16" t="str">
        <f>IF(Country_6!$C31="","",Country_6!I31)</f>
        <v/>
      </c>
      <c r="J530" s="16" t="str">
        <f>IF(Country_6!$C31="","",Country_6!J31)</f>
        <v/>
      </c>
      <c r="K530" s="18" t="str">
        <f>IF(Country_6!$C31="","",Country_6!K31)</f>
        <v/>
      </c>
      <c r="L530" s="18" t="str">
        <f>IF(Country_6!$C31="","",Country_6!L31)</f>
        <v/>
      </c>
      <c r="M530" s="19" t="str">
        <f>IF(Country_6!$C31="","",Country_6!M31)</f>
        <v/>
      </c>
      <c r="N530" s="16" t="str">
        <f>IF(Country_6!$C31="","",Country_6!N31)</f>
        <v/>
      </c>
      <c r="O530" s="16" t="str">
        <f>IF(Country_6!$C31="","",Country_6!O31)</f>
        <v/>
      </c>
      <c r="P530" s="16" t="str">
        <f>IF(Country_6!$C31="","",Country_6!P31)</f>
        <v/>
      </c>
      <c r="Q530" s="16" t="str">
        <f>IF(Country_6!$C31="","",Country_6!Q31)</f>
        <v/>
      </c>
    </row>
    <row r="531" spans="1:17" x14ac:dyDescent="0.25">
      <c r="A531" s="16" t="str">
        <f>IF(Country_6!$C32="","",Country_6!A32)</f>
        <v/>
      </c>
      <c r="B531" s="16" t="str">
        <f>IF(Country_6!$C32="","",Country_6!B32)</f>
        <v/>
      </c>
      <c r="C531" s="16" t="str">
        <f>IF(Country_6!$C32="","",Country_6!C32)</f>
        <v/>
      </c>
      <c r="D531" s="16" t="str">
        <f>IF(Country_6!$C32="","",Country_6!D32)</f>
        <v/>
      </c>
      <c r="E531" s="16" t="str">
        <f>IF(Country_6!$C32="","",Country_6!E32)</f>
        <v/>
      </c>
      <c r="F531" s="16" t="str">
        <f>IF(Country_6!$C32="","",Country_6!F32)</f>
        <v/>
      </c>
      <c r="G531" s="17" t="str">
        <f>IF(Country_6!$C32="","",Country_6!G32)</f>
        <v/>
      </c>
      <c r="H531" s="17" t="str">
        <f>IF(Country_6!$C32="","",Country_6!H32)</f>
        <v/>
      </c>
      <c r="I531" s="16" t="str">
        <f>IF(Country_6!$C32="","",Country_6!I32)</f>
        <v/>
      </c>
      <c r="J531" s="16" t="str">
        <f>IF(Country_6!$C32="","",Country_6!J32)</f>
        <v/>
      </c>
      <c r="K531" s="18" t="str">
        <f>IF(Country_6!$C32="","",Country_6!K32)</f>
        <v/>
      </c>
      <c r="L531" s="18" t="str">
        <f>IF(Country_6!$C32="","",Country_6!L32)</f>
        <v/>
      </c>
      <c r="M531" s="19" t="str">
        <f>IF(Country_6!$C32="","",Country_6!M32)</f>
        <v/>
      </c>
      <c r="N531" s="16" t="str">
        <f>IF(Country_6!$C32="","",Country_6!N32)</f>
        <v/>
      </c>
      <c r="O531" s="16" t="str">
        <f>IF(Country_6!$C32="","",Country_6!O32)</f>
        <v/>
      </c>
      <c r="P531" s="16" t="str">
        <f>IF(Country_6!$C32="","",Country_6!P32)</f>
        <v/>
      </c>
      <c r="Q531" s="16" t="str">
        <f>IF(Country_6!$C32="","",Country_6!Q32)</f>
        <v/>
      </c>
    </row>
    <row r="532" spans="1:17" x14ac:dyDescent="0.25">
      <c r="A532" s="16" t="str">
        <f>IF(Country_6!$C33="","",Country_6!A33)</f>
        <v/>
      </c>
      <c r="B532" s="16" t="str">
        <f>IF(Country_6!$C33="","",Country_6!B33)</f>
        <v/>
      </c>
      <c r="C532" s="16" t="str">
        <f>IF(Country_6!$C33="","",Country_6!C33)</f>
        <v/>
      </c>
      <c r="D532" s="16" t="str">
        <f>IF(Country_6!$C33="","",Country_6!D33)</f>
        <v/>
      </c>
      <c r="E532" s="16" t="str">
        <f>IF(Country_6!$C33="","",Country_6!E33)</f>
        <v/>
      </c>
      <c r="F532" s="16" t="str">
        <f>IF(Country_6!$C33="","",Country_6!F33)</f>
        <v/>
      </c>
      <c r="G532" s="17" t="str">
        <f>IF(Country_6!$C33="","",Country_6!G33)</f>
        <v/>
      </c>
      <c r="H532" s="17" t="str">
        <f>IF(Country_6!$C33="","",Country_6!H33)</f>
        <v/>
      </c>
      <c r="I532" s="16" t="str">
        <f>IF(Country_6!$C33="","",Country_6!I33)</f>
        <v/>
      </c>
      <c r="J532" s="16" t="str">
        <f>IF(Country_6!$C33="","",Country_6!J33)</f>
        <v/>
      </c>
      <c r="K532" s="18" t="str">
        <f>IF(Country_6!$C33="","",Country_6!K33)</f>
        <v/>
      </c>
      <c r="L532" s="18" t="str">
        <f>IF(Country_6!$C33="","",Country_6!L33)</f>
        <v/>
      </c>
      <c r="M532" s="19" t="str">
        <f>IF(Country_6!$C33="","",Country_6!M33)</f>
        <v/>
      </c>
      <c r="N532" s="16" t="str">
        <f>IF(Country_6!$C33="","",Country_6!N33)</f>
        <v/>
      </c>
      <c r="O532" s="16" t="str">
        <f>IF(Country_6!$C33="","",Country_6!O33)</f>
        <v/>
      </c>
      <c r="P532" s="16" t="str">
        <f>IF(Country_6!$C33="","",Country_6!P33)</f>
        <v/>
      </c>
      <c r="Q532" s="16" t="str">
        <f>IF(Country_6!$C33="","",Country_6!Q33)</f>
        <v/>
      </c>
    </row>
    <row r="533" spans="1:17" x14ac:dyDescent="0.25">
      <c r="A533" s="16" t="str">
        <f>IF(Country_6!$C34="","",Country_6!A34)</f>
        <v/>
      </c>
      <c r="B533" s="16" t="str">
        <f>IF(Country_6!$C34="","",Country_6!B34)</f>
        <v/>
      </c>
      <c r="C533" s="16" t="str">
        <f>IF(Country_6!$C34="","",Country_6!C34)</f>
        <v/>
      </c>
      <c r="D533" s="16" t="str">
        <f>IF(Country_6!$C34="","",Country_6!D34)</f>
        <v/>
      </c>
      <c r="E533" s="16" t="str">
        <f>IF(Country_6!$C34="","",Country_6!E34)</f>
        <v/>
      </c>
      <c r="F533" s="16" t="str">
        <f>IF(Country_6!$C34="","",Country_6!F34)</f>
        <v/>
      </c>
      <c r="G533" s="17" t="str">
        <f>IF(Country_6!$C34="","",Country_6!G34)</f>
        <v/>
      </c>
      <c r="H533" s="17" t="str">
        <f>IF(Country_6!$C34="","",Country_6!H34)</f>
        <v/>
      </c>
      <c r="I533" s="16" t="str">
        <f>IF(Country_6!$C34="","",Country_6!I34)</f>
        <v/>
      </c>
      <c r="J533" s="16" t="str">
        <f>IF(Country_6!$C34="","",Country_6!J34)</f>
        <v/>
      </c>
      <c r="K533" s="18" t="str">
        <f>IF(Country_6!$C34="","",Country_6!K34)</f>
        <v/>
      </c>
      <c r="L533" s="18" t="str">
        <f>IF(Country_6!$C34="","",Country_6!L34)</f>
        <v/>
      </c>
      <c r="M533" s="19" t="str">
        <f>IF(Country_6!$C34="","",Country_6!M34)</f>
        <v/>
      </c>
      <c r="N533" s="16" t="str">
        <f>IF(Country_6!$C34="","",Country_6!N34)</f>
        <v/>
      </c>
      <c r="O533" s="16" t="str">
        <f>IF(Country_6!$C34="","",Country_6!O34)</f>
        <v/>
      </c>
      <c r="P533" s="16" t="str">
        <f>IF(Country_6!$C34="","",Country_6!P34)</f>
        <v/>
      </c>
      <c r="Q533" s="16" t="str">
        <f>IF(Country_6!$C34="","",Country_6!Q34)</f>
        <v/>
      </c>
    </row>
    <row r="534" spans="1:17" x14ac:dyDescent="0.25">
      <c r="A534" s="16" t="str">
        <f>IF(Country_6!$C35="","",Country_6!A35)</f>
        <v/>
      </c>
      <c r="B534" s="16" t="str">
        <f>IF(Country_6!$C35="","",Country_6!B35)</f>
        <v/>
      </c>
      <c r="C534" s="16" t="str">
        <f>IF(Country_6!$C35="","",Country_6!C35)</f>
        <v/>
      </c>
      <c r="D534" s="16" t="str">
        <f>IF(Country_6!$C35="","",Country_6!D35)</f>
        <v/>
      </c>
      <c r="E534" s="16" t="str">
        <f>IF(Country_6!$C35="","",Country_6!E35)</f>
        <v/>
      </c>
      <c r="F534" s="16" t="str">
        <f>IF(Country_6!$C35="","",Country_6!F35)</f>
        <v/>
      </c>
      <c r="G534" s="17" t="str">
        <f>IF(Country_6!$C35="","",Country_6!G35)</f>
        <v/>
      </c>
      <c r="H534" s="17" t="str">
        <f>IF(Country_6!$C35="","",Country_6!H35)</f>
        <v/>
      </c>
      <c r="I534" s="16" t="str">
        <f>IF(Country_6!$C35="","",Country_6!I35)</f>
        <v/>
      </c>
      <c r="J534" s="16" t="str">
        <f>IF(Country_6!$C35="","",Country_6!J35)</f>
        <v/>
      </c>
      <c r="K534" s="18" t="str">
        <f>IF(Country_6!$C35="","",Country_6!K35)</f>
        <v/>
      </c>
      <c r="L534" s="18" t="str">
        <f>IF(Country_6!$C35="","",Country_6!L35)</f>
        <v/>
      </c>
      <c r="M534" s="19" t="str">
        <f>IF(Country_6!$C35="","",Country_6!M35)</f>
        <v/>
      </c>
      <c r="N534" s="16" t="str">
        <f>IF(Country_6!$C35="","",Country_6!N35)</f>
        <v/>
      </c>
      <c r="O534" s="16" t="str">
        <f>IF(Country_6!$C35="","",Country_6!O35)</f>
        <v/>
      </c>
      <c r="P534" s="16" t="str">
        <f>IF(Country_6!$C35="","",Country_6!P35)</f>
        <v/>
      </c>
      <c r="Q534" s="16" t="str">
        <f>IF(Country_6!$C35="","",Country_6!Q35)</f>
        <v/>
      </c>
    </row>
    <row r="535" spans="1:17" x14ac:dyDescent="0.25">
      <c r="A535" s="16" t="str">
        <f>IF(Country_6!$C36="","",Country_6!A36)</f>
        <v/>
      </c>
      <c r="B535" s="16" t="str">
        <f>IF(Country_6!$C36="","",Country_6!B36)</f>
        <v/>
      </c>
      <c r="C535" s="16" t="str">
        <f>IF(Country_6!$C36="","",Country_6!C36)</f>
        <v/>
      </c>
      <c r="D535" s="16" t="str">
        <f>IF(Country_6!$C36="","",Country_6!D36)</f>
        <v/>
      </c>
      <c r="E535" s="16" t="str">
        <f>IF(Country_6!$C36="","",Country_6!E36)</f>
        <v/>
      </c>
      <c r="F535" s="16" t="str">
        <f>IF(Country_6!$C36="","",Country_6!F36)</f>
        <v/>
      </c>
      <c r="G535" s="17" t="str">
        <f>IF(Country_6!$C36="","",Country_6!G36)</f>
        <v/>
      </c>
      <c r="H535" s="17" t="str">
        <f>IF(Country_6!$C36="","",Country_6!H36)</f>
        <v/>
      </c>
      <c r="I535" s="16" t="str">
        <f>IF(Country_6!$C36="","",Country_6!I36)</f>
        <v/>
      </c>
      <c r="J535" s="16" t="str">
        <f>IF(Country_6!$C36="","",Country_6!J36)</f>
        <v/>
      </c>
      <c r="K535" s="18" t="str">
        <f>IF(Country_6!$C36="","",Country_6!K36)</f>
        <v/>
      </c>
      <c r="L535" s="18" t="str">
        <f>IF(Country_6!$C36="","",Country_6!L36)</f>
        <v/>
      </c>
      <c r="M535" s="19" t="str">
        <f>IF(Country_6!$C36="","",Country_6!M36)</f>
        <v/>
      </c>
      <c r="N535" s="16" t="str">
        <f>IF(Country_6!$C36="","",Country_6!N36)</f>
        <v/>
      </c>
      <c r="O535" s="16" t="str">
        <f>IF(Country_6!$C36="","",Country_6!O36)</f>
        <v/>
      </c>
      <c r="P535" s="16" t="str">
        <f>IF(Country_6!$C36="","",Country_6!P36)</f>
        <v/>
      </c>
      <c r="Q535" s="16" t="str">
        <f>IF(Country_6!$C36="","",Country_6!Q36)</f>
        <v/>
      </c>
    </row>
    <row r="536" spans="1:17" x14ac:dyDescent="0.25">
      <c r="A536" s="16" t="str">
        <f>IF(Country_6!$C37="","",Country_6!A37)</f>
        <v/>
      </c>
      <c r="B536" s="16" t="str">
        <f>IF(Country_6!$C37="","",Country_6!B37)</f>
        <v/>
      </c>
      <c r="C536" s="16" t="str">
        <f>IF(Country_6!$C37="","",Country_6!C37)</f>
        <v/>
      </c>
      <c r="D536" s="16" t="str">
        <f>IF(Country_6!$C37="","",Country_6!D37)</f>
        <v/>
      </c>
      <c r="E536" s="16" t="str">
        <f>IF(Country_6!$C37="","",Country_6!E37)</f>
        <v/>
      </c>
      <c r="F536" s="16" t="str">
        <f>IF(Country_6!$C37="","",Country_6!F37)</f>
        <v/>
      </c>
      <c r="G536" s="17" t="str">
        <f>IF(Country_6!$C37="","",Country_6!G37)</f>
        <v/>
      </c>
      <c r="H536" s="17" t="str">
        <f>IF(Country_6!$C37="","",Country_6!H37)</f>
        <v/>
      </c>
      <c r="I536" s="16" t="str">
        <f>IF(Country_6!$C37="","",Country_6!I37)</f>
        <v/>
      </c>
      <c r="J536" s="16" t="str">
        <f>IF(Country_6!$C37="","",Country_6!J37)</f>
        <v/>
      </c>
      <c r="K536" s="18" t="str">
        <f>IF(Country_6!$C37="","",Country_6!K37)</f>
        <v/>
      </c>
      <c r="L536" s="18" t="str">
        <f>IF(Country_6!$C37="","",Country_6!L37)</f>
        <v/>
      </c>
      <c r="M536" s="19" t="str">
        <f>IF(Country_6!$C37="","",Country_6!M37)</f>
        <v/>
      </c>
      <c r="N536" s="16" t="str">
        <f>IF(Country_6!$C37="","",Country_6!N37)</f>
        <v/>
      </c>
      <c r="O536" s="16" t="str">
        <f>IF(Country_6!$C37="","",Country_6!O37)</f>
        <v/>
      </c>
      <c r="P536" s="16" t="str">
        <f>IF(Country_6!$C37="","",Country_6!P37)</f>
        <v/>
      </c>
      <c r="Q536" s="16" t="str">
        <f>IF(Country_6!$C37="","",Country_6!Q37)</f>
        <v/>
      </c>
    </row>
    <row r="537" spans="1:17" x14ac:dyDescent="0.25">
      <c r="A537" s="16" t="str">
        <f>IF(Country_6!$C38="","",Country_6!A38)</f>
        <v/>
      </c>
      <c r="B537" s="16" t="str">
        <f>IF(Country_6!$C38="","",Country_6!B38)</f>
        <v/>
      </c>
      <c r="C537" s="16" t="str">
        <f>IF(Country_6!$C38="","",Country_6!C38)</f>
        <v/>
      </c>
      <c r="D537" s="16" t="str">
        <f>IF(Country_6!$C38="","",Country_6!D38)</f>
        <v/>
      </c>
      <c r="E537" s="16" t="str">
        <f>IF(Country_6!$C38="","",Country_6!E38)</f>
        <v/>
      </c>
      <c r="F537" s="16" t="str">
        <f>IF(Country_6!$C38="","",Country_6!F38)</f>
        <v/>
      </c>
      <c r="G537" s="17" t="str">
        <f>IF(Country_6!$C38="","",Country_6!G38)</f>
        <v/>
      </c>
      <c r="H537" s="17" t="str">
        <f>IF(Country_6!$C38="","",Country_6!H38)</f>
        <v/>
      </c>
      <c r="I537" s="16" t="str">
        <f>IF(Country_6!$C38="","",Country_6!I38)</f>
        <v/>
      </c>
      <c r="J537" s="16" t="str">
        <f>IF(Country_6!$C38="","",Country_6!J38)</f>
        <v/>
      </c>
      <c r="K537" s="18" t="str">
        <f>IF(Country_6!$C38="","",Country_6!K38)</f>
        <v/>
      </c>
      <c r="L537" s="18" t="str">
        <f>IF(Country_6!$C38="","",Country_6!L38)</f>
        <v/>
      </c>
      <c r="M537" s="19" t="str">
        <f>IF(Country_6!$C38="","",Country_6!M38)</f>
        <v/>
      </c>
      <c r="N537" s="16" t="str">
        <f>IF(Country_6!$C38="","",Country_6!N38)</f>
        <v/>
      </c>
      <c r="O537" s="16" t="str">
        <f>IF(Country_6!$C38="","",Country_6!O38)</f>
        <v/>
      </c>
      <c r="P537" s="16" t="str">
        <f>IF(Country_6!$C38="","",Country_6!P38)</f>
        <v/>
      </c>
      <c r="Q537" s="16" t="str">
        <f>IF(Country_6!$C38="","",Country_6!Q38)</f>
        <v/>
      </c>
    </row>
    <row r="538" spans="1:17" x14ac:dyDescent="0.25">
      <c r="A538" s="16" t="str">
        <f>IF(Country_6!$C39="","",Country_6!A39)</f>
        <v/>
      </c>
      <c r="B538" s="16" t="str">
        <f>IF(Country_6!$C39="","",Country_6!B39)</f>
        <v/>
      </c>
      <c r="C538" s="16" t="str">
        <f>IF(Country_6!$C39="","",Country_6!C39)</f>
        <v/>
      </c>
      <c r="D538" s="16" t="str">
        <f>IF(Country_6!$C39="","",Country_6!D39)</f>
        <v/>
      </c>
      <c r="E538" s="16" t="str">
        <f>IF(Country_6!$C39="","",Country_6!E39)</f>
        <v/>
      </c>
      <c r="F538" s="16" t="str">
        <f>IF(Country_6!$C39="","",Country_6!F39)</f>
        <v/>
      </c>
      <c r="G538" s="17" t="str">
        <f>IF(Country_6!$C39="","",Country_6!G39)</f>
        <v/>
      </c>
      <c r="H538" s="17" t="str">
        <f>IF(Country_6!$C39="","",Country_6!H39)</f>
        <v/>
      </c>
      <c r="I538" s="16" t="str">
        <f>IF(Country_6!$C39="","",Country_6!I39)</f>
        <v/>
      </c>
      <c r="J538" s="16" t="str">
        <f>IF(Country_6!$C39="","",Country_6!J39)</f>
        <v/>
      </c>
      <c r="K538" s="18" t="str">
        <f>IF(Country_6!$C39="","",Country_6!K39)</f>
        <v/>
      </c>
      <c r="L538" s="18" t="str">
        <f>IF(Country_6!$C39="","",Country_6!L39)</f>
        <v/>
      </c>
      <c r="M538" s="19" t="str">
        <f>IF(Country_6!$C39="","",Country_6!M39)</f>
        <v/>
      </c>
      <c r="N538" s="16" t="str">
        <f>IF(Country_6!$C39="","",Country_6!N39)</f>
        <v/>
      </c>
      <c r="O538" s="16" t="str">
        <f>IF(Country_6!$C39="","",Country_6!O39)</f>
        <v/>
      </c>
      <c r="P538" s="16" t="str">
        <f>IF(Country_6!$C39="","",Country_6!P39)</f>
        <v/>
      </c>
      <c r="Q538" s="16" t="str">
        <f>IF(Country_6!$C39="","",Country_6!Q39)</f>
        <v/>
      </c>
    </row>
    <row r="539" spans="1:17" x14ac:dyDescent="0.25">
      <c r="A539" s="16" t="str">
        <f>IF(Country_6!$C40="","",Country_6!A40)</f>
        <v/>
      </c>
      <c r="B539" s="16" t="str">
        <f>IF(Country_6!$C40="","",Country_6!B40)</f>
        <v/>
      </c>
      <c r="C539" s="16" t="str">
        <f>IF(Country_6!$C40="","",Country_6!C40)</f>
        <v/>
      </c>
      <c r="D539" s="16" t="str">
        <f>IF(Country_6!$C40="","",Country_6!D40)</f>
        <v/>
      </c>
      <c r="E539" s="16" t="str">
        <f>IF(Country_6!$C40="","",Country_6!E40)</f>
        <v/>
      </c>
      <c r="F539" s="16" t="str">
        <f>IF(Country_6!$C40="","",Country_6!F40)</f>
        <v/>
      </c>
      <c r="G539" s="17" t="str">
        <f>IF(Country_6!$C40="","",Country_6!G40)</f>
        <v/>
      </c>
      <c r="H539" s="17" t="str">
        <f>IF(Country_6!$C40="","",Country_6!H40)</f>
        <v/>
      </c>
      <c r="I539" s="16" t="str">
        <f>IF(Country_6!$C40="","",Country_6!I40)</f>
        <v/>
      </c>
      <c r="J539" s="16" t="str">
        <f>IF(Country_6!$C40="","",Country_6!J40)</f>
        <v/>
      </c>
      <c r="K539" s="18" t="str">
        <f>IF(Country_6!$C40="","",Country_6!K40)</f>
        <v/>
      </c>
      <c r="L539" s="18" t="str">
        <f>IF(Country_6!$C40="","",Country_6!L40)</f>
        <v/>
      </c>
      <c r="M539" s="19" t="str">
        <f>IF(Country_6!$C40="","",Country_6!M40)</f>
        <v/>
      </c>
      <c r="N539" s="16" t="str">
        <f>IF(Country_6!$C40="","",Country_6!N40)</f>
        <v/>
      </c>
      <c r="O539" s="16" t="str">
        <f>IF(Country_6!$C40="","",Country_6!O40)</f>
        <v/>
      </c>
      <c r="P539" s="16" t="str">
        <f>IF(Country_6!$C40="","",Country_6!P40)</f>
        <v/>
      </c>
      <c r="Q539" s="16" t="str">
        <f>IF(Country_6!$C40="","",Country_6!Q40)</f>
        <v/>
      </c>
    </row>
    <row r="540" spans="1:17" x14ac:dyDescent="0.25">
      <c r="A540" s="16" t="str">
        <f>IF(Country_6!$C41="","",Country_6!A41)</f>
        <v/>
      </c>
      <c r="B540" s="16" t="str">
        <f>IF(Country_6!$C41="","",Country_6!B41)</f>
        <v/>
      </c>
      <c r="C540" s="16" t="str">
        <f>IF(Country_6!$C41="","",Country_6!C41)</f>
        <v/>
      </c>
      <c r="D540" s="16" t="str">
        <f>IF(Country_6!$C41="","",Country_6!D41)</f>
        <v/>
      </c>
      <c r="E540" s="16" t="str">
        <f>IF(Country_6!$C41="","",Country_6!E41)</f>
        <v/>
      </c>
      <c r="F540" s="16" t="str">
        <f>IF(Country_6!$C41="","",Country_6!F41)</f>
        <v/>
      </c>
      <c r="G540" s="17" t="str">
        <f>IF(Country_6!$C41="","",Country_6!G41)</f>
        <v/>
      </c>
      <c r="H540" s="17" t="str">
        <f>IF(Country_6!$C41="","",Country_6!H41)</f>
        <v/>
      </c>
      <c r="I540" s="16" t="str">
        <f>IF(Country_6!$C41="","",Country_6!I41)</f>
        <v/>
      </c>
      <c r="J540" s="16" t="str">
        <f>IF(Country_6!$C41="","",Country_6!J41)</f>
        <v/>
      </c>
      <c r="K540" s="18" t="str">
        <f>IF(Country_6!$C41="","",Country_6!K41)</f>
        <v/>
      </c>
      <c r="L540" s="18" t="str">
        <f>IF(Country_6!$C41="","",Country_6!L41)</f>
        <v/>
      </c>
      <c r="M540" s="19" t="str">
        <f>IF(Country_6!$C41="","",Country_6!M41)</f>
        <v/>
      </c>
      <c r="N540" s="16" t="str">
        <f>IF(Country_6!$C41="","",Country_6!N41)</f>
        <v/>
      </c>
      <c r="O540" s="16" t="str">
        <f>IF(Country_6!$C41="","",Country_6!O41)</f>
        <v/>
      </c>
      <c r="P540" s="16" t="str">
        <f>IF(Country_6!$C41="","",Country_6!P41)</f>
        <v/>
      </c>
      <c r="Q540" s="16" t="str">
        <f>IF(Country_6!$C41="","",Country_6!Q41)</f>
        <v/>
      </c>
    </row>
    <row r="541" spans="1:17" x14ac:dyDescent="0.25">
      <c r="A541" s="16" t="str">
        <f>IF(Country_6!$C42="","",Country_6!A42)</f>
        <v/>
      </c>
      <c r="B541" s="16" t="str">
        <f>IF(Country_6!$C42="","",Country_6!B42)</f>
        <v/>
      </c>
      <c r="C541" s="16" t="str">
        <f>IF(Country_6!$C42="","",Country_6!C42)</f>
        <v/>
      </c>
      <c r="D541" s="16" t="str">
        <f>IF(Country_6!$C42="","",Country_6!D42)</f>
        <v/>
      </c>
      <c r="E541" s="16" t="str">
        <f>IF(Country_6!$C42="","",Country_6!E42)</f>
        <v/>
      </c>
      <c r="F541" s="16" t="str">
        <f>IF(Country_6!$C42="","",Country_6!F42)</f>
        <v/>
      </c>
      <c r="G541" s="17" t="str">
        <f>IF(Country_6!$C42="","",Country_6!G42)</f>
        <v/>
      </c>
      <c r="H541" s="17" t="str">
        <f>IF(Country_6!$C42="","",Country_6!H42)</f>
        <v/>
      </c>
      <c r="I541" s="16" t="str">
        <f>IF(Country_6!$C42="","",Country_6!I42)</f>
        <v/>
      </c>
      <c r="J541" s="16" t="str">
        <f>IF(Country_6!$C42="","",Country_6!J42)</f>
        <v/>
      </c>
      <c r="K541" s="18" t="str">
        <f>IF(Country_6!$C42="","",Country_6!K42)</f>
        <v/>
      </c>
      <c r="L541" s="18" t="str">
        <f>IF(Country_6!$C42="","",Country_6!L42)</f>
        <v/>
      </c>
      <c r="M541" s="19" t="str">
        <f>IF(Country_6!$C42="","",Country_6!M42)</f>
        <v/>
      </c>
      <c r="N541" s="16" t="str">
        <f>IF(Country_6!$C42="","",Country_6!N42)</f>
        <v/>
      </c>
      <c r="O541" s="16" t="str">
        <f>IF(Country_6!$C42="","",Country_6!O42)</f>
        <v/>
      </c>
      <c r="P541" s="16" t="str">
        <f>IF(Country_6!$C42="","",Country_6!P42)</f>
        <v/>
      </c>
      <c r="Q541" s="16" t="str">
        <f>IF(Country_6!$C42="","",Country_6!Q42)</f>
        <v/>
      </c>
    </row>
    <row r="542" spans="1:17" x14ac:dyDescent="0.25">
      <c r="A542" s="16" t="str">
        <f>IF(Country_6!$C43="","",Country_6!A43)</f>
        <v/>
      </c>
      <c r="B542" s="16" t="str">
        <f>IF(Country_6!$C43="","",Country_6!B43)</f>
        <v/>
      </c>
      <c r="C542" s="16" t="str">
        <f>IF(Country_6!$C43="","",Country_6!C43)</f>
        <v/>
      </c>
      <c r="D542" s="16" t="str">
        <f>IF(Country_6!$C43="","",Country_6!D43)</f>
        <v/>
      </c>
      <c r="E542" s="16" t="str">
        <f>IF(Country_6!$C43="","",Country_6!E43)</f>
        <v/>
      </c>
      <c r="F542" s="16" t="str">
        <f>IF(Country_6!$C43="","",Country_6!F43)</f>
        <v/>
      </c>
      <c r="G542" s="17" t="str">
        <f>IF(Country_6!$C43="","",Country_6!G43)</f>
        <v/>
      </c>
      <c r="H542" s="17" t="str">
        <f>IF(Country_6!$C43="","",Country_6!H43)</f>
        <v/>
      </c>
      <c r="I542" s="16" t="str">
        <f>IF(Country_6!$C43="","",Country_6!I43)</f>
        <v/>
      </c>
      <c r="J542" s="16" t="str">
        <f>IF(Country_6!$C43="","",Country_6!J43)</f>
        <v/>
      </c>
      <c r="K542" s="18" t="str">
        <f>IF(Country_6!$C43="","",Country_6!K43)</f>
        <v/>
      </c>
      <c r="L542" s="18" t="str">
        <f>IF(Country_6!$C43="","",Country_6!L43)</f>
        <v/>
      </c>
      <c r="M542" s="19" t="str">
        <f>IF(Country_6!$C43="","",Country_6!M43)</f>
        <v/>
      </c>
      <c r="N542" s="16" t="str">
        <f>IF(Country_6!$C43="","",Country_6!N43)</f>
        <v/>
      </c>
      <c r="O542" s="16" t="str">
        <f>IF(Country_6!$C43="","",Country_6!O43)</f>
        <v/>
      </c>
      <c r="P542" s="16" t="str">
        <f>IF(Country_6!$C43="","",Country_6!P43)</f>
        <v/>
      </c>
      <c r="Q542" s="16" t="str">
        <f>IF(Country_6!$C43="","",Country_6!Q43)</f>
        <v/>
      </c>
    </row>
    <row r="543" spans="1:17" x14ac:dyDescent="0.25">
      <c r="A543" s="16" t="str">
        <f>IF(Country_6!$C44="","",Country_6!A44)</f>
        <v/>
      </c>
      <c r="B543" s="16" t="str">
        <f>IF(Country_6!$C44="","",Country_6!B44)</f>
        <v/>
      </c>
      <c r="C543" s="16" t="str">
        <f>IF(Country_6!$C44="","",Country_6!C44)</f>
        <v/>
      </c>
      <c r="D543" s="16" t="str">
        <f>IF(Country_6!$C44="","",Country_6!D44)</f>
        <v/>
      </c>
      <c r="E543" s="16" t="str">
        <f>IF(Country_6!$C44="","",Country_6!E44)</f>
        <v/>
      </c>
      <c r="F543" s="16" t="str">
        <f>IF(Country_6!$C44="","",Country_6!F44)</f>
        <v/>
      </c>
      <c r="G543" s="17" t="str">
        <f>IF(Country_6!$C44="","",Country_6!G44)</f>
        <v/>
      </c>
      <c r="H543" s="17" t="str">
        <f>IF(Country_6!$C44="","",Country_6!H44)</f>
        <v/>
      </c>
      <c r="I543" s="16" t="str">
        <f>IF(Country_6!$C44="","",Country_6!I44)</f>
        <v/>
      </c>
      <c r="J543" s="16" t="str">
        <f>IF(Country_6!$C44="","",Country_6!J44)</f>
        <v/>
      </c>
      <c r="K543" s="18" t="str">
        <f>IF(Country_6!$C44="","",Country_6!K44)</f>
        <v/>
      </c>
      <c r="L543" s="18" t="str">
        <f>IF(Country_6!$C44="","",Country_6!L44)</f>
        <v/>
      </c>
      <c r="M543" s="19" t="str">
        <f>IF(Country_6!$C44="","",Country_6!M44)</f>
        <v/>
      </c>
      <c r="N543" s="16" t="str">
        <f>IF(Country_6!$C44="","",Country_6!N44)</f>
        <v/>
      </c>
      <c r="O543" s="16" t="str">
        <f>IF(Country_6!$C44="","",Country_6!O44)</f>
        <v/>
      </c>
      <c r="P543" s="16" t="str">
        <f>IF(Country_6!$C44="","",Country_6!P44)</f>
        <v/>
      </c>
      <c r="Q543" s="16" t="str">
        <f>IF(Country_6!$C44="","",Country_6!Q44)</f>
        <v/>
      </c>
    </row>
    <row r="544" spans="1:17" x14ac:dyDescent="0.25">
      <c r="A544" s="16" t="str">
        <f>IF(Country_6!$C45="","",Country_6!A45)</f>
        <v/>
      </c>
      <c r="B544" s="16" t="str">
        <f>IF(Country_6!$C45="","",Country_6!B45)</f>
        <v/>
      </c>
      <c r="C544" s="16" t="str">
        <f>IF(Country_6!$C45="","",Country_6!C45)</f>
        <v/>
      </c>
      <c r="D544" s="16" t="str">
        <f>IF(Country_6!$C45="","",Country_6!D45)</f>
        <v/>
      </c>
      <c r="E544" s="16" t="str">
        <f>IF(Country_6!$C45="","",Country_6!E45)</f>
        <v/>
      </c>
      <c r="F544" s="16" t="str">
        <f>IF(Country_6!$C45="","",Country_6!F45)</f>
        <v/>
      </c>
      <c r="G544" s="17" t="str">
        <f>IF(Country_6!$C45="","",Country_6!G45)</f>
        <v/>
      </c>
      <c r="H544" s="17" t="str">
        <f>IF(Country_6!$C45="","",Country_6!H45)</f>
        <v/>
      </c>
      <c r="I544" s="16" t="str">
        <f>IF(Country_6!$C45="","",Country_6!I45)</f>
        <v/>
      </c>
      <c r="J544" s="16" t="str">
        <f>IF(Country_6!$C45="","",Country_6!J45)</f>
        <v/>
      </c>
      <c r="K544" s="18" t="str">
        <f>IF(Country_6!$C45="","",Country_6!K45)</f>
        <v/>
      </c>
      <c r="L544" s="18" t="str">
        <f>IF(Country_6!$C45="","",Country_6!L45)</f>
        <v/>
      </c>
      <c r="M544" s="19" t="str">
        <f>IF(Country_6!$C45="","",Country_6!M45)</f>
        <v/>
      </c>
      <c r="N544" s="16" t="str">
        <f>IF(Country_6!$C45="","",Country_6!N45)</f>
        <v/>
      </c>
      <c r="O544" s="16" t="str">
        <f>IF(Country_6!$C45="","",Country_6!O45)</f>
        <v/>
      </c>
      <c r="P544" s="16" t="str">
        <f>IF(Country_6!$C45="","",Country_6!P45)</f>
        <v/>
      </c>
      <c r="Q544" s="16" t="str">
        <f>IF(Country_6!$C45="","",Country_6!Q45)</f>
        <v/>
      </c>
    </row>
    <row r="545" spans="1:17" x14ac:dyDescent="0.25">
      <c r="A545" s="16" t="str">
        <f>IF(Country_6!$C46="","",Country_6!A46)</f>
        <v/>
      </c>
      <c r="B545" s="16" t="str">
        <f>IF(Country_6!$C46="","",Country_6!B46)</f>
        <v/>
      </c>
      <c r="C545" s="16" t="str">
        <f>IF(Country_6!$C46="","",Country_6!C46)</f>
        <v/>
      </c>
      <c r="D545" s="16" t="str">
        <f>IF(Country_6!$C46="","",Country_6!D46)</f>
        <v/>
      </c>
      <c r="E545" s="16" t="str">
        <f>IF(Country_6!$C46="","",Country_6!E46)</f>
        <v/>
      </c>
      <c r="F545" s="16" t="str">
        <f>IF(Country_6!$C46="","",Country_6!F46)</f>
        <v/>
      </c>
      <c r="G545" s="17" t="str">
        <f>IF(Country_6!$C46="","",Country_6!G46)</f>
        <v/>
      </c>
      <c r="H545" s="17" t="str">
        <f>IF(Country_6!$C46="","",Country_6!H46)</f>
        <v/>
      </c>
      <c r="I545" s="16" t="str">
        <f>IF(Country_6!$C46="","",Country_6!I46)</f>
        <v/>
      </c>
      <c r="J545" s="16" t="str">
        <f>IF(Country_6!$C46="","",Country_6!J46)</f>
        <v/>
      </c>
      <c r="K545" s="18" t="str">
        <f>IF(Country_6!$C46="","",Country_6!K46)</f>
        <v/>
      </c>
      <c r="L545" s="18" t="str">
        <f>IF(Country_6!$C46="","",Country_6!L46)</f>
        <v/>
      </c>
      <c r="M545" s="19" t="str">
        <f>IF(Country_6!$C46="","",Country_6!M46)</f>
        <v/>
      </c>
      <c r="N545" s="16" t="str">
        <f>IF(Country_6!$C46="","",Country_6!N46)</f>
        <v/>
      </c>
      <c r="O545" s="16" t="str">
        <f>IF(Country_6!$C46="","",Country_6!O46)</f>
        <v/>
      </c>
      <c r="P545" s="16" t="str">
        <f>IF(Country_6!$C46="","",Country_6!P46)</f>
        <v/>
      </c>
      <c r="Q545" s="16" t="str">
        <f>IF(Country_6!$C46="","",Country_6!Q46)</f>
        <v/>
      </c>
    </row>
    <row r="546" spans="1:17" x14ac:dyDescent="0.25">
      <c r="A546" s="16" t="str">
        <f>IF(Country_6!$C47="","",Country_6!A47)</f>
        <v/>
      </c>
      <c r="B546" s="16" t="str">
        <f>IF(Country_6!$C47="","",Country_6!B47)</f>
        <v/>
      </c>
      <c r="C546" s="16" t="str">
        <f>IF(Country_6!$C47="","",Country_6!C47)</f>
        <v/>
      </c>
      <c r="D546" s="16" t="str">
        <f>IF(Country_6!$C47="","",Country_6!D47)</f>
        <v/>
      </c>
      <c r="E546" s="16" t="str">
        <f>IF(Country_6!$C47="","",Country_6!E47)</f>
        <v/>
      </c>
      <c r="F546" s="16" t="str">
        <f>IF(Country_6!$C47="","",Country_6!F47)</f>
        <v/>
      </c>
      <c r="G546" s="17" t="str">
        <f>IF(Country_6!$C47="","",Country_6!G47)</f>
        <v/>
      </c>
      <c r="H546" s="17" t="str">
        <f>IF(Country_6!$C47="","",Country_6!H47)</f>
        <v/>
      </c>
      <c r="I546" s="16" t="str">
        <f>IF(Country_6!$C47="","",Country_6!I47)</f>
        <v/>
      </c>
      <c r="J546" s="16" t="str">
        <f>IF(Country_6!$C47="","",Country_6!J47)</f>
        <v/>
      </c>
      <c r="K546" s="18" t="str">
        <f>IF(Country_6!$C47="","",Country_6!K47)</f>
        <v/>
      </c>
      <c r="L546" s="18" t="str">
        <f>IF(Country_6!$C47="","",Country_6!L47)</f>
        <v/>
      </c>
      <c r="M546" s="19" t="str">
        <f>IF(Country_6!$C47="","",Country_6!M47)</f>
        <v/>
      </c>
      <c r="N546" s="16" t="str">
        <f>IF(Country_6!$C47="","",Country_6!N47)</f>
        <v/>
      </c>
      <c r="O546" s="16" t="str">
        <f>IF(Country_6!$C47="","",Country_6!O47)</f>
        <v/>
      </c>
      <c r="P546" s="16" t="str">
        <f>IF(Country_6!$C47="","",Country_6!P47)</f>
        <v/>
      </c>
      <c r="Q546" s="16" t="str">
        <f>IF(Country_6!$C47="","",Country_6!Q47)</f>
        <v/>
      </c>
    </row>
    <row r="547" spans="1:17" x14ac:dyDescent="0.25">
      <c r="A547" s="16" t="str">
        <f>IF(Country_6!$C48="","",Country_6!A48)</f>
        <v/>
      </c>
      <c r="B547" s="16" t="str">
        <f>IF(Country_6!$C48="","",Country_6!B48)</f>
        <v/>
      </c>
      <c r="C547" s="16" t="str">
        <f>IF(Country_6!$C48="","",Country_6!C48)</f>
        <v/>
      </c>
      <c r="D547" s="16" t="str">
        <f>IF(Country_6!$C48="","",Country_6!D48)</f>
        <v/>
      </c>
      <c r="E547" s="16" t="str">
        <f>IF(Country_6!$C48="","",Country_6!E48)</f>
        <v/>
      </c>
      <c r="F547" s="16" t="str">
        <f>IF(Country_6!$C48="","",Country_6!F48)</f>
        <v/>
      </c>
      <c r="G547" s="17" t="str">
        <f>IF(Country_6!$C48="","",Country_6!G48)</f>
        <v/>
      </c>
      <c r="H547" s="17" t="str">
        <f>IF(Country_6!$C48="","",Country_6!H48)</f>
        <v/>
      </c>
      <c r="I547" s="16" t="str">
        <f>IF(Country_6!$C48="","",Country_6!I48)</f>
        <v/>
      </c>
      <c r="J547" s="16" t="str">
        <f>IF(Country_6!$C48="","",Country_6!J48)</f>
        <v/>
      </c>
      <c r="K547" s="18" t="str">
        <f>IF(Country_6!$C48="","",Country_6!K48)</f>
        <v/>
      </c>
      <c r="L547" s="18" t="str">
        <f>IF(Country_6!$C48="","",Country_6!L48)</f>
        <v/>
      </c>
      <c r="M547" s="19" t="str">
        <f>IF(Country_6!$C48="","",Country_6!M48)</f>
        <v/>
      </c>
      <c r="N547" s="16" t="str">
        <f>IF(Country_6!$C48="","",Country_6!N48)</f>
        <v/>
      </c>
      <c r="O547" s="16" t="str">
        <f>IF(Country_6!$C48="","",Country_6!O48)</f>
        <v/>
      </c>
      <c r="P547" s="16" t="str">
        <f>IF(Country_6!$C48="","",Country_6!P48)</f>
        <v/>
      </c>
      <c r="Q547" s="16" t="str">
        <f>IF(Country_6!$C48="","",Country_6!Q48)</f>
        <v/>
      </c>
    </row>
    <row r="548" spans="1:17" x14ac:dyDescent="0.25">
      <c r="A548" s="16" t="str">
        <f>IF(Country_6!$C49="","",Country_6!A49)</f>
        <v/>
      </c>
      <c r="B548" s="16" t="str">
        <f>IF(Country_6!$C49="","",Country_6!B49)</f>
        <v/>
      </c>
      <c r="C548" s="16" t="str">
        <f>IF(Country_6!$C49="","",Country_6!C49)</f>
        <v/>
      </c>
      <c r="D548" s="16" t="str">
        <f>IF(Country_6!$C49="","",Country_6!D49)</f>
        <v/>
      </c>
      <c r="E548" s="16" t="str">
        <f>IF(Country_6!$C49="","",Country_6!E49)</f>
        <v/>
      </c>
      <c r="F548" s="16" t="str">
        <f>IF(Country_6!$C49="","",Country_6!F49)</f>
        <v/>
      </c>
      <c r="G548" s="17" t="str">
        <f>IF(Country_6!$C49="","",Country_6!G49)</f>
        <v/>
      </c>
      <c r="H548" s="17" t="str">
        <f>IF(Country_6!$C49="","",Country_6!H49)</f>
        <v/>
      </c>
      <c r="I548" s="16" t="str">
        <f>IF(Country_6!$C49="","",Country_6!I49)</f>
        <v/>
      </c>
      <c r="J548" s="16" t="str">
        <f>IF(Country_6!$C49="","",Country_6!J49)</f>
        <v/>
      </c>
      <c r="K548" s="18" t="str">
        <f>IF(Country_6!$C49="","",Country_6!K49)</f>
        <v/>
      </c>
      <c r="L548" s="18" t="str">
        <f>IF(Country_6!$C49="","",Country_6!L49)</f>
        <v/>
      </c>
      <c r="M548" s="19" t="str">
        <f>IF(Country_6!$C49="","",Country_6!M49)</f>
        <v/>
      </c>
      <c r="N548" s="16" t="str">
        <f>IF(Country_6!$C49="","",Country_6!N49)</f>
        <v/>
      </c>
      <c r="O548" s="16" t="str">
        <f>IF(Country_6!$C49="","",Country_6!O49)</f>
        <v/>
      </c>
      <c r="P548" s="16" t="str">
        <f>IF(Country_6!$C49="","",Country_6!P49)</f>
        <v/>
      </c>
      <c r="Q548" s="16" t="str">
        <f>IF(Country_6!$C49="","",Country_6!Q49)</f>
        <v/>
      </c>
    </row>
    <row r="549" spans="1:17" x14ac:dyDescent="0.25">
      <c r="A549" s="16" t="str">
        <f>IF(Country_6!$C50="","",Country_6!A50)</f>
        <v/>
      </c>
      <c r="B549" s="16" t="str">
        <f>IF(Country_6!$C50="","",Country_6!B50)</f>
        <v/>
      </c>
      <c r="C549" s="16" t="str">
        <f>IF(Country_6!$C50="","",Country_6!C50)</f>
        <v/>
      </c>
      <c r="D549" s="16" t="str">
        <f>IF(Country_6!$C50="","",Country_6!D50)</f>
        <v/>
      </c>
      <c r="E549" s="16" t="str">
        <f>IF(Country_6!$C50="","",Country_6!E50)</f>
        <v/>
      </c>
      <c r="F549" s="16" t="str">
        <f>IF(Country_6!$C50="","",Country_6!F50)</f>
        <v/>
      </c>
      <c r="G549" s="17" t="str">
        <f>IF(Country_6!$C50="","",Country_6!G50)</f>
        <v/>
      </c>
      <c r="H549" s="17" t="str">
        <f>IF(Country_6!$C50="","",Country_6!H50)</f>
        <v/>
      </c>
      <c r="I549" s="16" t="str">
        <f>IF(Country_6!$C50="","",Country_6!I50)</f>
        <v/>
      </c>
      <c r="J549" s="16" t="str">
        <f>IF(Country_6!$C50="","",Country_6!J50)</f>
        <v/>
      </c>
      <c r="K549" s="18" t="str">
        <f>IF(Country_6!$C50="","",Country_6!K50)</f>
        <v/>
      </c>
      <c r="L549" s="18" t="str">
        <f>IF(Country_6!$C50="","",Country_6!L50)</f>
        <v/>
      </c>
      <c r="M549" s="19" t="str">
        <f>IF(Country_6!$C50="","",Country_6!M50)</f>
        <v/>
      </c>
      <c r="N549" s="16" t="str">
        <f>IF(Country_6!$C50="","",Country_6!N50)</f>
        <v/>
      </c>
      <c r="O549" s="16" t="str">
        <f>IF(Country_6!$C50="","",Country_6!O50)</f>
        <v/>
      </c>
      <c r="P549" s="16" t="str">
        <f>IF(Country_6!$C50="","",Country_6!P50)</f>
        <v/>
      </c>
      <c r="Q549" s="16" t="str">
        <f>IF(Country_6!$C50="","",Country_6!Q50)</f>
        <v/>
      </c>
    </row>
    <row r="550" spans="1:17" x14ac:dyDescent="0.25">
      <c r="A550" s="16" t="str">
        <f>IF(Country_6!$C51="","",Country_6!A51)</f>
        <v/>
      </c>
      <c r="B550" s="16" t="str">
        <f>IF(Country_6!$C51="","",Country_6!B51)</f>
        <v/>
      </c>
      <c r="C550" s="16" t="str">
        <f>IF(Country_6!$C51="","",Country_6!C51)</f>
        <v/>
      </c>
      <c r="D550" s="16" t="str">
        <f>IF(Country_6!$C51="","",Country_6!D51)</f>
        <v/>
      </c>
      <c r="E550" s="16" t="str">
        <f>IF(Country_6!$C51="","",Country_6!E51)</f>
        <v/>
      </c>
      <c r="F550" s="16" t="str">
        <f>IF(Country_6!$C51="","",Country_6!F51)</f>
        <v/>
      </c>
      <c r="G550" s="17" t="str">
        <f>IF(Country_6!$C51="","",Country_6!G51)</f>
        <v/>
      </c>
      <c r="H550" s="17" t="str">
        <f>IF(Country_6!$C51="","",Country_6!H51)</f>
        <v/>
      </c>
      <c r="I550" s="16" t="str">
        <f>IF(Country_6!$C51="","",Country_6!I51)</f>
        <v/>
      </c>
      <c r="J550" s="16" t="str">
        <f>IF(Country_6!$C51="","",Country_6!J51)</f>
        <v/>
      </c>
      <c r="K550" s="18" t="str">
        <f>IF(Country_6!$C51="","",Country_6!K51)</f>
        <v/>
      </c>
      <c r="L550" s="18" t="str">
        <f>IF(Country_6!$C51="","",Country_6!L51)</f>
        <v/>
      </c>
      <c r="M550" s="19" t="str">
        <f>IF(Country_6!$C51="","",Country_6!M51)</f>
        <v/>
      </c>
      <c r="N550" s="16" t="str">
        <f>IF(Country_6!$C51="","",Country_6!N51)</f>
        <v/>
      </c>
      <c r="O550" s="16" t="str">
        <f>IF(Country_6!$C51="","",Country_6!O51)</f>
        <v/>
      </c>
      <c r="P550" s="16" t="str">
        <f>IF(Country_6!$C51="","",Country_6!P51)</f>
        <v/>
      </c>
      <c r="Q550" s="16" t="str">
        <f>IF(Country_6!$C51="","",Country_6!Q51)</f>
        <v/>
      </c>
    </row>
    <row r="551" spans="1:17" x14ac:dyDescent="0.25">
      <c r="A551" s="16" t="str">
        <f>IF(Country_6!$C52="","",Country_6!A52)</f>
        <v/>
      </c>
      <c r="B551" s="16" t="str">
        <f>IF(Country_6!$C52="","",Country_6!B52)</f>
        <v/>
      </c>
      <c r="C551" s="16" t="str">
        <f>IF(Country_6!$C52="","",Country_6!C52)</f>
        <v/>
      </c>
      <c r="D551" s="16" t="str">
        <f>IF(Country_6!$C52="","",Country_6!D52)</f>
        <v/>
      </c>
      <c r="E551" s="16" t="str">
        <f>IF(Country_6!$C52="","",Country_6!E52)</f>
        <v/>
      </c>
      <c r="F551" s="16" t="str">
        <f>IF(Country_6!$C52="","",Country_6!F52)</f>
        <v/>
      </c>
      <c r="G551" s="17" t="str">
        <f>IF(Country_6!$C52="","",Country_6!G52)</f>
        <v/>
      </c>
      <c r="H551" s="17" t="str">
        <f>IF(Country_6!$C52="","",Country_6!H52)</f>
        <v/>
      </c>
      <c r="I551" s="16" t="str">
        <f>IF(Country_6!$C52="","",Country_6!I52)</f>
        <v/>
      </c>
      <c r="J551" s="16" t="str">
        <f>IF(Country_6!$C52="","",Country_6!J52)</f>
        <v/>
      </c>
      <c r="K551" s="18" t="str">
        <f>IF(Country_6!$C52="","",Country_6!K52)</f>
        <v/>
      </c>
      <c r="L551" s="18" t="str">
        <f>IF(Country_6!$C52="","",Country_6!L52)</f>
        <v/>
      </c>
      <c r="M551" s="19" t="str">
        <f>IF(Country_6!$C52="","",Country_6!M52)</f>
        <v/>
      </c>
      <c r="N551" s="16" t="str">
        <f>IF(Country_6!$C52="","",Country_6!N52)</f>
        <v/>
      </c>
      <c r="O551" s="16" t="str">
        <f>IF(Country_6!$C52="","",Country_6!O52)</f>
        <v/>
      </c>
      <c r="P551" s="16" t="str">
        <f>IF(Country_6!$C52="","",Country_6!P52)</f>
        <v/>
      </c>
      <c r="Q551" s="16" t="str">
        <f>IF(Country_6!$C52="","",Country_6!Q52)</f>
        <v/>
      </c>
    </row>
    <row r="552" spans="1:17" x14ac:dyDescent="0.25">
      <c r="A552" s="16" t="str">
        <f>IF(Country_6!$C53="","",Country_6!A53)</f>
        <v/>
      </c>
      <c r="B552" s="16" t="str">
        <f>IF(Country_6!$C53="","",Country_6!B53)</f>
        <v/>
      </c>
      <c r="C552" s="16" t="str">
        <f>IF(Country_6!$C53="","",Country_6!C53)</f>
        <v/>
      </c>
      <c r="D552" s="16" t="str">
        <f>IF(Country_6!$C53="","",Country_6!D53)</f>
        <v/>
      </c>
      <c r="E552" s="16" t="str">
        <f>IF(Country_6!$C53="","",Country_6!E53)</f>
        <v/>
      </c>
      <c r="F552" s="16" t="str">
        <f>IF(Country_6!$C53="","",Country_6!F53)</f>
        <v/>
      </c>
      <c r="G552" s="17" t="str">
        <f>IF(Country_6!$C53="","",Country_6!G53)</f>
        <v/>
      </c>
      <c r="H552" s="17" t="str">
        <f>IF(Country_6!$C53="","",Country_6!H53)</f>
        <v/>
      </c>
      <c r="I552" s="16" t="str">
        <f>IF(Country_6!$C53="","",Country_6!I53)</f>
        <v/>
      </c>
      <c r="J552" s="16" t="str">
        <f>IF(Country_6!$C53="","",Country_6!J53)</f>
        <v/>
      </c>
      <c r="K552" s="18" t="str">
        <f>IF(Country_6!$C53="","",Country_6!K53)</f>
        <v/>
      </c>
      <c r="L552" s="18" t="str">
        <f>IF(Country_6!$C53="","",Country_6!L53)</f>
        <v/>
      </c>
      <c r="M552" s="19" t="str">
        <f>IF(Country_6!$C53="","",Country_6!M53)</f>
        <v/>
      </c>
      <c r="N552" s="16" t="str">
        <f>IF(Country_6!$C53="","",Country_6!N53)</f>
        <v/>
      </c>
      <c r="O552" s="16" t="str">
        <f>IF(Country_6!$C53="","",Country_6!O53)</f>
        <v/>
      </c>
      <c r="P552" s="16" t="str">
        <f>IF(Country_6!$C53="","",Country_6!P53)</f>
        <v/>
      </c>
      <c r="Q552" s="16" t="str">
        <f>IF(Country_6!$C53="","",Country_6!Q53)</f>
        <v/>
      </c>
    </row>
    <row r="553" spans="1:17" x14ac:dyDescent="0.25">
      <c r="A553" s="16" t="str">
        <f>IF(Country_6!$C54="","",Country_6!A54)</f>
        <v/>
      </c>
      <c r="B553" s="16" t="str">
        <f>IF(Country_6!$C54="","",Country_6!B54)</f>
        <v/>
      </c>
      <c r="C553" s="16" t="str">
        <f>IF(Country_6!$C54="","",Country_6!C54)</f>
        <v/>
      </c>
      <c r="D553" s="16" t="str">
        <f>IF(Country_6!$C54="","",Country_6!D54)</f>
        <v/>
      </c>
      <c r="E553" s="16" t="str">
        <f>IF(Country_6!$C54="","",Country_6!E54)</f>
        <v/>
      </c>
      <c r="F553" s="16" t="str">
        <f>IF(Country_6!$C54="","",Country_6!F54)</f>
        <v/>
      </c>
      <c r="G553" s="17" t="str">
        <f>IF(Country_6!$C54="","",Country_6!G54)</f>
        <v/>
      </c>
      <c r="H553" s="17" t="str">
        <f>IF(Country_6!$C54="","",Country_6!H54)</f>
        <v/>
      </c>
      <c r="I553" s="16" t="str">
        <f>IF(Country_6!$C54="","",Country_6!I54)</f>
        <v/>
      </c>
      <c r="J553" s="16" t="str">
        <f>IF(Country_6!$C54="","",Country_6!J54)</f>
        <v/>
      </c>
      <c r="K553" s="18" t="str">
        <f>IF(Country_6!$C54="","",Country_6!K54)</f>
        <v/>
      </c>
      <c r="L553" s="18" t="str">
        <f>IF(Country_6!$C54="","",Country_6!L54)</f>
        <v/>
      </c>
      <c r="M553" s="19" t="str">
        <f>IF(Country_6!$C54="","",Country_6!M54)</f>
        <v/>
      </c>
      <c r="N553" s="16" t="str">
        <f>IF(Country_6!$C54="","",Country_6!N54)</f>
        <v/>
      </c>
      <c r="O553" s="16" t="str">
        <f>IF(Country_6!$C54="","",Country_6!O54)</f>
        <v/>
      </c>
      <c r="P553" s="16" t="str">
        <f>IF(Country_6!$C54="","",Country_6!P54)</f>
        <v/>
      </c>
      <c r="Q553" s="16" t="str">
        <f>IF(Country_6!$C54="","",Country_6!Q54)</f>
        <v/>
      </c>
    </row>
    <row r="554" spans="1:17" x14ac:dyDescent="0.25">
      <c r="A554" s="16" t="str">
        <f>IF(Country_6!$C55="","",Country_6!A55)</f>
        <v/>
      </c>
      <c r="B554" s="16" t="str">
        <f>IF(Country_6!$C55="","",Country_6!B55)</f>
        <v/>
      </c>
      <c r="C554" s="16" t="str">
        <f>IF(Country_6!$C55="","",Country_6!C55)</f>
        <v/>
      </c>
      <c r="D554" s="16" t="str">
        <f>IF(Country_6!$C55="","",Country_6!D55)</f>
        <v/>
      </c>
      <c r="E554" s="16" t="str">
        <f>IF(Country_6!$C55="","",Country_6!E55)</f>
        <v/>
      </c>
      <c r="F554" s="16" t="str">
        <f>IF(Country_6!$C55="","",Country_6!F55)</f>
        <v/>
      </c>
      <c r="G554" s="17" t="str">
        <f>IF(Country_6!$C55="","",Country_6!G55)</f>
        <v/>
      </c>
      <c r="H554" s="17" t="str">
        <f>IF(Country_6!$C55="","",Country_6!H55)</f>
        <v/>
      </c>
      <c r="I554" s="16" t="str">
        <f>IF(Country_6!$C55="","",Country_6!I55)</f>
        <v/>
      </c>
      <c r="J554" s="16" t="str">
        <f>IF(Country_6!$C55="","",Country_6!J55)</f>
        <v/>
      </c>
      <c r="K554" s="18" t="str">
        <f>IF(Country_6!$C55="","",Country_6!K55)</f>
        <v/>
      </c>
      <c r="L554" s="18" t="str">
        <f>IF(Country_6!$C55="","",Country_6!L55)</f>
        <v/>
      </c>
      <c r="M554" s="19" t="str">
        <f>IF(Country_6!$C55="","",Country_6!M55)</f>
        <v/>
      </c>
      <c r="N554" s="16" t="str">
        <f>IF(Country_6!$C55="","",Country_6!N55)</f>
        <v/>
      </c>
      <c r="O554" s="16" t="str">
        <f>IF(Country_6!$C55="","",Country_6!O55)</f>
        <v/>
      </c>
      <c r="P554" s="16" t="str">
        <f>IF(Country_6!$C55="","",Country_6!P55)</f>
        <v/>
      </c>
      <c r="Q554" s="16" t="str">
        <f>IF(Country_6!$C55="","",Country_6!Q55)</f>
        <v/>
      </c>
    </row>
    <row r="555" spans="1:17" x14ac:dyDescent="0.25">
      <c r="A555" s="16" t="str">
        <f>IF(Country_6!$C56="","",Country_6!A56)</f>
        <v/>
      </c>
      <c r="B555" s="16" t="str">
        <f>IF(Country_6!$C56="","",Country_6!B56)</f>
        <v/>
      </c>
      <c r="C555" s="16" t="str">
        <f>IF(Country_6!$C56="","",Country_6!C56)</f>
        <v/>
      </c>
      <c r="D555" s="16" t="str">
        <f>IF(Country_6!$C56="","",Country_6!D56)</f>
        <v/>
      </c>
      <c r="E555" s="16" t="str">
        <f>IF(Country_6!$C56="","",Country_6!E56)</f>
        <v/>
      </c>
      <c r="F555" s="16" t="str">
        <f>IF(Country_6!$C56="","",Country_6!F56)</f>
        <v/>
      </c>
      <c r="G555" s="17" t="str">
        <f>IF(Country_6!$C56="","",Country_6!G56)</f>
        <v/>
      </c>
      <c r="H555" s="17" t="str">
        <f>IF(Country_6!$C56="","",Country_6!H56)</f>
        <v/>
      </c>
      <c r="I555" s="16" t="str">
        <f>IF(Country_6!$C56="","",Country_6!I56)</f>
        <v/>
      </c>
      <c r="J555" s="16" t="str">
        <f>IF(Country_6!$C56="","",Country_6!J56)</f>
        <v/>
      </c>
      <c r="K555" s="18" t="str">
        <f>IF(Country_6!$C56="","",Country_6!K56)</f>
        <v/>
      </c>
      <c r="L555" s="18" t="str">
        <f>IF(Country_6!$C56="","",Country_6!L56)</f>
        <v/>
      </c>
      <c r="M555" s="19" t="str">
        <f>IF(Country_6!$C56="","",Country_6!M56)</f>
        <v/>
      </c>
      <c r="N555" s="16" t="str">
        <f>IF(Country_6!$C56="","",Country_6!N56)</f>
        <v/>
      </c>
      <c r="O555" s="16" t="str">
        <f>IF(Country_6!$C56="","",Country_6!O56)</f>
        <v/>
      </c>
      <c r="P555" s="16" t="str">
        <f>IF(Country_6!$C56="","",Country_6!P56)</f>
        <v/>
      </c>
      <c r="Q555" s="16" t="str">
        <f>IF(Country_6!$C56="","",Country_6!Q56)</f>
        <v/>
      </c>
    </row>
    <row r="556" spans="1:17" x14ac:dyDescent="0.25">
      <c r="A556" s="16" t="str">
        <f>IF(Country_6!$C57="","",Country_6!A57)</f>
        <v/>
      </c>
      <c r="B556" s="16" t="str">
        <f>IF(Country_6!$C57="","",Country_6!B57)</f>
        <v/>
      </c>
      <c r="C556" s="16" t="str">
        <f>IF(Country_6!$C57="","",Country_6!C57)</f>
        <v/>
      </c>
      <c r="D556" s="16" t="str">
        <f>IF(Country_6!$C57="","",Country_6!D57)</f>
        <v/>
      </c>
      <c r="E556" s="16" t="str">
        <f>IF(Country_6!$C57="","",Country_6!E57)</f>
        <v/>
      </c>
      <c r="F556" s="16" t="str">
        <f>IF(Country_6!$C57="","",Country_6!F57)</f>
        <v/>
      </c>
      <c r="G556" s="17" t="str">
        <f>IF(Country_6!$C57="","",Country_6!G57)</f>
        <v/>
      </c>
      <c r="H556" s="17" t="str">
        <f>IF(Country_6!$C57="","",Country_6!H57)</f>
        <v/>
      </c>
      <c r="I556" s="16" t="str">
        <f>IF(Country_6!$C57="","",Country_6!I57)</f>
        <v/>
      </c>
      <c r="J556" s="16" t="str">
        <f>IF(Country_6!$C57="","",Country_6!J57)</f>
        <v/>
      </c>
      <c r="K556" s="18" t="str">
        <f>IF(Country_6!$C57="","",Country_6!K57)</f>
        <v/>
      </c>
      <c r="L556" s="18" t="str">
        <f>IF(Country_6!$C57="","",Country_6!L57)</f>
        <v/>
      </c>
      <c r="M556" s="19" t="str">
        <f>IF(Country_6!$C57="","",Country_6!M57)</f>
        <v/>
      </c>
      <c r="N556" s="16" t="str">
        <f>IF(Country_6!$C57="","",Country_6!N57)</f>
        <v/>
      </c>
      <c r="O556" s="16" t="str">
        <f>IF(Country_6!$C57="","",Country_6!O57)</f>
        <v/>
      </c>
      <c r="P556" s="16" t="str">
        <f>IF(Country_6!$C57="","",Country_6!P57)</f>
        <v/>
      </c>
      <c r="Q556" s="16" t="str">
        <f>IF(Country_6!$C57="","",Country_6!Q57)</f>
        <v/>
      </c>
    </row>
    <row r="557" spans="1:17" x14ac:dyDescent="0.25">
      <c r="A557" s="16" t="str">
        <f>IF(Country_6!$C58="","",Country_6!A58)</f>
        <v/>
      </c>
      <c r="B557" s="16" t="str">
        <f>IF(Country_6!$C58="","",Country_6!B58)</f>
        <v/>
      </c>
      <c r="C557" s="16" t="str">
        <f>IF(Country_6!$C58="","",Country_6!C58)</f>
        <v/>
      </c>
      <c r="D557" s="16" t="str">
        <f>IF(Country_6!$C58="","",Country_6!D58)</f>
        <v/>
      </c>
      <c r="E557" s="16" t="str">
        <f>IF(Country_6!$C58="","",Country_6!E58)</f>
        <v/>
      </c>
      <c r="F557" s="16" t="str">
        <f>IF(Country_6!$C58="","",Country_6!F58)</f>
        <v/>
      </c>
      <c r="G557" s="17" t="str">
        <f>IF(Country_6!$C58="","",Country_6!G58)</f>
        <v/>
      </c>
      <c r="H557" s="17" t="str">
        <f>IF(Country_6!$C58="","",Country_6!H58)</f>
        <v/>
      </c>
      <c r="I557" s="16" t="str">
        <f>IF(Country_6!$C58="","",Country_6!I58)</f>
        <v/>
      </c>
      <c r="J557" s="16" t="str">
        <f>IF(Country_6!$C58="","",Country_6!J58)</f>
        <v/>
      </c>
      <c r="K557" s="18" t="str">
        <f>IF(Country_6!$C58="","",Country_6!K58)</f>
        <v/>
      </c>
      <c r="L557" s="18" t="str">
        <f>IF(Country_6!$C58="","",Country_6!L58)</f>
        <v/>
      </c>
      <c r="M557" s="19" t="str">
        <f>IF(Country_6!$C58="","",Country_6!M58)</f>
        <v/>
      </c>
      <c r="N557" s="16" t="str">
        <f>IF(Country_6!$C58="","",Country_6!N58)</f>
        <v/>
      </c>
      <c r="O557" s="16" t="str">
        <f>IF(Country_6!$C58="","",Country_6!O58)</f>
        <v/>
      </c>
      <c r="P557" s="16" t="str">
        <f>IF(Country_6!$C58="","",Country_6!P58)</f>
        <v/>
      </c>
      <c r="Q557" s="16" t="str">
        <f>IF(Country_6!$C58="","",Country_6!Q58)</f>
        <v/>
      </c>
    </row>
    <row r="558" spans="1:17" x14ac:dyDescent="0.25">
      <c r="A558" s="16" t="str">
        <f>IF(Country_6!$C59="","",Country_6!A59)</f>
        <v/>
      </c>
      <c r="B558" s="16" t="str">
        <f>IF(Country_6!$C59="","",Country_6!B59)</f>
        <v/>
      </c>
      <c r="C558" s="16" t="str">
        <f>IF(Country_6!$C59="","",Country_6!C59)</f>
        <v/>
      </c>
      <c r="D558" s="16" t="str">
        <f>IF(Country_6!$C59="","",Country_6!D59)</f>
        <v/>
      </c>
      <c r="E558" s="16" t="str">
        <f>IF(Country_6!$C59="","",Country_6!E59)</f>
        <v/>
      </c>
      <c r="F558" s="16" t="str">
        <f>IF(Country_6!$C59="","",Country_6!F59)</f>
        <v/>
      </c>
      <c r="G558" s="17" t="str">
        <f>IF(Country_6!$C59="","",Country_6!G59)</f>
        <v/>
      </c>
      <c r="H558" s="17" t="str">
        <f>IF(Country_6!$C59="","",Country_6!H59)</f>
        <v/>
      </c>
      <c r="I558" s="16" t="str">
        <f>IF(Country_6!$C59="","",Country_6!I59)</f>
        <v/>
      </c>
      <c r="J558" s="16" t="str">
        <f>IF(Country_6!$C59="","",Country_6!J59)</f>
        <v/>
      </c>
      <c r="K558" s="18" t="str">
        <f>IF(Country_6!$C59="","",Country_6!K59)</f>
        <v/>
      </c>
      <c r="L558" s="18" t="str">
        <f>IF(Country_6!$C59="","",Country_6!L59)</f>
        <v/>
      </c>
      <c r="M558" s="19" t="str">
        <f>IF(Country_6!$C59="","",Country_6!M59)</f>
        <v/>
      </c>
      <c r="N558" s="16" t="str">
        <f>IF(Country_6!$C59="","",Country_6!N59)</f>
        <v/>
      </c>
      <c r="O558" s="16" t="str">
        <f>IF(Country_6!$C59="","",Country_6!O59)</f>
        <v/>
      </c>
      <c r="P558" s="16" t="str">
        <f>IF(Country_6!$C59="","",Country_6!P59)</f>
        <v/>
      </c>
      <c r="Q558" s="16" t="str">
        <f>IF(Country_6!$C59="","",Country_6!Q59)</f>
        <v/>
      </c>
    </row>
    <row r="559" spans="1:17" x14ac:dyDescent="0.25">
      <c r="A559" s="16" t="str">
        <f>IF(Country_6!$C60="","",Country_6!A60)</f>
        <v/>
      </c>
      <c r="B559" s="16" t="str">
        <f>IF(Country_6!$C60="","",Country_6!B60)</f>
        <v/>
      </c>
      <c r="C559" s="16" t="str">
        <f>IF(Country_6!$C60="","",Country_6!C60)</f>
        <v/>
      </c>
      <c r="D559" s="16" t="str">
        <f>IF(Country_6!$C60="","",Country_6!D60)</f>
        <v/>
      </c>
      <c r="E559" s="16" t="str">
        <f>IF(Country_6!$C60="","",Country_6!E60)</f>
        <v/>
      </c>
      <c r="F559" s="16" t="str">
        <f>IF(Country_6!$C60="","",Country_6!F60)</f>
        <v/>
      </c>
      <c r="G559" s="17" t="str">
        <f>IF(Country_6!$C60="","",Country_6!G60)</f>
        <v/>
      </c>
      <c r="H559" s="17" t="str">
        <f>IF(Country_6!$C60="","",Country_6!H60)</f>
        <v/>
      </c>
      <c r="I559" s="16" t="str">
        <f>IF(Country_6!$C60="","",Country_6!I60)</f>
        <v/>
      </c>
      <c r="J559" s="16" t="str">
        <f>IF(Country_6!$C60="","",Country_6!J60)</f>
        <v/>
      </c>
      <c r="K559" s="18" t="str">
        <f>IF(Country_6!$C60="","",Country_6!K60)</f>
        <v/>
      </c>
      <c r="L559" s="18" t="str">
        <f>IF(Country_6!$C60="","",Country_6!L60)</f>
        <v/>
      </c>
      <c r="M559" s="19" t="str">
        <f>IF(Country_6!$C60="","",Country_6!M60)</f>
        <v/>
      </c>
      <c r="N559" s="16" t="str">
        <f>IF(Country_6!$C60="","",Country_6!N60)</f>
        <v/>
      </c>
      <c r="O559" s="16" t="str">
        <f>IF(Country_6!$C60="","",Country_6!O60)</f>
        <v/>
      </c>
      <c r="P559" s="16" t="str">
        <f>IF(Country_6!$C60="","",Country_6!P60)</f>
        <v/>
      </c>
      <c r="Q559" s="16" t="str">
        <f>IF(Country_6!$C60="","",Country_6!Q60)</f>
        <v/>
      </c>
    </row>
    <row r="560" spans="1:17" x14ac:dyDescent="0.25">
      <c r="A560" s="16" t="str">
        <f>IF(Country_6!$C61="","",Country_6!A61)</f>
        <v/>
      </c>
      <c r="B560" s="16" t="str">
        <f>IF(Country_6!$C61="","",Country_6!B61)</f>
        <v/>
      </c>
      <c r="C560" s="16" t="str">
        <f>IF(Country_6!$C61="","",Country_6!C61)</f>
        <v/>
      </c>
      <c r="D560" s="16" t="str">
        <f>IF(Country_6!$C61="","",Country_6!D61)</f>
        <v/>
      </c>
      <c r="E560" s="16" t="str">
        <f>IF(Country_6!$C61="","",Country_6!E61)</f>
        <v/>
      </c>
      <c r="F560" s="16" t="str">
        <f>IF(Country_6!$C61="","",Country_6!F61)</f>
        <v/>
      </c>
      <c r="G560" s="17" t="str">
        <f>IF(Country_6!$C61="","",Country_6!G61)</f>
        <v/>
      </c>
      <c r="H560" s="17" t="str">
        <f>IF(Country_6!$C61="","",Country_6!H61)</f>
        <v/>
      </c>
      <c r="I560" s="16" t="str">
        <f>IF(Country_6!$C61="","",Country_6!I61)</f>
        <v/>
      </c>
      <c r="J560" s="16" t="str">
        <f>IF(Country_6!$C61="","",Country_6!J61)</f>
        <v/>
      </c>
      <c r="K560" s="18" t="str">
        <f>IF(Country_6!$C61="","",Country_6!K61)</f>
        <v/>
      </c>
      <c r="L560" s="18" t="str">
        <f>IF(Country_6!$C61="","",Country_6!L61)</f>
        <v/>
      </c>
      <c r="M560" s="19" t="str">
        <f>IF(Country_6!$C61="","",Country_6!M61)</f>
        <v/>
      </c>
      <c r="N560" s="16" t="str">
        <f>IF(Country_6!$C61="","",Country_6!N61)</f>
        <v/>
      </c>
      <c r="O560" s="16" t="str">
        <f>IF(Country_6!$C61="","",Country_6!O61)</f>
        <v/>
      </c>
      <c r="P560" s="16" t="str">
        <f>IF(Country_6!$C61="","",Country_6!P61)</f>
        <v/>
      </c>
      <c r="Q560" s="16" t="str">
        <f>IF(Country_6!$C61="","",Country_6!Q61)</f>
        <v/>
      </c>
    </row>
    <row r="561" spans="1:17" x14ac:dyDescent="0.25">
      <c r="A561" s="16" t="str">
        <f>IF(Country_6!$C62="","",Country_6!A62)</f>
        <v/>
      </c>
      <c r="B561" s="16" t="str">
        <f>IF(Country_6!$C62="","",Country_6!B62)</f>
        <v/>
      </c>
      <c r="C561" s="16" t="str">
        <f>IF(Country_6!$C62="","",Country_6!C62)</f>
        <v/>
      </c>
      <c r="D561" s="16" t="str">
        <f>IF(Country_6!$C62="","",Country_6!D62)</f>
        <v/>
      </c>
      <c r="E561" s="16" t="str">
        <f>IF(Country_6!$C62="","",Country_6!E62)</f>
        <v/>
      </c>
      <c r="F561" s="16" t="str">
        <f>IF(Country_6!$C62="","",Country_6!F62)</f>
        <v/>
      </c>
      <c r="G561" s="17" t="str">
        <f>IF(Country_6!$C62="","",Country_6!G62)</f>
        <v/>
      </c>
      <c r="H561" s="17" t="str">
        <f>IF(Country_6!$C62="","",Country_6!H62)</f>
        <v/>
      </c>
      <c r="I561" s="16" t="str">
        <f>IF(Country_6!$C62="","",Country_6!I62)</f>
        <v/>
      </c>
      <c r="J561" s="16" t="str">
        <f>IF(Country_6!$C62="","",Country_6!J62)</f>
        <v/>
      </c>
      <c r="K561" s="18" t="str">
        <f>IF(Country_6!$C62="","",Country_6!K62)</f>
        <v/>
      </c>
      <c r="L561" s="18" t="str">
        <f>IF(Country_6!$C62="","",Country_6!L62)</f>
        <v/>
      </c>
      <c r="M561" s="19" t="str">
        <f>IF(Country_6!$C62="","",Country_6!M62)</f>
        <v/>
      </c>
      <c r="N561" s="16" t="str">
        <f>IF(Country_6!$C62="","",Country_6!N62)</f>
        <v/>
      </c>
      <c r="O561" s="16" t="str">
        <f>IF(Country_6!$C62="","",Country_6!O62)</f>
        <v/>
      </c>
      <c r="P561" s="16" t="str">
        <f>IF(Country_6!$C62="","",Country_6!P62)</f>
        <v/>
      </c>
      <c r="Q561" s="16" t="str">
        <f>IF(Country_6!$C62="","",Country_6!Q62)</f>
        <v/>
      </c>
    </row>
    <row r="562" spans="1:17" x14ac:dyDescent="0.25">
      <c r="A562" s="16" t="str">
        <f>IF(Country_6!$C63="","",Country_6!A63)</f>
        <v/>
      </c>
      <c r="B562" s="16" t="str">
        <f>IF(Country_6!$C63="","",Country_6!B63)</f>
        <v/>
      </c>
      <c r="C562" s="16" t="str">
        <f>IF(Country_6!$C63="","",Country_6!C63)</f>
        <v/>
      </c>
      <c r="D562" s="16" t="str">
        <f>IF(Country_6!$C63="","",Country_6!D63)</f>
        <v/>
      </c>
      <c r="E562" s="16" t="str">
        <f>IF(Country_6!$C63="","",Country_6!E63)</f>
        <v/>
      </c>
      <c r="F562" s="16" t="str">
        <f>IF(Country_6!$C63="","",Country_6!F63)</f>
        <v/>
      </c>
      <c r="G562" s="17" t="str">
        <f>IF(Country_6!$C63="","",Country_6!G63)</f>
        <v/>
      </c>
      <c r="H562" s="17" t="str">
        <f>IF(Country_6!$C63="","",Country_6!H63)</f>
        <v/>
      </c>
      <c r="I562" s="16" t="str">
        <f>IF(Country_6!$C63="","",Country_6!I63)</f>
        <v/>
      </c>
      <c r="J562" s="16" t="str">
        <f>IF(Country_6!$C63="","",Country_6!J63)</f>
        <v/>
      </c>
      <c r="K562" s="18" t="str">
        <f>IF(Country_6!$C63="","",Country_6!K63)</f>
        <v/>
      </c>
      <c r="L562" s="18" t="str">
        <f>IF(Country_6!$C63="","",Country_6!L63)</f>
        <v/>
      </c>
      <c r="M562" s="19" t="str">
        <f>IF(Country_6!$C63="","",Country_6!M63)</f>
        <v/>
      </c>
      <c r="N562" s="16" t="str">
        <f>IF(Country_6!$C63="","",Country_6!N63)</f>
        <v/>
      </c>
      <c r="O562" s="16" t="str">
        <f>IF(Country_6!$C63="","",Country_6!O63)</f>
        <v/>
      </c>
      <c r="P562" s="16" t="str">
        <f>IF(Country_6!$C63="","",Country_6!P63)</f>
        <v/>
      </c>
      <c r="Q562" s="16" t="str">
        <f>IF(Country_6!$C63="","",Country_6!Q63)</f>
        <v/>
      </c>
    </row>
    <row r="563" spans="1:17" x14ac:dyDescent="0.25">
      <c r="A563" s="16" t="str">
        <f>IF(Country_6!$C64="","",Country_6!A64)</f>
        <v/>
      </c>
      <c r="B563" s="16" t="str">
        <f>IF(Country_6!$C64="","",Country_6!B64)</f>
        <v/>
      </c>
      <c r="C563" s="16" t="str">
        <f>IF(Country_6!$C64="","",Country_6!C64)</f>
        <v/>
      </c>
      <c r="D563" s="16" t="str">
        <f>IF(Country_6!$C64="","",Country_6!D64)</f>
        <v/>
      </c>
      <c r="E563" s="16" t="str">
        <f>IF(Country_6!$C64="","",Country_6!E64)</f>
        <v/>
      </c>
      <c r="F563" s="16" t="str">
        <f>IF(Country_6!$C64="","",Country_6!F64)</f>
        <v/>
      </c>
      <c r="G563" s="17" t="str">
        <f>IF(Country_6!$C64="","",Country_6!G64)</f>
        <v/>
      </c>
      <c r="H563" s="17" t="str">
        <f>IF(Country_6!$C64="","",Country_6!H64)</f>
        <v/>
      </c>
      <c r="I563" s="16" t="str">
        <f>IF(Country_6!$C64="","",Country_6!I64)</f>
        <v/>
      </c>
      <c r="J563" s="16" t="str">
        <f>IF(Country_6!$C64="","",Country_6!J64)</f>
        <v/>
      </c>
      <c r="K563" s="18" t="str">
        <f>IF(Country_6!$C64="","",Country_6!K64)</f>
        <v/>
      </c>
      <c r="L563" s="18" t="str">
        <f>IF(Country_6!$C64="","",Country_6!L64)</f>
        <v/>
      </c>
      <c r="M563" s="19" t="str">
        <f>IF(Country_6!$C64="","",Country_6!M64)</f>
        <v/>
      </c>
      <c r="N563" s="16" t="str">
        <f>IF(Country_6!$C64="","",Country_6!N64)</f>
        <v/>
      </c>
      <c r="O563" s="16" t="str">
        <f>IF(Country_6!$C64="","",Country_6!O64)</f>
        <v/>
      </c>
      <c r="P563" s="16" t="str">
        <f>IF(Country_6!$C64="","",Country_6!P64)</f>
        <v/>
      </c>
      <c r="Q563" s="16" t="str">
        <f>IF(Country_6!$C64="","",Country_6!Q64)</f>
        <v/>
      </c>
    </row>
    <row r="564" spans="1:17" x14ac:dyDescent="0.25">
      <c r="A564" s="16" t="str">
        <f>IF(Country_6!$C65="","",Country_6!A65)</f>
        <v/>
      </c>
      <c r="B564" s="16" t="str">
        <f>IF(Country_6!$C65="","",Country_6!B65)</f>
        <v/>
      </c>
      <c r="C564" s="16" t="str">
        <f>IF(Country_6!$C65="","",Country_6!C65)</f>
        <v/>
      </c>
      <c r="D564" s="16" t="str">
        <f>IF(Country_6!$C65="","",Country_6!D65)</f>
        <v/>
      </c>
      <c r="E564" s="16" t="str">
        <f>IF(Country_6!$C65="","",Country_6!E65)</f>
        <v/>
      </c>
      <c r="F564" s="16" t="str">
        <f>IF(Country_6!$C65="","",Country_6!F65)</f>
        <v/>
      </c>
      <c r="G564" s="17" t="str">
        <f>IF(Country_6!$C65="","",Country_6!G65)</f>
        <v/>
      </c>
      <c r="H564" s="17" t="str">
        <f>IF(Country_6!$C65="","",Country_6!H65)</f>
        <v/>
      </c>
      <c r="I564" s="16" t="str">
        <f>IF(Country_6!$C65="","",Country_6!I65)</f>
        <v/>
      </c>
      <c r="J564" s="16" t="str">
        <f>IF(Country_6!$C65="","",Country_6!J65)</f>
        <v/>
      </c>
      <c r="K564" s="18" t="str">
        <f>IF(Country_6!$C65="","",Country_6!K65)</f>
        <v/>
      </c>
      <c r="L564" s="18" t="str">
        <f>IF(Country_6!$C65="","",Country_6!L65)</f>
        <v/>
      </c>
      <c r="M564" s="19" t="str">
        <f>IF(Country_6!$C65="","",Country_6!M65)</f>
        <v/>
      </c>
      <c r="N564" s="16" t="str">
        <f>IF(Country_6!$C65="","",Country_6!N65)</f>
        <v/>
      </c>
      <c r="O564" s="16" t="str">
        <f>IF(Country_6!$C65="","",Country_6!O65)</f>
        <v/>
      </c>
      <c r="P564" s="16" t="str">
        <f>IF(Country_6!$C65="","",Country_6!P65)</f>
        <v/>
      </c>
      <c r="Q564" s="16" t="str">
        <f>IF(Country_6!$C65="","",Country_6!Q65)</f>
        <v/>
      </c>
    </row>
    <row r="565" spans="1:17" x14ac:dyDescent="0.25">
      <c r="A565" s="16" t="str">
        <f>IF(Country_6!$C66="","",Country_6!A66)</f>
        <v/>
      </c>
      <c r="B565" s="16" t="str">
        <f>IF(Country_6!$C66="","",Country_6!B66)</f>
        <v/>
      </c>
      <c r="C565" s="16" t="str">
        <f>IF(Country_6!$C66="","",Country_6!C66)</f>
        <v/>
      </c>
      <c r="D565" s="16" t="str">
        <f>IF(Country_6!$C66="","",Country_6!D66)</f>
        <v/>
      </c>
      <c r="E565" s="16" t="str">
        <f>IF(Country_6!$C66="","",Country_6!E66)</f>
        <v/>
      </c>
      <c r="F565" s="16" t="str">
        <f>IF(Country_6!$C66="","",Country_6!F66)</f>
        <v/>
      </c>
      <c r="G565" s="17" t="str">
        <f>IF(Country_6!$C66="","",Country_6!G66)</f>
        <v/>
      </c>
      <c r="H565" s="17" t="str">
        <f>IF(Country_6!$C66="","",Country_6!H66)</f>
        <v/>
      </c>
      <c r="I565" s="16" t="str">
        <f>IF(Country_6!$C66="","",Country_6!I66)</f>
        <v/>
      </c>
      <c r="J565" s="16" t="str">
        <f>IF(Country_6!$C66="","",Country_6!J66)</f>
        <v/>
      </c>
      <c r="K565" s="18" t="str">
        <f>IF(Country_6!$C66="","",Country_6!K66)</f>
        <v/>
      </c>
      <c r="L565" s="18" t="str">
        <f>IF(Country_6!$C66="","",Country_6!L66)</f>
        <v/>
      </c>
      <c r="M565" s="19" t="str">
        <f>IF(Country_6!$C66="","",Country_6!M66)</f>
        <v/>
      </c>
      <c r="N565" s="16" t="str">
        <f>IF(Country_6!$C66="","",Country_6!N66)</f>
        <v/>
      </c>
      <c r="O565" s="16" t="str">
        <f>IF(Country_6!$C66="","",Country_6!O66)</f>
        <v/>
      </c>
      <c r="P565" s="16" t="str">
        <f>IF(Country_6!$C66="","",Country_6!P66)</f>
        <v/>
      </c>
      <c r="Q565" s="16" t="str">
        <f>IF(Country_6!$C66="","",Country_6!Q66)</f>
        <v/>
      </c>
    </row>
    <row r="566" spans="1:17" x14ac:dyDescent="0.25">
      <c r="A566" s="16" t="str">
        <f>IF(Country_6!$C67="","",Country_6!A67)</f>
        <v/>
      </c>
      <c r="B566" s="16" t="str">
        <f>IF(Country_6!$C67="","",Country_6!B67)</f>
        <v/>
      </c>
      <c r="C566" s="16" t="str">
        <f>IF(Country_6!$C67="","",Country_6!C67)</f>
        <v/>
      </c>
      <c r="D566" s="16" t="str">
        <f>IF(Country_6!$C67="","",Country_6!D67)</f>
        <v/>
      </c>
      <c r="E566" s="16" t="str">
        <f>IF(Country_6!$C67="","",Country_6!E67)</f>
        <v/>
      </c>
      <c r="F566" s="16" t="str">
        <f>IF(Country_6!$C67="","",Country_6!F67)</f>
        <v/>
      </c>
      <c r="G566" s="17" t="str">
        <f>IF(Country_6!$C67="","",Country_6!G67)</f>
        <v/>
      </c>
      <c r="H566" s="17" t="str">
        <f>IF(Country_6!$C67="","",Country_6!H67)</f>
        <v/>
      </c>
      <c r="I566" s="16" t="str">
        <f>IF(Country_6!$C67="","",Country_6!I67)</f>
        <v/>
      </c>
      <c r="J566" s="16" t="str">
        <f>IF(Country_6!$C67="","",Country_6!J67)</f>
        <v/>
      </c>
      <c r="K566" s="18" t="str">
        <f>IF(Country_6!$C67="","",Country_6!K67)</f>
        <v/>
      </c>
      <c r="L566" s="18" t="str">
        <f>IF(Country_6!$C67="","",Country_6!L67)</f>
        <v/>
      </c>
      <c r="M566" s="19" t="str">
        <f>IF(Country_6!$C67="","",Country_6!M67)</f>
        <v/>
      </c>
      <c r="N566" s="16" t="str">
        <f>IF(Country_6!$C67="","",Country_6!N67)</f>
        <v/>
      </c>
      <c r="O566" s="16" t="str">
        <f>IF(Country_6!$C67="","",Country_6!O67)</f>
        <v/>
      </c>
      <c r="P566" s="16" t="str">
        <f>IF(Country_6!$C67="","",Country_6!P67)</f>
        <v/>
      </c>
      <c r="Q566" s="16" t="str">
        <f>IF(Country_6!$C67="","",Country_6!Q67)</f>
        <v/>
      </c>
    </row>
    <row r="567" spans="1:17" x14ac:dyDescent="0.25">
      <c r="A567" s="16" t="str">
        <f>IF(Country_6!$C68="","",Country_6!A68)</f>
        <v/>
      </c>
      <c r="B567" s="16" t="str">
        <f>IF(Country_6!$C68="","",Country_6!B68)</f>
        <v/>
      </c>
      <c r="C567" s="16" t="str">
        <f>IF(Country_6!$C68="","",Country_6!C68)</f>
        <v/>
      </c>
      <c r="D567" s="16" t="str">
        <f>IF(Country_6!$C68="","",Country_6!D68)</f>
        <v/>
      </c>
      <c r="E567" s="16" t="str">
        <f>IF(Country_6!$C68="","",Country_6!E68)</f>
        <v/>
      </c>
      <c r="F567" s="16" t="str">
        <f>IF(Country_6!$C68="","",Country_6!F68)</f>
        <v/>
      </c>
      <c r="G567" s="17" t="str">
        <f>IF(Country_6!$C68="","",Country_6!G68)</f>
        <v/>
      </c>
      <c r="H567" s="17" t="str">
        <f>IF(Country_6!$C68="","",Country_6!H68)</f>
        <v/>
      </c>
      <c r="I567" s="16" t="str">
        <f>IF(Country_6!$C68="","",Country_6!I68)</f>
        <v/>
      </c>
      <c r="J567" s="16" t="str">
        <f>IF(Country_6!$C68="","",Country_6!J68)</f>
        <v/>
      </c>
      <c r="K567" s="18" t="str">
        <f>IF(Country_6!$C68="","",Country_6!K68)</f>
        <v/>
      </c>
      <c r="L567" s="18" t="str">
        <f>IF(Country_6!$C68="","",Country_6!L68)</f>
        <v/>
      </c>
      <c r="M567" s="19" t="str">
        <f>IF(Country_6!$C68="","",Country_6!M68)</f>
        <v/>
      </c>
      <c r="N567" s="16" t="str">
        <f>IF(Country_6!$C68="","",Country_6!N68)</f>
        <v/>
      </c>
      <c r="O567" s="16" t="str">
        <f>IF(Country_6!$C68="","",Country_6!O68)</f>
        <v/>
      </c>
      <c r="P567" s="16" t="str">
        <f>IF(Country_6!$C68="","",Country_6!P68)</f>
        <v/>
      </c>
      <c r="Q567" s="16" t="str">
        <f>IF(Country_6!$C68="","",Country_6!Q68)</f>
        <v/>
      </c>
    </row>
    <row r="568" spans="1:17" x14ac:dyDescent="0.25">
      <c r="A568" s="16" t="str">
        <f>IF(Country_6!$C69="","",Country_6!A69)</f>
        <v/>
      </c>
      <c r="B568" s="16" t="str">
        <f>IF(Country_6!$C69="","",Country_6!B69)</f>
        <v/>
      </c>
      <c r="C568" s="16" t="str">
        <f>IF(Country_6!$C69="","",Country_6!C69)</f>
        <v/>
      </c>
      <c r="D568" s="16" t="str">
        <f>IF(Country_6!$C69="","",Country_6!D69)</f>
        <v/>
      </c>
      <c r="E568" s="16" t="str">
        <f>IF(Country_6!$C69="","",Country_6!E69)</f>
        <v/>
      </c>
      <c r="F568" s="16" t="str">
        <f>IF(Country_6!$C69="","",Country_6!F69)</f>
        <v/>
      </c>
      <c r="G568" s="17" t="str">
        <f>IF(Country_6!$C69="","",Country_6!G69)</f>
        <v/>
      </c>
      <c r="H568" s="17" t="str">
        <f>IF(Country_6!$C69="","",Country_6!H69)</f>
        <v/>
      </c>
      <c r="I568" s="16" t="str">
        <f>IF(Country_6!$C69="","",Country_6!I69)</f>
        <v/>
      </c>
      <c r="J568" s="16" t="str">
        <f>IF(Country_6!$C69="","",Country_6!J69)</f>
        <v/>
      </c>
      <c r="K568" s="18" t="str">
        <f>IF(Country_6!$C69="","",Country_6!K69)</f>
        <v/>
      </c>
      <c r="L568" s="18" t="str">
        <f>IF(Country_6!$C69="","",Country_6!L69)</f>
        <v/>
      </c>
      <c r="M568" s="19" t="str">
        <f>IF(Country_6!$C69="","",Country_6!M69)</f>
        <v/>
      </c>
      <c r="N568" s="16" t="str">
        <f>IF(Country_6!$C69="","",Country_6!N69)</f>
        <v/>
      </c>
      <c r="O568" s="16" t="str">
        <f>IF(Country_6!$C69="","",Country_6!O69)</f>
        <v/>
      </c>
      <c r="P568" s="16" t="str">
        <f>IF(Country_6!$C69="","",Country_6!P69)</f>
        <v/>
      </c>
      <c r="Q568" s="16" t="str">
        <f>IF(Country_6!$C69="","",Country_6!Q69)</f>
        <v/>
      </c>
    </row>
    <row r="569" spans="1:17" x14ac:dyDescent="0.25">
      <c r="A569" s="16" t="str">
        <f>IF(Country_6!$C70="","",Country_6!A70)</f>
        <v/>
      </c>
      <c r="B569" s="16" t="str">
        <f>IF(Country_6!$C70="","",Country_6!B70)</f>
        <v/>
      </c>
      <c r="C569" s="16" t="str">
        <f>IF(Country_6!$C70="","",Country_6!C70)</f>
        <v/>
      </c>
      <c r="D569" s="16" t="str">
        <f>IF(Country_6!$C70="","",Country_6!D70)</f>
        <v/>
      </c>
      <c r="E569" s="16" t="str">
        <f>IF(Country_6!$C70="","",Country_6!E70)</f>
        <v/>
      </c>
      <c r="F569" s="16" t="str">
        <f>IF(Country_6!$C70="","",Country_6!F70)</f>
        <v/>
      </c>
      <c r="G569" s="17" t="str">
        <f>IF(Country_6!$C70="","",Country_6!G70)</f>
        <v/>
      </c>
      <c r="H569" s="17" t="str">
        <f>IF(Country_6!$C70="","",Country_6!H70)</f>
        <v/>
      </c>
      <c r="I569" s="16" t="str">
        <f>IF(Country_6!$C70="","",Country_6!I70)</f>
        <v/>
      </c>
      <c r="J569" s="16" t="str">
        <f>IF(Country_6!$C70="","",Country_6!J70)</f>
        <v/>
      </c>
      <c r="K569" s="18" t="str">
        <f>IF(Country_6!$C70="","",Country_6!K70)</f>
        <v/>
      </c>
      <c r="L569" s="18" t="str">
        <f>IF(Country_6!$C70="","",Country_6!L70)</f>
        <v/>
      </c>
      <c r="M569" s="19" t="str">
        <f>IF(Country_6!$C70="","",Country_6!M70)</f>
        <v/>
      </c>
      <c r="N569" s="16" t="str">
        <f>IF(Country_6!$C70="","",Country_6!N70)</f>
        <v/>
      </c>
      <c r="O569" s="16" t="str">
        <f>IF(Country_6!$C70="","",Country_6!O70)</f>
        <v/>
      </c>
      <c r="P569" s="16" t="str">
        <f>IF(Country_6!$C70="","",Country_6!P70)</f>
        <v/>
      </c>
      <c r="Q569" s="16" t="str">
        <f>IF(Country_6!$C70="","",Country_6!Q70)</f>
        <v/>
      </c>
    </row>
    <row r="570" spans="1:17" x14ac:dyDescent="0.25">
      <c r="A570" s="16" t="str">
        <f>IF(Country_6!$C71="","",Country_6!A71)</f>
        <v/>
      </c>
      <c r="B570" s="16" t="str">
        <f>IF(Country_6!$C71="","",Country_6!B71)</f>
        <v/>
      </c>
      <c r="C570" s="16" t="str">
        <f>IF(Country_6!$C71="","",Country_6!C71)</f>
        <v/>
      </c>
      <c r="D570" s="16" t="str">
        <f>IF(Country_6!$C71="","",Country_6!D71)</f>
        <v/>
      </c>
      <c r="E570" s="16" t="str">
        <f>IF(Country_6!$C71="","",Country_6!E71)</f>
        <v/>
      </c>
      <c r="F570" s="16" t="str">
        <f>IF(Country_6!$C71="","",Country_6!F71)</f>
        <v/>
      </c>
      <c r="G570" s="17" t="str">
        <f>IF(Country_6!$C71="","",Country_6!G71)</f>
        <v/>
      </c>
      <c r="H570" s="17" t="str">
        <f>IF(Country_6!$C71="","",Country_6!H71)</f>
        <v/>
      </c>
      <c r="I570" s="16" t="str">
        <f>IF(Country_6!$C71="","",Country_6!I71)</f>
        <v/>
      </c>
      <c r="J570" s="16" t="str">
        <f>IF(Country_6!$C71="","",Country_6!J71)</f>
        <v/>
      </c>
      <c r="K570" s="18" t="str">
        <f>IF(Country_6!$C71="","",Country_6!K71)</f>
        <v/>
      </c>
      <c r="L570" s="18" t="str">
        <f>IF(Country_6!$C71="","",Country_6!L71)</f>
        <v/>
      </c>
      <c r="M570" s="19" t="str">
        <f>IF(Country_6!$C71="","",Country_6!M71)</f>
        <v/>
      </c>
      <c r="N570" s="16" t="str">
        <f>IF(Country_6!$C71="","",Country_6!N71)</f>
        <v/>
      </c>
      <c r="O570" s="16" t="str">
        <f>IF(Country_6!$C71="","",Country_6!O71)</f>
        <v/>
      </c>
      <c r="P570" s="16" t="str">
        <f>IF(Country_6!$C71="","",Country_6!P71)</f>
        <v/>
      </c>
      <c r="Q570" s="16" t="str">
        <f>IF(Country_6!$C71="","",Country_6!Q71)</f>
        <v/>
      </c>
    </row>
    <row r="571" spans="1:17" x14ac:dyDescent="0.25">
      <c r="A571" s="16" t="str">
        <f>IF(Country_6!$C72="","",Country_6!A72)</f>
        <v/>
      </c>
      <c r="B571" s="16" t="str">
        <f>IF(Country_6!$C72="","",Country_6!B72)</f>
        <v/>
      </c>
      <c r="C571" s="16" t="str">
        <f>IF(Country_6!$C72="","",Country_6!C72)</f>
        <v/>
      </c>
      <c r="D571" s="16" t="str">
        <f>IF(Country_6!$C72="","",Country_6!D72)</f>
        <v/>
      </c>
      <c r="E571" s="16" t="str">
        <f>IF(Country_6!$C72="","",Country_6!E72)</f>
        <v/>
      </c>
      <c r="F571" s="16" t="str">
        <f>IF(Country_6!$C72="","",Country_6!F72)</f>
        <v/>
      </c>
      <c r="G571" s="17" t="str">
        <f>IF(Country_6!$C72="","",Country_6!G72)</f>
        <v/>
      </c>
      <c r="H571" s="17" t="str">
        <f>IF(Country_6!$C72="","",Country_6!H72)</f>
        <v/>
      </c>
      <c r="I571" s="16" t="str">
        <f>IF(Country_6!$C72="","",Country_6!I72)</f>
        <v/>
      </c>
      <c r="J571" s="16" t="str">
        <f>IF(Country_6!$C72="","",Country_6!J72)</f>
        <v/>
      </c>
      <c r="K571" s="18" t="str">
        <f>IF(Country_6!$C72="","",Country_6!K72)</f>
        <v/>
      </c>
      <c r="L571" s="18" t="str">
        <f>IF(Country_6!$C72="","",Country_6!L72)</f>
        <v/>
      </c>
      <c r="M571" s="19" t="str">
        <f>IF(Country_6!$C72="","",Country_6!M72)</f>
        <v/>
      </c>
      <c r="N571" s="16" t="str">
        <f>IF(Country_6!$C72="","",Country_6!N72)</f>
        <v/>
      </c>
      <c r="O571" s="16" t="str">
        <f>IF(Country_6!$C72="","",Country_6!O72)</f>
        <v/>
      </c>
      <c r="P571" s="16" t="str">
        <f>IF(Country_6!$C72="","",Country_6!P72)</f>
        <v/>
      </c>
      <c r="Q571" s="16" t="str">
        <f>IF(Country_6!$C72="","",Country_6!Q72)</f>
        <v/>
      </c>
    </row>
    <row r="572" spans="1:17" x14ac:dyDescent="0.25">
      <c r="A572" s="16" t="str">
        <f>IF(Country_6!$C73="","",Country_6!A73)</f>
        <v/>
      </c>
      <c r="B572" s="16" t="str">
        <f>IF(Country_6!$C73="","",Country_6!B73)</f>
        <v/>
      </c>
      <c r="C572" s="16" t="str">
        <f>IF(Country_6!$C73="","",Country_6!C73)</f>
        <v/>
      </c>
      <c r="D572" s="16" t="str">
        <f>IF(Country_6!$C73="","",Country_6!D73)</f>
        <v/>
      </c>
      <c r="E572" s="16" t="str">
        <f>IF(Country_6!$C73="","",Country_6!E73)</f>
        <v/>
      </c>
      <c r="F572" s="16" t="str">
        <f>IF(Country_6!$C73="","",Country_6!F73)</f>
        <v/>
      </c>
      <c r="G572" s="17" t="str">
        <f>IF(Country_6!$C73="","",Country_6!G73)</f>
        <v/>
      </c>
      <c r="H572" s="17" t="str">
        <f>IF(Country_6!$C73="","",Country_6!H73)</f>
        <v/>
      </c>
      <c r="I572" s="16" t="str">
        <f>IF(Country_6!$C73="","",Country_6!I73)</f>
        <v/>
      </c>
      <c r="J572" s="16" t="str">
        <f>IF(Country_6!$C73="","",Country_6!J73)</f>
        <v/>
      </c>
      <c r="K572" s="18" t="str">
        <f>IF(Country_6!$C73="","",Country_6!K73)</f>
        <v/>
      </c>
      <c r="L572" s="18" t="str">
        <f>IF(Country_6!$C73="","",Country_6!L73)</f>
        <v/>
      </c>
      <c r="M572" s="19" t="str">
        <f>IF(Country_6!$C73="","",Country_6!M73)</f>
        <v/>
      </c>
      <c r="N572" s="16" t="str">
        <f>IF(Country_6!$C73="","",Country_6!N73)</f>
        <v/>
      </c>
      <c r="O572" s="16" t="str">
        <f>IF(Country_6!$C73="","",Country_6!O73)</f>
        <v/>
      </c>
      <c r="P572" s="16" t="str">
        <f>IF(Country_6!$C73="","",Country_6!P73)</f>
        <v/>
      </c>
      <c r="Q572" s="16" t="str">
        <f>IF(Country_6!$C73="","",Country_6!Q73)</f>
        <v/>
      </c>
    </row>
    <row r="573" spans="1:17" x14ac:dyDescent="0.25">
      <c r="A573" s="16" t="str">
        <f>IF(Country_6!$C74="","",Country_6!A74)</f>
        <v/>
      </c>
      <c r="B573" s="16" t="str">
        <f>IF(Country_6!$C74="","",Country_6!B74)</f>
        <v/>
      </c>
      <c r="C573" s="16" t="str">
        <f>IF(Country_6!$C74="","",Country_6!C74)</f>
        <v/>
      </c>
      <c r="D573" s="16" t="str">
        <f>IF(Country_6!$C74="","",Country_6!D74)</f>
        <v/>
      </c>
      <c r="E573" s="16" t="str">
        <f>IF(Country_6!$C74="","",Country_6!E74)</f>
        <v/>
      </c>
      <c r="F573" s="16" t="str">
        <f>IF(Country_6!$C74="","",Country_6!F74)</f>
        <v/>
      </c>
      <c r="G573" s="17" t="str">
        <f>IF(Country_6!$C74="","",Country_6!G74)</f>
        <v/>
      </c>
      <c r="H573" s="17" t="str">
        <f>IF(Country_6!$C74="","",Country_6!H74)</f>
        <v/>
      </c>
      <c r="I573" s="16" t="str">
        <f>IF(Country_6!$C74="","",Country_6!I74)</f>
        <v/>
      </c>
      <c r="J573" s="16" t="str">
        <f>IF(Country_6!$C74="","",Country_6!J74)</f>
        <v/>
      </c>
      <c r="K573" s="18" t="str">
        <f>IF(Country_6!$C74="","",Country_6!K74)</f>
        <v/>
      </c>
      <c r="L573" s="18" t="str">
        <f>IF(Country_6!$C74="","",Country_6!L74)</f>
        <v/>
      </c>
      <c r="M573" s="19" t="str">
        <f>IF(Country_6!$C74="","",Country_6!M74)</f>
        <v/>
      </c>
      <c r="N573" s="16" t="str">
        <f>IF(Country_6!$C74="","",Country_6!N74)</f>
        <v/>
      </c>
      <c r="O573" s="16" t="str">
        <f>IF(Country_6!$C74="","",Country_6!O74)</f>
        <v/>
      </c>
      <c r="P573" s="16" t="str">
        <f>IF(Country_6!$C74="","",Country_6!P74)</f>
        <v/>
      </c>
      <c r="Q573" s="16" t="str">
        <f>IF(Country_6!$C74="","",Country_6!Q74)</f>
        <v/>
      </c>
    </row>
    <row r="574" spans="1:17" x14ac:dyDescent="0.25">
      <c r="A574" s="16" t="str">
        <f>IF(Country_6!$C75="","",Country_6!A75)</f>
        <v/>
      </c>
      <c r="B574" s="16" t="str">
        <f>IF(Country_6!$C75="","",Country_6!B75)</f>
        <v/>
      </c>
      <c r="C574" s="16" t="str">
        <f>IF(Country_6!$C75="","",Country_6!C75)</f>
        <v/>
      </c>
      <c r="D574" s="16" t="str">
        <f>IF(Country_6!$C75="","",Country_6!D75)</f>
        <v/>
      </c>
      <c r="E574" s="16" t="str">
        <f>IF(Country_6!$C75="","",Country_6!E75)</f>
        <v/>
      </c>
      <c r="F574" s="16" t="str">
        <f>IF(Country_6!$C75="","",Country_6!F75)</f>
        <v/>
      </c>
      <c r="G574" s="17" t="str">
        <f>IF(Country_6!$C75="","",Country_6!G75)</f>
        <v/>
      </c>
      <c r="H574" s="17" t="str">
        <f>IF(Country_6!$C75="","",Country_6!H75)</f>
        <v/>
      </c>
      <c r="I574" s="16" t="str">
        <f>IF(Country_6!$C75="","",Country_6!I75)</f>
        <v/>
      </c>
      <c r="J574" s="16" t="str">
        <f>IF(Country_6!$C75="","",Country_6!J75)</f>
        <v/>
      </c>
      <c r="K574" s="18" t="str">
        <f>IF(Country_6!$C75="","",Country_6!K75)</f>
        <v/>
      </c>
      <c r="L574" s="18" t="str">
        <f>IF(Country_6!$C75="","",Country_6!L75)</f>
        <v/>
      </c>
      <c r="M574" s="19" t="str">
        <f>IF(Country_6!$C75="","",Country_6!M75)</f>
        <v/>
      </c>
      <c r="N574" s="16" t="str">
        <f>IF(Country_6!$C75="","",Country_6!N75)</f>
        <v/>
      </c>
      <c r="O574" s="16" t="str">
        <f>IF(Country_6!$C75="","",Country_6!O75)</f>
        <v/>
      </c>
      <c r="P574" s="16" t="str">
        <f>IF(Country_6!$C75="","",Country_6!P75)</f>
        <v/>
      </c>
      <c r="Q574" s="16" t="str">
        <f>IF(Country_6!$C75="","",Country_6!Q75)</f>
        <v/>
      </c>
    </row>
    <row r="575" spans="1:17" x14ac:dyDescent="0.25">
      <c r="A575" s="16" t="str">
        <f>IF(Country_6!$C76="","",Country_6!A76)</f>
        <v/>
      </c>
      <c r="B575" s="16" t="str">
        <f>IF(Country_6!$C76="","",Country_6!B76)</f>
        <v/>
      </c>
      <c r="C575" s="16" t="str">
        <f>IF(Country_6!$C76="","",Country_6!C76)</f>
        <v/>
      </c>
      <c r="D575" s="16" t="str">
        <f>IF(Country_6!$C76="","",Country_6!D76)</f>
        <v/>
      </c>
      <c r="E575" s="16" t="str">
        <f>IF(Country_6!$C76="","",Country_6!E76)</f>
        <v/>
      </c>
      <c r="F575" s="16" t="str">
        <f>IF(Country_6!$C76="","",Country_6!F76)</f>
        <v/>
      </c>
      <c r="G575" s="17" t="str">
        <f>IF(Country_6!$C76="","",Country_6!G76)</f>
        <v/>
      </c>
      <c r="H575" s="17" t="str">
        <f>IF(Country_6!$C76="","",Country_6!H76)</f>
        <v/>
      </c>
      <c r="I575" s="16" t="str">
        <f>IF(Country_6!$C76="","",Country_6!I76)</f>
        <v/>
      </c>
      <c r="J575" s="16" t="str">
        <f>IF(Country_6!$C76="","",Country_6!J76)</f>
        <v/>
      </c>
      <c r="K575" s="18" t="str">
        <f>IF(Country_6!$C76="","",Country_6!K76)</f>
        <v/>
      </c>
      <c r="L575" s="18" t="str">
        <f>IF(Country_6!$C76="","",Country_6!L76)</f>
        <v/>
      </c>
      <c r="M575" s="19" t="str">
        <f>IF(Country_6!$C76="","",Country_6!M76)</f>
        <v/>
      </c>
      <c r="N575" s="16" t="str">
        <f>IF(Country_6!$C76="","",Country_6!N76)</f>
        <v/>
      </c>
      <c r="O575" s="16" t="str">
        <f>IF(Country_6!$C76="","",Country_6!O76)</f>
        <v/>
      </c>
      <c r="P575" s="16" t="str">
        <f>IF(Country_6!$C76="","",Country_6!P76)</f>
        <v/>
      </c>
      <c r="Q575" s="16" t="str">
        <f>IF(Country_6!$C76="","",Country_6!Q76)</f>
        <v/>
      </c>
    </row>
    <row r="576" spans="1:17" x14ac:dyDescent="0.25">
      <c r="A576" s="16" t="str">
        <f>IF(Country_6!$C77="","",Country_6!A77)</f>
        <v/>
      </c>
      <c r="B576" s="16" t="str">
        <f>IF(Country_6!$C77="","",Country_6!B77)</f>
        <v/>
      </c>
      <c r="C576" s="16" t="str">
        <f>IF(Country_6!$C77="","",Country_6!C77)</f>
        <v/>
      </c>
      <c r="D576" s="16" t="str">
        <f>IF(Country_6!$C77="","",Country_6!D77)</f>
        <v/>
      </c>
      <c r="E576" s="16" t="str">
        <f>IF(Country_6!$C77="","",Country_6!E77)</f>
        <v/>
      </c>
      <c r="F576" s="16" t="str">
        <f>IF(Country_6!$C77="","",Country_6!F77)</f>
        <v/>
      </c>
      <c r="G576" s="17" t="str">
        <f>IF(Country_6!$C77="","",Country_6!G77)</f>
        <v/>
      </c>
      <c r="H576" s="17" t="str">
        <f>IF(Country_6!$C77="","",Country_6!H77)</f>
        <v/>
      </c>
      <c r="I576" s="16" t="str">
        <f>IF(Country_6!$C77="","",Country_6!I77)</f>
        <v/>
      </c>
      <c r="J576" s="16" t="str">
        <f>IF(Country_6!$C77="","",Country_6!J77)</f>
        <v/>
      </c>
      <c r="K576" s="18" t="str">
        <f>IF(Country_6!$C77="","",Country_6!K77)</f>
        <v/>
      </c>
      <c r="L576" s="18" t="str">
        <f>IF(Country_6!$C77="","",Country_6!L77)</f>
        <v/>
      </c>
      <c r="M576" s="19" t="str">
        <f>IF(Country_6!$C77="","",Country_6!M77)</f>
        <v/>
      </c>
      <c r="N576" s="16" t="str">
        <f>IF(Country_6!$C77="","",Country_6!N77)</f>
        <v/>
      </c>
      <c r="O576" s="16" t="str">
        <f>IF(Country_6!$C77="","",Country_6!O77)</f>
        <v/>
      </c>
      <c r="P576" s="16" t="str">
        <f>IF(Country_6!$C77="","",Country_6!P77)</f>
        <v/>
      </c>
      <c r="Q576" s="16" t="str">
        <f>IF(Country_6!$C77="","",Country_6!Q77)</f>
        <v/>
      </c>
    </row>
    <row r="577" spans="1:17" x14ac:dyDescent="0.25">
      <c r="A577" s="16" t="str">
        <f>IF(Country_6!$C78="","",Country_6!A78)</f>
        <v/>
      </c>
      <c r="B577" s="16" t="str">
        <f>IF(Country_6!$C78="","",Country_6!B78)</f>
        <v/>
      </c>
      <c r="C577" s="16" t="str">
        <f>IF(Country_6!$C78="","",Country_6!C78)</f>
        <v/>
      </c>
      <c r="D577" s="16" t="str">
        <f>IF(Country_6!$C78="","",Country_6!D78)</f>
        <v/>
      </c>
      <c r="E577" s="16" t="str">
        <f>IF(Country_6!$C78="","",Country_6!E78)</f>
        <v/>
      </c>
      <c r="F577" s="16" t="str">
        <f>IF(Country_6!$C78="","",Country_6!F78)</f>
        <v/>
      </c>
      <c r="G577" s="17" t="str">
        <f>IF(Country_6!$C78="","",Country_6!G78)</f>
        <v/>
      </c>
      <c r="H577" s="17" t="str">
        <f>IF(Country_6!$C78="","",Country_6!H78)</f>
        <v/>
      </c>
      <c r="I577" s="16" t="str">
        <f>IF(Country_6!$C78="","",Country_6!I78)</f>
        <v/>
      </c>
      <c r="J577" s="16" t="str">
        <f>IF(Country_6!$C78="","",Country_6!J78)</f>
        <v/>
      </c>
      <c r="K577" s="18" t="str">
        <f>IF(Country_6!$C78="","",Country_6!K78)</f>
        <v/>
      </c>
      <c r="L577" s="18" t="str">
        <f>IF(Country_6!$C78="","",Country_6!L78)</f>
        <v/>
      </c>
      <c r="M577" s="19" t="str">
        <f>IF(Country_6!$C78="","",Country_6!M78)</f>
        <v/>
      </c>
      <c r="N577" s="16" t="str">
        <f>IF(Country_6!$C78="","",Country_6!N78)</f>
        <v/>
      </c>
      <c r="O577" s="16" t="str">
        <f>IF(Country_6!$C78="","",Country_6!O78)</f>
        <v/>
      </c>
      <c r="P577" s="16" t="str">
        <f>IF(Country_6!$C78="","",Country_6!P78)</f>
        <v/>
      </c>
      <c r="Q577" s="16" t="str">
        <f>IF(Country_6!$C78="","",Country_6!Q78)</f>
        <v/>
      </c>
    </row>
    <row r="578" spans="1:17" x14ac:dyDescent="0.25">
      <c r="A578" s="16" t="str">
        <f>IF(Country_6!$C79="","",Country_6!A79)</f>
        <v/>
      </c>
      <c r="B578" s="16" t="str">
        <f>IF(Country_6!$C79="","",Country_6!B79)</f>
        <v/>
      </c>
      <c r="C578" s="16" t="str">
        <f>IF(Country_6!$C79="","",Country_6!C79)</f>
        <v/>
      </c>
      <c r="D578" s="16" t="str">
        <f>IF(Country_6!$C79="","",Country_6!D79)</f>
        <v/>
      </c>
      <c r="E578" s="16" t="str">
        <f>IF(Country_6!$C79="","",Country_6!E79)</f>
        <v/>
      </c>
      <c r="F578" s="16" t="str">
        <f>IF(Country_6!$C79="","",Country_6!F79)</f>
        <v/>
      </c>
      <c r="G578" s="17" t="str">
        <f>IF(Country_6!$C79="","",Country_6!G79)</f>
        <v/>
      </c>
      <c r="H578" s="17" t="str">
        <f>IF(Country_6!$C79="","",Country_6!H79)</f>
        <v/>
      </c>
      <c r="I578" s="16" t="str">
        <f>IF(Country_6!$C79="","",Country_6!I79)</f>
        <v/>
      </c>
      <c r="J578" s="16" t="str">
        <f>IF(Country_6!$C79="","",Country_6!J79)</f>
        <v/>
      </c>
      <c r="K578" s="18" t="str">
        <f>IF(Country_6!$C79="","",Country_6!K79)</f>
        <v/>
      </c>
      <c r="L578" s="18" t="str">
        <f>IF(Country_6!$C79="","",Country_6!L79)</f>
        <v/>
      </c>
      <c r="M578" s="19" t="str">
        <f>IF(Country_6!$C79="","",Country_6!M79)</f>
        <v/>
      </c>
      <c r="N578" s="16" t="str">
        <f>IF(Country_6!$C79="","",Country_6!N79)</f>
        <v/>
      </c>
      <c r="O578" s="16" t="str">
        <f>IF(Country_6!$C79="","",Country_6!O79)</f>
        <v/>
      </c>
      <c r="P578" s="16" t="str">
        <f>IF(Country_6!$C79="","",Country_6!P79)</f>
        <v/>
      </c>
      <c r="Q578" s="16" t="str">
        <f>IF(Country_6!$C79="","",Country_6!Q79)</f>
        <v/>
      </c>
    </row>
    <row r="579" spans="1:17" x14ac:dyDescent="0.25">
      <c r="A579" s="16" t="str">
        <f>IF(Country_6!$C80="","",Country_6!A80)</f>
        <v/>
      </c>
      <c r="B579" s="16" t="str">
        <f>IF(Country_6!$C80="","",Country_6!B80)</f>
        <v/>
      </c>
      <c r="C579" s="16" t="str">
        <f>IF(Country_6!$C80="","",Country_6!C80)</f>
        <v/>
      </c>
      <c r="D579" s="16" t="str">
        <f>IF(Country_6!$C80="","",Country_6!D80)</f>
        <v/>
      </c>
      <c r="E579" s="16" t="str">
        <f>IF(Country_6!$C80="","",Country_6!E80)</f>
        <v/>
      </c>
      <c r="F579" s="16" t="str">
        <f>IF(Country_6!$C80="","",Country_6!F80)</f>
        <v/>
      </c>
      <c r="G579" s="17" t="str">
        <f>IF(Country_6!$C80="","",Country_6!G80)</f>
        <v/>
      </c>
      <c r="H579" s="17" t="str">
        <f>IF(Country_6!$C80="","",Country_6!H80)</f>
        <v/>
      </c>
      <c r="I579" s="16" t="str">
        <f>IF(Country_6!$C80="","",Country_6!I80)</f>
        <v/>
      </c>
      <c r="J579" s="16" t="str">
        <f>IF(Country_6!$C80="","",Country_6!J80)</f>
        <v/>
      </c>
      <c r="K579" s="18" t="str">
        <f>IF(Country_6!$C80="","",Country_6!K80)</f>
        <v/>
      </c>
      <c r="L579" s="18" t="str">
        <f>IF(Country_6!$C80="","",Country_6!L80)</f>
        <v/>
      </c>
      <c r="M579" s="19" t="str">
        <f>IF(Country_6!$C80="","",Country_6!M80)</f>
        <v/>
      </c>
      <c r="N579" s="16" t="str">
        <f>IF(Country_6!$C80="","",Country_6!N80)</f>
        <v/>
      </c>
      <c r="O579" s="16" t="str">
        <f>IF(Country_6!$C80="","",Country_6!O80)</f>
        <v/>
      </c>
      <c r="P579" s="16" t="str">
        <f>IF(Country_6!$C80="","",Country_6!P80)</f>
        <v/>
      </c>
      <c r="Q579" s="16" t="str">
        <f>IF(Country_6!$C80="","",Country_6!Q80)</f>
        <v/>
      </c>
    </row>
    <row r="580" spans="1:17" x14ac:dyDescent="0.25">
      <c r="A580" s="16" t="str">
        <f>IF(Country_6!$C81="","",Country_6!A81)</f>
        <v/>
      </c>
      <c r="B580" s="16" t="str">
        <f>IF(Country_6!$C81="","",Country_6!B81)</f>
        <v/>
      </c>
      <c r="C580" s="16" t="str">
        <f>IF(Country_6!$C81="","",Country_6!C81)</f>
        <v/>
      </c>
      <c r="D580" s="16" t="str">
        <f>IF(Country_6!$C81="","",Country_6!D81)</f>
        <v/>
      </c>
      <c r="E580" s="16" t="str">
        <f>IF(Country_6!$C81="","",Country_6!E81)</f>
        <v/>
      </c>
      <c r="F580" s="16" t="str">
        <f>IF(Country_6!$C81="","",Country_6!F81)</f>
        <v/>
      </c>
      <c r="G580" s="17" t="str">
        <f>IF(Country_6!$C81="","",Country_6!G81)</f>
        <v/>
      </c>
      <c r="H580" s="17" t="str">
        <f>IF(Country_6!$C81="","",Country_6!H81)</f>
        <v/>
      </c>
      <c r="I580" s="16" t="str">
        <f>IF(Country_6!$C81="","",Country_6!I81)</f>
        <v/>
      </c>
      <c r="J580" s="16" t="str">
        <f>IF(Country_6!$C81="","",Country_6!J81)</f>
        <v/>
      </c>
      <c r="K580" s="18" t="str">
        <f>IF(Country_6!$C81="","",Country_6!K81)</f>
        <v/>
      </c>
      <c r="L580" s="18" t="str">
        <f>IF(Country_6!$C81="","",Country_6!L81)</f>
        <v/>
      </c>
      <c r="M580" s="19" t="str">
        <f>IF(Country_6!$C81="","",Country_6!M81)</f>
        <v/>
      </c>
      <c r="N580" s="16" t="str">
        <f>IF(Country_6!$C81="","",Country_6!N81)</f>
        <v/>
      </c>
      <c r="O580" s="16" t="str">
        <f>IF(Country_6!$C81="","",Country_6!O81)</f>
        <v/>
      </c>
      <c r="P580" s="16" t="str">
        <f>IF(Country_6!$C81="","",Country_6!P81)</f>
        <v/>
      </c>
      <c r="Q580" s="16" t="str">
        <f>IF(Country_6!$C81="","",Country_6!Q81)</f>
        <v/>
      </c>
    </row>
    <row r="581" spans="1:17" x14ac:dyDescent="0.25">
      <c r="A581" s="16" t="str">
        <f>IF(Country_6!$C82="","",Country_6!A82)</f>
        <v/>
      </c>
      <c r="B581" s="16" t="str">
        <f>IF(Country_6!$C82="","",Country_6!B82)</f>
        <v/>
      </c>
      <c r="C581" s="16" t="str">
        <f>IF(Country_6!$C82="","",Country_6!C82)</f>
        <v/>
      </c>
      <c r="D581" s="16" t="str">
        <f>IF(Country_6!$C82="","",Country_6!D82)</f>
        <v/>
      </c>
      <c r="E581" s="16" t="str">
        <f>IF(Country_6!$C82="","",Country_6!E82)</f>
        <v/>
      </c>
      <c r="F581" s="16" t="str">
        <f>IF(Country_6!$C82="","",Country_6!F82)</f>
        <v/>
      </c>
      <c r="G581" s="17" t="str">
        <f>IF(Country_6!$C82="","",Country_6!G82)</f>
        <v/>
      </c>
      <c r="H581" s="17" t="str">
        <f>IF(Country_6!$C82="","",Country_6!H82)</f>
        <v/>
      </c>
      <c r="I581" s="16" t="str">
        <f>IF(Country_6!$C82="","",Country_6!I82)</f>
        <v/>
      </c>
      <c r="J581" s="16" t="str">
        <f>IF(Country_6!$C82="","",Country_6!J82)</f>
        <v/>
      </c>
      <c r="K581" s="18" t="str">
        <f>IF(Country_6!$C82="","",Country_6!K82)</f>
        <v/>
      </c>
      <c r="L581" s="18" t="str">
        <f>IF(Country_6!$C82="","",Country_6!L82)</f>
        <v/>
      </c>
      <c r="M581" s="19" t="str">
        <f>IF(Country_6!$C82="","",Country_6!M82)</f>
        <v/>
      </c>
      <c r="N581" s="16" t="str">
        <f>IF(Country_6!$C82="","",Country_6!N82)</f>
        <v/>
      </c>
      <c r="O581" s="16" t="str">
        <f>IF(Country_6!$C82="","",Country_6!O82)</f>
        <v/>
      </c>
      <c r="P581" s="16" t="str">
        <f>IF(Country_6!$C82="","",Country_6!P82)</f>
        <v/>
      </c>
      <c r="Q581" s="16" t="str">
        <f>IF(Country_6!$C82="","",Country_6!Q82)</f>
        <v/>
      </c>
    </row>
    <row r="582" spans="1:17" x14ac:dyDescent="0.25">
      <c r="A582" s="16" t="str">
        <f>IF(Country_6!$C83="","",Country_6!A83)</f>
        <v/>
      </c>
      <c r="B582" s="16" t="str">
        <f>IF(Country_6!$C83="","",Country_6!B83)</f>
        <v/>
      </c>
      <c r="C582" s="16" t="str">
        <f>IF(Country_6!$C83="","",Country_6!C83)</f>
        <v/>
      </c>
      <c r="D582" s="16" t="str">
        <f>IF(Country_6!$C83="","",Country_6!D83)</f>
        <v/>
      </c>
      <c r="E582" s="16" t="str">
        <f>IF(Country_6!$C83="","",Country_6!E83)</f>
        <v/>
      </c>
      <c r="F582" s="16" t="str">
        <f>IF(Country_6!$C83="","",Country_6!F83)</f>
        <v/>
      </c>
      <c r="G582" s="17" t="str">
        <f>IF(Country_6!$C83="","",Country_6!G83)</f>
        <v/>
      </c>
      <c r="H582" s="17" t="str">
        <f>IF(Country_6!$C83="","",Country_6!H83)</f>
        <v/>
      </c>
      <c r="I582" s="16" t="str">
        <f>IF(Country_6!$C83="","",Country_6!I83)</f>
        <v/>
      </c>
      <c r="J582" s="16" t="str">
        <f>IF(Country_6!$C83="","",Country_6!J83)</f>
        <v/>
      </c>
      <c r="K582" s="18" t="str">
        <f>IF(Country_6!$C83="","",Country_6!K83)</f>
        <v/>
      </c>
      <c r="L582" s="18" t="str">
        <f>IF(Country_6!$C83="","",Country_6!L83)</f>
        <v/>
      </c>
      <c r="M582" s="19" t="str">
        <f>IF(Country_6!$C83="","",Country_6!M83)</f>
        <v/>
      </c>
      <c r="N582" s="16" t="str">
        <f>IF(Country_6!$C83="","",Country_6!N83)</f>
        <v/>
      </c>
      <c r="O582" s="16" t="str">
        <f>IF(Country_6!$C83="","",Country_6!O83)</f>
        <v/>
      </c>
      <c r="P582" s="16" t="str">
        <f>IF(Country_6!$C83="","",Country_6!P83)</f>
        <v/>
      </c>
      <c r="Q582" s="16" t="str">
        <f>IF(Country_6!$C83="","",Country_6!Q83)</f>
        <v/>
      </c>
    </row>
    <row r="583" spans="1:17" x14ac:dyDescent="0.25">
      <c r="A583" s="16" t="str">
        <f>IF(Country_6!$C84="","",Country_6!A84)</f>
        <v/>
      </c>
      <c r="B583" s="16" t="str">
        <f>IF(Country_6!$C84="","",Country_6!B84)</f>
        <v/>
      </c>
      <c r="C583" s="16" t="str">
        <f>IF(Country_6!$C84="","",Country_6!C84)</f>
        <v/>
      </c>
      <c r="D583" s="16" t="str">
        <f>IF(Country_6!$C84="","",Country_6!D84)</f>
        <v/>
      </c>
      <c r="E583" s="16" t="str">
        <f>IF(Country_6!$C84="","",Country_6!E84)</f>
        <v/>
      </c>
      <c r="F583" s="16" t="str">
        <f>IF(Country_6!$C84="","",Country_6!F84)</f>
        <v/>
      </c>
      <c r="G583" s="17" t="str">
        <f>IF(Country_6!$C84="","",Country_6!G84)</f>
        <v/>
      </c>
      <c r="H583" s="17" t="str">
        <f>IF(Country_6!$C84="","",Country_6!H84)</f>
        <v/>
      </c>
      <c r="I583" s="16" t="str">
        <f>IF(Country_6!$C84="","",Country_6!I84)</f>
        <v/>
      </c>
      <c r="J583" s="16" t="str">
        <f>IF(Country_6!$C84="","",Country_6!J84)</f>
        <v/>
      </c>
      <c r="K583" s="18" t="str">
        <f>IF(Country_6!$C84="","",Country_6!K84)</f>
        <v/>
      </c>
      <c r="L583" s="18" t="str">
        <f>IF(Country_6!$C84="","",Country_6!L84)</f>
        <v/>
      </c>
      <c r="M583" s="19" t="str">
        <f>IF(Country_6!$C84="","",Country_6!M84)</f>
        <v/>
      </c>
      <c r="N583" s="16" t="str">
        <f>IF(Country_6!$C84="","",Country_6!N84)</f>
        <v/>
      </c>
      <c r="O583" s="16" t="str">
        <f>IF(Country_6!$C84="","",Country_6!O84)</f>
        <v/>
      </c>
      <c r="P583" s="16" t="str">
        <f>IF(Country_6!$C84="","",Country_6!P84)</f>
        <v/>
      </c>
      <c r="Q583" s="16" t="str">
        <f>IF(Country_6!$C84="","",Country_6!Q84)</f>
        <v/>
      </c>
    </row>
    <row r="584" spans="1:17" x14ac:dyDescent="0.25">
      <c r="A584" s="16" t="str">
        <f>IF(Country_6!$C85="","",Country_6!A85)</f>
        <v/>
      </c>
      <c r="B584" s="16" t="str">
        <f>IF(Country_6!$C85="","",Country_6!B85)</f>
        <v/>
      </c>
      <c r="C584" s="16" t="str">
        <f>IF(Country_6!$C85="","",Country_6!C85)</f>
        <v/>
      </c>
      <c r="D584" s="16" t="str">
        <f>IF(Country_6!$C85="","",Country_6!D85)</f>
        <v/>
      </c>
      <c r="E584" s="16" t="str">
        <f>IF(Country_6!$C85="","",Country_6!E85)</f>
        <v/>
      </c>
      <c r="F584" s="16" t="str">
        <f>IF(Country_6!$C85="","",Country_6!F85)</f>
        <v/>
      </c>
      <c r="G584" s="17" t="str">
        <f>IF(Country_6!$C85="","",Country_6!G85)</f>
        <v/>
      </c>
      <c r="H584" s="17" t="str">
        <f>IF(Country_6!$C85="","",Country_6!H85)</f>
        <v/>
      </c>
      <c r="I584" s="16" t="str">
        <f>IF(Country_6!$C85="","",Country_6!I85)</f>
        <v/>
      </c>
      <c r="J584" s="16" t="str">
        <f>IF(Country_6!$C85="","",Country_6!J85)</f>
        <v/>
      </c>
      <c r="K584" s="18" t="str">
        <f>IF(Country_6!$C85="","",Country_6!K85)</f>
        <v/>
      </c>
      <c r="L584" s="18" t="str">
        <f>IF(Country_6!$C85="","",Country_6!L85)</f>
        <v/>
      </c>
      <c r="M584" s="19" t="str">
        <f>IF(Country_6!$C85="","",Country_6!M85)</f>
        <v/>
      </c>
      <c r="N584" s="16" t="str">
        <f>IF(Country_6!$C85="","",Country_6!N85)</f>
        <v/>
      </c>
      <c r="O584" s="16" t="str">
        <f>IF(Country_6!$C85="","",Country_6!O85)</f>
        <v/>
      </c>
      <c r="P584" s="16" t="str">
        <f>IF(Country_6!$C85="","",Country_6!P85)</f>
        <v/>
      </c>
      <c r="Q584" s="16" t="str">
        <f>IF(Country_6!$C85="","",Country_6!Q85)</f>
        <v/>
      </c>
    </row>
    <row r="585" spans="1:17" x14ac:dyDescent="0.25">
      <c r="A585" s="16" t="str">
        <f>IF(Country_6!$C86="","",Country_6!A86)</f>
        <v/>
      </c>
      <c r="B585" s="16" t="str">
        <f>IF(Country_6!$C86="","",Country_6!B86)</f>
        <v/>
      </c>
      <c r="C585" s="16" t="str">
        <f>IF(Country_6!$C86="","",Country_6!C86)</f>
        <v/>
      </c>
      <c r="D585" s="16" t="str">
        <f>IF(Country_6!$C86="","",Country_6!D86)</f>
        <v/>
      </c>
      <c r="E585" s="16" t="str">
        <f>IF(Country_6!$C86="","",Country_6!E86)</f>
        <v/>
      </c>
      <c r="F585" s="16" t="str">
        <f>IF(Country_6!$C86="","",Country_6!F86)</f>
        <v/>
      </c>
      <c r="G585" s="17" t="str">
        <f>IF(Country_6!$C86="","",Country_6!G86)</f>
        <v/>
      </c>
      <c r="H585" s="17" t="str">
        <f>IF(Country_6!$C86="","",Country_6!H86)</f>
        <v/>
      </c>
      <c r="I585" s="16" t="str">
        <f>IF(Country_6!$C86="","",Country_6!I86)</f>
        <v/>
      </c>
      <c r="J585" s="16" t="str">
        <f>IF(Country_6!$C86="","",Country_6!J86)</f>
        <v/>
      </c>
      <c r="K585" s="18" t="str">
        <f>IF(Country_6!$C86="","",Country_6!K86)</f>
        <v/>
      </c>
      <c r="L585" s="18" t="str">
        <f>IF(Country_6!$C86="","",Country_6!L86)</f>
        <v/>
      </c>
      <c r="M585" s="19" t="str">
        <f>IF(Country_6!$C86="","",Country_6!M86)</f>
        <v/>
      </c>
      <c r="N585" s="16" t="str">
        <f>IF(Country_6!$C86="","",Country_6!N86)</f>
        <v/>
      </c>
      <c r="O585" s="16" t="str">
        <f>IF(Country_6!$C86="","",Country_6!O86)</f>
        <v/>
      </c>
      <c r="P585" s="16" t="str">
        <f>IF(Country_6!$C86="","",Country_6!P86)</f>
        <v/>
      </c>
      <c r="Q585" s="16" t="str">
        <f>IF(Country_6!$C86="","",Country_6!Q86)</f>
        <v/>
      </c>
    </row>
    <row r="586" spans="1:17" x14ac:dyDescent="0.25">
      <c r="A586" s="16" t="str">
        <f>IF(Country_6!$C87="","",Country_6!A87)</f>
        <v/>
      </c>
      <c r="B586" s="16" t="str">
        <f>IF(Country_6!$C87="","",Country_6!B87)</f>
        <v/>
      </c>
      <c r="C586" s="16" t="str">
        <f>IF(Country_6!$C87="","",Country_6!C87)</f>
        <v/>
      </c>
      <c r="D586" s="16" t="str">
        <f>IF(Country_6!$C87="","",Country_6!D87)</f>
        <v/>
      </c>
      <c r="E586" s="16" t="str">
        <f>IF(Country_6!$C87="","",Country_6!E87)</f>
        <v/>
      </c>
      <c r="F586" s="16" t="str">
        <f>IF(Country_6!$C87="","",Country_6!F87)</f>
        <v/>
      </c>
      <c r="G586" s="17" t="str">
        <f>IF(Country_6!$C87="","",Country_6!G87)</f>
        <v/>
      </c>
      <c r="H586" s="17" t="str">
        <f>IF(Country_6!$C87="","",Country_6!H87)</f>
        <v/>
      </c>
      <c r="I586" s="16" t="str">
        <f>IF(Country_6!$C87="","",Country_6!I87)</f>
        <v/>
      </c>
      <c r="J586" s="16" t="str">
        <f>IF(Country_6!$C87="","",Country_6!J87)</f>
        <v/>
      </c>
      <c r="K586" s="18" t="str">
        <f>IF(Country_6!$C87="","",Country_6!K87)</f>
        <v/>
      </c>
      <c r="L586" s="18" t="str">
        <f>IF(Country_6!$C87="","",Country_6!L87)</f>
        <v/>
      </c>
      <c r="M586" s="19" t="str">
        <f>IF(Country_6!$C87="","",Country_6!M87)</f>
        <v/>
      </c>
      <c r="N586" s="16" t="str">
        <f>IF(Country_6!$C87="","",Country_6!N87)</f>
        <v/>
      </c>
      <c r="O586" s="16" t="str">
        <f>IF(Country_6!$C87="","",Country_6!O87)</f>
        <v/>
      </c>
      <c r="P586" s="16" t="str">
        <f>IF(Country_6!$C87="","",Country_6!P87)</f>
        <v/>
      </c>
      <c r="Q586" s="16" t="str">
        <f>IF(Country_6!$C87="","",Country_6!Q87)</f>
        <v/>
      </c>
    </row>
    <row r="587" spans="1:17" x14ac:dyDescent="0.25">
      <c r="A587" s="16" t="str">
        <f>IF(Country_6!$C88="","",Country_6!A88)</f>
        <v/>
      </c>
      <c r="B587" s="16" t="str">
        <f>IF(Country_6!$C88="","",Country_6!B88)</f>
        <v/>
      </c>
      <c r="C587" s="16" t="str">
        <f>IF(Country_6!$C88="","",Country_6!C88)</f>
        <v/>
      </c>
      <c r="D587" s="16" t="str">
        <f>IF(Country_6!$C88="","",Country_6!D88)</f>
        <v/>
      </c>
      <c r="E587" s="16" t="str">
        <f>IF(Country_6!$C88="","",Country_6!E88)</f>
        <v/>
      </c>
      <c r="F587" s="16" t="str">
        <f>IF(Country_6!$C88="","",Country_6!F88)</f>
        <v/>
      </c>
      <c r="G587" s="17" t="str">
        <f>IF(Country_6!$C88="","",Country_6!G88)</f>
        <v/>
      </c>
      <c r="H587" s="17" t="str">
        <f>IF(Country_6!$C88="","",Country_6!H88)</f>
        <v/>
      </c>
      <c r="I587" s="16" t="str">
        <f>IF(Country_6!$C88="","",Country_6!I88)</f>
        <v/>
      </c>
      <c r="J587" s="16" t="str">
        <f>IF(Country_6!$C88="","",Country_6!J88)</f>
        <v/>
      </c>
      <c r="K587" s="18" t="str">
        <f>IF(Country_6!$C88="","",Country_6!K88)</f>
        <v/>
      </c>
      <c r="L587" s="18" t="str">
        <f>IF(Country_6!$C88="","",Country_6!L88)</f>
        <v/>
      </c>
      <c r="M587" s="19" t="str">
        <f>IF(Country_6!$C88="","",Country_6!M88)</f>
        <v/>
      </c>
      <c r="N587" s="16" t="str">
        <f>IF(Country_6!$C88="","",Country_6!N88)</f>
        <v/>
      </c>
      <c r="O587" s="16" t="str">
        <f>IF(Country_6!$C88="","",Country_6!O88)</f>
        <v/>
      </c>
      <c r="P587" s="16" t="str">
        <f>IF(Country_6!$C88="","",Country_6!P88)</f>
        <v/>
      </c>
      <c r="Q587" s="16" t="str">
        <f>IF(Country_6!$C88="","",Country_6!Q88)</f>
        <v/>
      </c>
    </row>
    <row r="588" spans="1:17" x14ac:dyDescent="0.25">
      <c r="A588" s="16" t="str">
        <f>IF(Country_6!$C89="","",Country_6!A89)</f>
        <v/>
      </c>
      <c r="B588" s="16" t="str">
        <f>IF(Country_6!$C89="","",Country_6!B89)</f>
        <v/>
      </c>
      <c r="C588" s="16" t="str">
        <f>IF(Country_6!$C89="","",Country_6!C89)</f>
        <v/>
      </c>
      <c r="D588" s="16" t="str">
        <f>IF(Country_6!$C89="","",Country_6!D89)</f>
        <v/>
      </c>
      <c r="E588" s="16" t="str">
        <f>IF(Country_6!$C89="","",Country_6!E89)</f>
        <v/>
      </c>
      <c r="F588" s="16" t="str">
        <f>IF(Country_6!$C89="","",Country_6!F89)</f>
        <v/>
      </c>
      <c r="G588" s="17" t="str">
        <f>IF(Country_6!$C89="","",Country_6!G89)</f>
        <v/>
      </c>
      <c r="H588" s="17" t="str">
        <f>IF(Country_6!$C89="","",Country_6!H89)</f>
        <v/>
      </c>
      <c r="I588" s="16" t="str">
        <f>IF(Country_6!$C89="","",Country_6!I89)</f>
        <v/>
      </c>
      <c r="J588" s="16" t="str">
        <f>IF(Country_6!$C89="","",Country_6!J89)</f>
        <v/>
      </c>
      <c r="K588" s="18" t="str">
        <f>IF(Country_6!$C89="","",Country_6!K89)</f>
        <v/>
      </c>
      <c r="L588" s="18" t="str">
        <f>IF(Country_6!$C89="","",Country_6!L89)</f>
        <v/>
      </c>
      <c r="M588" s="19" t="str">
        <f>IF(Country_6!$C89="","",Country_6!M89)</f>
        <v/>
      </c>
      <c r="N588" s="16" t="str">
        <f>IF(Country_6!$C89="","",Country_6!N89)</f>
        <v/>
      </c>
      <c r="O588" s="16" t="str">
        <f>IF(Country_6!$C89="","",Country_6!O89)</f>
        <v/>
      </c>
      <c r="P588" s="16" t="str">
        <f>IF(Country_6!$C89="","",Country_6!P89)</f>
        <v/>
      </c>
      <c r="Q588" s="16" t="str">
        <f>IF(Country_6!$C89="","",Country_6!Q89)</f>
        <v/>
      </c>
    </row>
    <row r="589" spans="1:17" x14ac:dyDescent="0.25">
      <c r="A589" s="16" t="str">
        <f>IF(Country_6!$C90="","",Country_6!A90)</f>
        <v/>
      </c>
      <c r="B589" s="16" t="str">
        <f>IF(Country_6!$C90="","",Country_6!B90)</f>
        <v/>
      </c>
      <c r="C589" s="16" t="str">
        <f>IF(Country_6!$C90="","",Country_6!C90)</f>
        <v/>
      </c>
      <c r="D589" s="16" t="str">
        <f>IF(Country_6!$C90="","",Country_6!D90)</f>
        <v/>
      </c>
      <c r="E589" s="16" t="str">
        <f>IF(Country_6!$C90="","",Country_6!E90)</f>
        <v/>
      </c>
      <c r="F589" s="16" t="str">
        <f>IF(Country_6!$C90="","",Country_6!F90)</f>
        <v/>
      </c>
      <c r="G589" s="17" t="str">
        <f>IF(Country_6!$C90="","",Country_6!G90)</f>
        <v/>
      </c>
      <c r="H589" s="17" t="str">
        <f>IF(Country_6!$C90="","",Country_6!H90)</f>
        <v/>
      </c>
      <c r="I589" s="16" t="str">
        <f>IF(Country_6!$C90="","",Country_6!I90)</f>
        <v/>
      </c>
      <c r="J589" s="16" t="str">
        <f>IF(Country_6!$C90="","",Country_6!J90)</f>
        <v/>
      </c>
      <c r="K589" s="18" t="str">
        <f>IF(Country_6!$C90="","",Country_6!K90)</f>
        <v/>
      </c>
      <c r="L589" s="18" t="str">
        <f>IF(Country_6!$C90="","",Country_6!L90)</f>
        <v/>
      </c>
      <c r="M589" s="19" t="str">
        <f>IF(Country_6!$C90="","",Country_6!M90)</f>
        <v/>
      </c>
      <c r="N589" s="16" t="str">
        <f>IF(Country_6!$C90="","",Country_6!N90)</f>
        <v/>
      </c>
      <c r="O589" s="16" t="str">
        <f>IF(Country_6!$C90="","",Country_6!O90)</f>
        <v/>
      </c>
      <c r="P589" s="16" t="str">
        <f>IF(Country_6!$C90="","",Country_6!P90)</f>
        <v/>
      </c>
      <c r="Q589" s="16" t="str">
        <f>IF(Country_6!$C90="","",Country_6!Q90)</f>
        <v/>
      </c>
    </row>
    <row r="590" spans="1:17" x14ac:dyDescent="0.25">
      <c r="A590" s="16" t="str">
        <f>IF(Country_6!$C91="","",Country_6!A91)</f>
        <v/>
      </c>
      <c r="B590" s="16" t="str">
        <f>IF(Country_6!$C91="","",Country_6!B91)</f>
        <v/>
      </c>
      <c r="C590" s="16" t="str">
        <f>IF(Country_6!$C91="","",Country_6!C91)</f>
        <v/>
      </c>
      <c r="D590" s="16" t="str">
        <f>IF(Country_6!$C91="","",Country_6!D91)</f>
        <v/>
      </c>
      <c r="E590" s="16" t="str">
        <f>IF(Country_6!$C91="","",Country_6!E91)</f>
        <v/>
      </c>
      <c r="F590" s="16" t="str">
        <f>IF(Country_6!$C91="","",Country_6!F91)</f>
        <v/>
      </c>
      <c r="G590" s="17" t="str">
        <f>IF(Country_6!$C91="","",Country_6!G91)</f>
        <v/>
      </c>
      <c r="H590" s="17" t="str">
        <f>IF(Country_6!$C91="","",Country_6!H91)</f>
        <v/>
      </c>
      <c r="I590" s="16" t="str">
        <f>IF(Country_6!$C91="","",Country_6!I91)</f>
        <v/>
      </c>
      <c r="J590" s="16" t="str">
        <f>IF(Country_6!$C91="","",Country_6!J91)</f>
        <v/>
      </c>
      <c r="K590" s="18" t="str">
        <f>IF(Country_6!$C91="","",Country_6!K91)</f>
        <v/>
      </c>
      <c r="L590" s="18" t="str">
        <f>IF(Country_6!$C91="","",Country_6!L91)</f>
        <v/>
      </c>
      <c r="M590" s="19" t="str">
        <f>IF(Country_6!$C91="","",Country_6!M91)</f>
        <v/>
      </c>
      <c r="N590" s="16" t="str">
        <f>IF(Country_6!$C91="","",Country_6!N91)</f>
        <v/>
      </c>
      <c r="O590" s="16" t="str">
        <f>IF(Country_6!$C91="","",Country_6!O91)</f>
        <v/>
      </c>
      <c r="P590" s="16" t="str">
        <f>IF(Country_6!$C91="","",Country_6!P91)</f>
        <v/>
      </c>
      <c r="Q590" s="16" t="str">
        <f>IF(Country_6!$C91="","",Country_6!Q91)</f>
        <v/>
      </c>
    </row>
    <row r="591" spans="1:17" x14ac:dyDescent="0.25">
      <c r="A591" s="16" t="str">
        <f>IF(Country_6!$C92="","",Country_6!A92)</f>
        <v/>
      </c>
      <c r="B591" s="16" t="str">
        <f>IF(Country_6!$C92="","",Country_6!B92)</f>
        <v/>
      </c>
      <c r="C591" s="16" t="str">
        <f>IF(Country_6!$C92="","",Country_6!C92)</f>
        <v/>
      </c>
      <c r="D591" s="16" t="str">
        <f>IF(Country_6!$C92="","",Country_6!D92)</f>
        <v/>
      </c>
      <c r="E591" s="16" t="str">
        <f>IF(Country_6!$C92="","",Country_6!E92)</f>
        <v/>
      </c>
      <c r="F591" s="16" t="str">
        <f>IF(Country_6!$C92="","",Country_6!F92)</f>
        <v/>
      </c>
      <c r="G591" s="17" t="str">
        <f>IF(Country_6!$C92="","",Country_6!G92)</f>
        <v/>
      </c>
      <c r="H591" s="17" t="str">
        <f>IF(Country_6!$C92="","",Country_6!H92)</f>
        <v/>
      </c>
      <c r="I591" s="16" t="str">
        <f>IF(Country_6!$C92="","",Country_6!I92)</f>
        <v/>
      </c>
      <c r="J591" s="16" t="str">
        <f>IF(Country_6!$C92="","",Country_6!J92)</f>
        <v/>
      </c>
      <c r="K591" s="18" t="str">
        <f>IF(Country_6!$C92="","",Country_6!K92)</f>
        <v/>
      </c>
      <c r="L591" s="18" t="str">
        <f>IF(Country_6!$C92="","",Country_6!L92)</f>
        <v/>
      </c>
      <c r="M591" s="19" t="str">
        <f>IF(Country_6!$C92="","",Country_6!M92)</f>
        <v/>
      </c>
      <c r="N591" s="16" t="str">
        <f>IF(Country_6!$C92="","",Country_6!N92)</f>
        <v/>
      </c>
      <c r="O591" s="16" t="str">
        <f>IF(Country_6!$C92="","",Country_6!O92)</f>
        <v/>
      </c>
      <c r="P591" s="16" t="str">
        <f>IF(Country_6!$C92="","",Country_6!P92)</f>
        <v/>
      </c>
      <c r="Q591" s="16" t="str">
        <f>IF(Country_6!$C92="","",Country_6!Q92)</f>
        <v/>
      </c>
    </row>
    <row r="592" spans="1:17" x14ac:dyDescent="0.25">
      <c r="A592" s="16" t="str">
        <f>IF(Country_6!$C93="","",Country_6!A93)</f>
        <v/>
      </c>
      <c r="B592" s="16" t="str">
        <f>IF(Country_6!$C93="","",Country_6!B93)</f>
        <v/>
      </c>
      <c r="C592" s="16" t="str">
        <f>IF(Country_6!$C93="","",Country_6!C93)</f>
        <v/>
      </c>
      <c r="D592" s="16" t="str">
        <f>IF(Country_6!$C93="","",Country_6!D93)</f>
        <v/>
      </c>
      <c r="E592" s="16" t="str">
        <f>IF(Country_6!$C93="","",Country_6!E93)</f>
        <v/>
      </c>
      <c r="F592" s="16" t="str">
        <f>IF(Country_6!$C93="","",Country_6!F93)</f>
        <v/>
      </c>
      <c r="G592" s="17" t="str">
        <f>IF(Country_6!$C93="","",Country_6!G93)</f>
        <v/>
      </c>
      <c r="H592" s="17" t="str">
        <f>IF(Country_6!$C93="","",Country_6!H93)</f>
        <v/>
      </c>
      <c r="I592" s="16" t="str">
        <f>IF(Country_6!$C93="","",Country_6!I93)</f>
        <v/>
      </c>
      <c r="J592" s="16" t="str">
        <f>IF(Country_6!$C93="","",Country_6!J93)</f>
        <v/>
      </c>
      <c r="K592" s="18" t="str">
        <f>IF(Country_6!$C93="","",Country_6!K93)</f>
        <v/>
      </c>
      <c r="L592" s="18" t="str">
        <f>IF(Country_6!$C93="","",Country_6!L93)</f>
        <v/>
      </c>
      <c r="M592" s="19" t="str">
        <f>IF(Country_6!$C93="","",Country_6!M93)</f>
        <v/>
      </c>
      <c r="N592" s="16" t="str">
        <f>IF(Country_6!$C93="","",Country_6!N93)</f>
        <v/>
      </c>
      <c r="O592" s="16" t="str">
        <f>IF(Country_6!$C93="","",Country_6!O93)</f>
        <v/>
      </c>
      <c r="P592" s="16" t="str">
        <f>IF(Country_6!$C93="","",Country_6!P93)</f>
        <v/>
      </c>
      <c r="Q592" s="16" t="str">
        <f>IF(Country_6!$C93="","",Country_6!Q93)</f>
        <v/>
      </c>
    </row>
    <row r="593" spans="1:17" x14ac:dyDescent="0.25">
      <c r="A593" s="16" t="str">
        <f>IF(Country_6!$C94="","",Country_6!A94)</f>
        <v/>
      </c>
      <c r="B593" s="16" t="str">
        <f>IF(Country_6!$C94="","",Country_6!B94)</f>
        <v/>
      </c>
      <c r="C593" s="16" t="str">
        <f>IF(Country_6!$C94="","",Country_6!C94)</f>
        <v/>
      </c>
      <c r="D593" s="16" t="str">
        <f>IF(Country_6!$C94="","",Country_6!D94)</f>
        <v/>
      </c>
      <c r="E593" s="16" t="str">
        <f>IF(Country_6!$C94="","",Country_6!E94)</f>
        <v/>
      </c>
      <c r="F593" s="16" t="str">
        <f>IF(Country_6!$C94="","",Country_6!F94)</f>
        <v/>
      </c>
      <c r="G593" s="17" t="str">
        <f>IF(Country_6!$C94="","",Country_6!G94)</f>
        <v/>
      </c>
      <c r="H593" s="17" t="str">
        <f>IF(Country_6!$C94="","",Country_6!H94)</f>
        <v/>
      </c>
      <c r="I593" s="16" t="str">
        <f>IF(Country_6!$C94="","",Country_6!I94)</f>
        <v/>
      </c>
      <c r="J593" s="16" t="str">
        <f>IF(Country_6!$C94="","",Country_6!J94)</f>
        <v/>
      </c>
      <c r="K593" s="18" t="str">
        <f>IF(Country_6!$C94="","",Country_6!K94)</f>
        <v/>
      </c>
      <c r="L593" s="18" t="str">
        <f>IF(Country_6!$C94="","",Country_6!L94)</f>
        <v/>
      </c>
      <c r="M593" s="19" t="str">
        <f>IF(Country_6!$C94="","",Country_6!M94)</f>
        <v/>
      </c>
      <c r="N593" s="16" t="str">
        <f>IF(Country_6!$C94="","",Country_6!N94)</f>
        <v/>
      </c>
      <c r="O593" s="16" t="str">
        <f>IF(Country_6!$C94="","",Country_6!O94)</f>
        <v/>
      </c>
      <c r="P593" s="16" t="str">
        <f>IF(Country_6!$C94="","",Country_6!P94)</f>
        <v/>
      </c>
      <c r="Q593" s="16" t="str">
        <f>IF(Country_6!$C94="","",Country_6!Q94)</f>
        <v/>
      </c>
    </row>
    <row r="594" spans="1:17" x14ac:dyDescent="0.25">
      <c r="A594" s="16" t="str">
        <f>IF(Country_6!$C95="","",Country_6!A95)</f>
        <v/>
      </c>
      <c r="B594" s="16" t="str">
        <f>IF(Country_6!$C95="","",Country_6!B95)</f>
        <v/>
      </c>
      <c r="C594" s="16" t="str">
        <f>IF(Country_6!$C95="","",Country_6!C95)</f>
        <v/>
      </c>
      <c r="D594" s="16" t="str">
        <f>IF(Country_6!$C95="","",Country_6!D95)</f>
        <v/>
      </c>
      <c r="E594" s="16" t="str">
        <f>IF(Country_6!$C95="","",Country_6!E95)</f>
        <v/>
      </c>
      <c r="F594" s="16" t="str">
        <f>IF(Country_6!$C95="","",Country_6!F95)</f>
        <v/>
      </c>
      <c r="G594" s="17" t="str">
        <f>IF(Country_6!$C95="","",Country_6!G95)</f>
        <v/>
      </c>
      <c r="H594" s="17" t="str">
        <f>IF(Country_6!$C95="","",Country_6!H95)</f>
        <v/>
      </c>
      <c r="I594" s="16" t="str">
        <f>IF(Country_6!$C95="","",Country_6!I95)</f>
        <v/>
      </c>
      <c r="J594" s="16" t="str">
        <f>IF(Country_6!$C95="","",Country_6!J95)</f>
        <v/>
      </c>
      <c r="K594" s="18" t="str">
        <f>IF(Country_6!$C95="","",Country_6!K95)</f>
        <v/>
      </c>
      <c r="L594" s="18" t="str">
        <f>IF(Country_6!$C95="","",Country_6!L95)</f>
        <v/>
      </c>
      <c r="M594" s="19" t="str">
        <f>IF(Country_6!$C95="","",Country_6!M95)</f>
        <v/>
      </c>
      <c r="N594" s="16" t="str">
        <f>IF(Country_6!$C95="","",Country_6!N95)</f>
        <v/>
      </c>
      <c r="O594" s="16" t="str">
        <f>IF(Country_6!$C95="","",Country_6!O95)</f>
        <v/>
      </c>
      <c r="P594" s="16" t="str">
        <f>IF(Country_6!$C95="","",Country_6!P95)</f>
        <v/>
      </c>
      <c r="Q594" s="16" t="str">
        <f>IF(Country_6!$C95="","",Country_6!Q95)</f>
        <v/>
      </c>
    </row>
    <row r="595" spans="1:17" x14ac:dyDescent="0.25">
      <c r="A595" s="16" t="str">
        <f>IF(Country_6!$C96="","",Country_6!A96)</f>
        <v/>
      </c>
      <c r="B595" s="16" t="str">
        <f>IF(Country_6!$C96="","",Country_6!B96)</f>
        <v/>
      </c>
      <c r="C595" s="16" t="str">
        <f>IF(Country_6!$C96="","",Country_6!C96)</f>
        <v/>
      </c>
      <c r="D595" s="16" t="str">
        <f>IF(Country_6!$C96="","",Country_6!D96)</f>
        <v/>
      </c>
      <c r="E595" s="16" t="str">
        <f>IF(Country_6!$C96="","",Country_6!E96)</f>
        <v/>
      </c>
      <c r="F595" s="16" t="str">
        <f>IF(Country_6!$C96="","",Country_6!F96)</f>
        <v/>
      </c>
      <c r="G595" s="17" t="str">
        <f>IF(Country_6!$C96="","",Country_6!G96)</f>
        <v/>
      </c>
      <c r="H595" s="17" t="str">
        <f>IF(Country_6!$C96="","",Country_6!H96)</f>
        <v/>
      </c>
      <c r="I595" s="16" t="str">
        <f>IF(Country_6!$C96="","",Country_6!I96)</f>
        <v/>
      </c>
      <c r="J595" s="16" t="str">
        <f>IF(Country_6!$C96="","",Country_6!J96)</f>
        <v/>
      </c>
      <c r="K595" s="18" t="str">
        <f>IF(Country_6!$C96="","",Country_6!K96)</f>
        <v/>
      </c>
      <c r="L595" s="18" t="str">
        <f>IF(Country_6!$C96="","",Country_6!L96)</f>
        <v/>
      </c>
      <c r="M595" s="19" t="str">
        <f>IF(Country_6!$C96="","",Country_6!M96)</f>
        <v/>
      </c>
      <c r="N595" s="16" t="str">
        <f>IF(Country_6!$C96="","",Country_6!N96)</f>
        <v/>
      </c>
      <c r="O595" s="16" t="str">
        <f>IF(Country_6!$C96="","",Country_6!O96)</f>
        <v/>
      </c>
      <c r="P595" s="16" t="str">
        <f>IF(Country_6!$C96="","",Country_6!P96)</f>
        <v/>
      </c>
      <c r="Q595" s="16" t="str">
        <f>IF(Country_6!$C96="","",Country_6!Q96)</f>
        <v/>
      </c>
    </row>
    <row r="596" spans="1:17" x14ac:dyDescent="0.25">
      <c r="A596" s="16" t="str">
        <f>IF(Country_6!$C97="","",Country_6!A97)</f>
        <v/>
      </c>
      <c r="B596" s="16" t="str">
        <f>IF(Country_6!$C97="","",Country_6!B97)</f>
        <v/>
      </c>
      <c r="C596" s="16" t="str">
        <f>IF(Country_6!$C97="","",Country_6!C97)</f>
        <v/>
      </c>
      <c r="D596" s="16" t="str">
        <f>IF(Country_6!$C97="","",Country_6!D97)</f>
        <v/>
      </c>
      <c r="E596" s="16" t="str">
        <f>IF(Country_6!$C97="","",Country_6!E97)</f>
        <v/>
      </c>
      <c r="F596" s="16" t="str">
        <f>IF(Country_6!$C97="","",Country_6!F97)</f>
        <v/>
      </c>
      <c r="G596" s="17" t="str">
        <f>IF(Country_6!$C97="","",Country_6!G97)</f>
        <v/>
      </c>
      <c r="H596" s="17" t="str">
        <f>IF(Country_6!$C97="","",Country_6!H97)</f>
        <v/>
      </c>
      <c r="I596" s="16" t="str">
        <f>IF(Country_6!$C97="","",Country_6!I97)</f>
        <v/>
      </c>
      <c r="J596" s="16" t="str">
        <f>IF(Country_6!$C97="","",Country_6!J97)</f>
        <v/>
      </c>
      <c r="K596" s="18" t="str">
        <f>IF(Country_6!$C97="","",Country_6!K97)</f>
        <v/>
      </c>
      <c r="L596" s="18" t="str">
        <f>IF(Country_6!$C97="","",Country_6!L97)</f>
        <v/>
      </c>
      <c r="M596" s="19" t="str">
        <f>IF(Country_6!$C97="","",Country_6!M97)</f>
        <v/>
      </c>
      <c r="N596" s="16" t="str">
        <f>IF(Country_6!$C97="","",Country_6!N97)</f>
        <v/>
      </c>
      <c r="O596" s="16" t="str">
        <f>IF(Country_6!$C97="","",Country_6!O97)</f>
        <v/>
      </c>
      <c r="P596" s="16" t="str">
        <f>IF(Country_6!$C97="","",Country_6!P97)</f>
        <v/>
      </c>
      <c r="Q596" s="16" t="str">
        <f>IF(Country_6!$C97="","",Country_6!Q97)</f>
        <v/>
      </c>
    </row>
    <row r="597" spans="1:17" x14ac:dyDescent="0.25">
      <c r="A597" s="16" t="str">
        <f>IF(Country_6!$C98="","",Country_6!A98)</f>
        <v/>
      </c>
      <c r="B597" s="16" t="str">
        <f>IF(Country_6!$C98="","",Country_6!B98)</f>
        <v/>
      </c>
      <c r="C597" s="16" t="str">
        <f>IF(Country_6!$C98="","",Country_6!C98)</f>
        <v/>
      </c>
      <c r="D597" s="16" t="str">
        <f>IF(Country_6!$C98="","",Country_6!D98)</f>
        <v/>
      </c>
      <c r="E597" s="16" t="str">
        <f>IF(Country_6!$C98="","",Country_6!E98)</f>
        <v/>
      </c>
      <c r="F597" s="16" t="str">
        <f>IF(Country_6!$C98="","",Country_6!F98)</f>
        <v/>
      </c>
      <c r="G597" s="17" t="str">
        <f>IF(Country_6!$C98="","",Country_6!G98)</f>
        <v/>
      </c>
      <c r="H597" s="17" t="str">
        <f>IF(Country_6!$C98="","",Country_6!H98)</f>
        <v/>
      </c>
      <c r="I597" s="16" t="str">
        <f>IF(Country_6!$C98="","",Country_6!I98)</f>
        <v/>
      </c>
      <c r="J597" s="16" t="str">
        <f>IF(Country_6!$C98="","",Country_6!J98)</f>
        <v/>
      </c>
      <c r="K597" s="18" t="str">
        <f>IF(Country_6!$C98="","",Country_6!K98)</f>
        <v/>
      </c>
      <c r="L597" s="18" t="str">
        <f>IF(Country_6!$C98="","",Country_6!L98)</f>
        <v/>
      </c>
      <c r="M597" s="19" t="str">
        <f>IF(Country_6!$C98="","",Country_6!M98)</f>
        <v/>
      </c>
      <c r="N597" s="16" t="str">
        <f>IF(Country_6!$C98="","",Country_6!N98)</f>
        <v/>
      </c>
      <c r="O597" s="16" t="str">
        <f>IF(Country_6!$C98="","",Country_6!O98)</f>
        <v/>
      </c>
      <c r="P597" s="16" t="str">
        <f>IF(Country_6!$C98="","",Country_6!P98)</f>
        <v/>
      </c>
      <c r="Q597" s="16" t="str">
        <f>IF(Country_6!$C98="","",Country_6!Q98)</f>
        <v/>
      </c>
    </row>
    <row r="598" spans="1:17" x14ac:dyDescent="0.25">
      <c r="A598" s="16" t="str">
        <f>IF(Country_6!$C99="","",Country_6!A99)</f>
        <v/>
      </c>
      <c r="B598" s="16" t="str">
        <f>IF(Country_6!$C99="","",Country_6!B99)</f>
        <v/>
      </c>
      <c r="C598" s="16" t="str">
        <f>IF(Country_6!$C99="","",Country_6!C99)</f>
        <v/>
      </c>
      <c r="D598" s="16" t="str">
        <f>IF(Country_6!$C99="","",Country_6!D99)</f>
        <v/>
      </c>
      <c r="E598" s="16" t="str">
        <f>IF(Country_6!$C99="","",Country_6!E99)</f>
        <v/>
      </c>
      <c r="F598" s="16" t="str">
        <f>IF(Country_6!$C99="","",Country_6!F99)</f>
        <v/>
      </c>
      <c r="G598" s="17" t="str">
        <f>IF(Country_6!$C99="","",Country_6!G99)</f>
        <v/>
      </c>
      <c r="H598" s="17" t="str">
        <f>IF(Country_6!$C99="","",Country_6!H99)</f>
        <v/>
      </c>
      <c r="I598" s="16" t="str">
        <f>IF(Country_6!$C99="","",Country_6!I99)</f>
        <v/>
      </c>
      <c r="J598" s="16" t="str">
        <f>IF(Country_6!$C99="","",Country_6!J99)</f>
        <v/>
      </c>
      <c r="K598" s="18" t="str">
        <f>IF(Country_6!$C99="","",Country_6!K99)</f>
        <v/>
      </c>
      <c r="L598" s="18" t="str">
        <f>IF(Country_6!$C99="","",Country_6!L99)</f>
        <v/>
      </c>
      <c r="M598" s="19" t="str">
        <f>IF(Country_6!$C99="","",Country_6!M99)</f>
        <v/>
      </c>
      <c r="N598" s="16" t="str">
        <f>IF(Country_6!$C99="","",Country_6!N99)</f>
        <v/>
      </c>
      <c r="O598" s="16" t="str">
        <f>IF(Country_6!$C99="","",Country_6!O99)</f>
        <v/>
      </c>
      <c r="P598" s="16" t="str">
        <f>IF(Country_6!$C99="","",Country_6!P99)</f>
        <v/>
      </c>
      <c r="Q598" s="16" t="str">
        <f>IF(Country_6!$C99="","",Country_6!Q99)</f>
        <v/>
      </c>
    </row>
    <row r="599" spans="1:17" x14ac:dyDescent="0.25">
      <c r="A599" s="16" t="str">
        <f>IF(Country_6!$C100="","",Country_6!A100)</f>
        <v/>
      </c>
      <c r="B599" s="16" t="str">
        <f>IF(Country_6!$C100="","",Country_6!B100)</f>
        <v/>
      </c>
      <c r="C599" s="16" t="str">
        <f>IF(Country_6!$C100="","",Country_6!C100)</f>
        <v/>
      </c>
      <c r="D599" s="16" t="str">
        <f>IF(Country_6!$C100="","",Country_6!D100)</f>
        <v/>
      </c>
      <c r="E599" s="16" t="str">
        <f>IF(Country_6!$C100="","",Country_6!E100)</f>
        <v/>
      </c>
      <c r="F599" s="16" t="str">
        <f>IF(Country_6!$C100="","",Country_6!F100)</f>
        <v/>
      </c>
      <c r="G599" s="17" t="str">
        <f>IF(Country_6!$C100="","",Country_6!G100)</f>
        <v/>
      </c>
      <c r="H599" s="17" t="str">
        <f>IF(Country_6!$C100="","",Country_6!H100)</f>
        <v/>
      </c>
      <c r="I599" s="16" t="str">
        <f>IF(Country_6!$C100="","",Country_6!I100)</f>
        <v/>
      </c>
      <c r="J599" s="16" t="str">
        <f>IF(Country_6!$C100="","",Country_6!J100)</f>
        <v/>
      </c>
      <c r="K599" s="18" t="str">
        <f>IF(Country_6!$C100="","",Country_6!K100)</f>
        <v/>
      </c>
      <c r="L599" s="18" t="str">
        <f>IF(Country_6!$C100="","",Country_6!L100)</f>
        <v/>
      </c>
      <c r="M599" s="19" t="str">
        <f>IF(Country_6!$C100="","",Country_6!M100)</f>
        <v/>
      </c>
      <c r="N599" s="16" t="str">
        <f>IF(Country_6!$C100="","",Country_6!N100)</f>
        <v/>
      </c>
      <c r="O599" s="16" t="str">
        <f>IF(Country_6!$C100="","",Country_6!O100)</f>
        <v/>
      </c>
      <c r="P599" s="16" t="str">
        <f>IF(Country_6!$C100="","",Country_6!P100)</f>
        <v/>
      </c>
      <c r="Q599" s="16" t="str">
        <f>IF(Country_6!$C100="","",Country_6!Q100)</f>
        <v/>
      </c>
    </row>
    <row r="600" spans="1:17" x14ac:dyDescent="0.25">
      <c r="A600" s="16" t="str">
        <f>IF(Country_6!$C101="","",Country_6!A101)</f>
        <v/>
      </c>
      <c r="B600" s="16" t="str">
        <f>IF(Country_6!$C101="","",Country_6!B101)</f>
        <v/>
      </c>
      <c r="C600" s="16" t="str">
        <f>IF(Country_6!$C101="","",Country_6!C101)</f>
        <v/>
      </c>
      <c r="D600" s="16" t="str">
        <f>IF(Country_6!$C101="","",Country_6!D101)</f>
        <v/>
      </c>
      <c r="E600" s="16" t="str">
        <f>IF(Country_6!$C101="","",Country_6!E101)</f>
        <v/>
      </c>
      <c r="F600" s="16" t="str">
        <f>IF(Country_6!$C101="","",Country_6!F101)</f>
        <v/>
      </c>
      <c r="G600" s="17" t="str">
        <f>IF(Country_6!$C101="","",Country_6!G101)</f>
        <v/>
      </c>
      <c r="H600" s="17" t="str">
        <f>IF(Country_6!$C101="","",Country_6!H101)</f>
        <v/>
      </c>
      <c r="I600" s="16" t="str">
        <f>IF(Country_6!$C101="","",Country_6!I101)</f>
        <v/>
      </c>
      <c r="J600" s="16" t="str">
        <f>IF(Country_6!$C101="","",Country_6!J101)</f>
        <v/>
      </c>
      <c r="K600" s="18" t="str">
        <f>IF(Country_6!$C101="","",Country_6!K101)</f>
        <v/>
      </c>
      <c r="L600" s="18" t="str">
        <f>IF(Country_6!$C101="","",Country_6!L101)</f>
        <v/>
      </c>
      <c r="M600" s="19" t="str">
        <f>IF(Country_6!$C101="","",Country_6!M101)</f>
        <v/>
      </c>
      <c r="N600" s="16" t="str">
        <f>IF(Country_6!$C101="","",Country_6!N101)</f>
        <v/>
      </c>
      <c r="O600" s="16" t="str">
        <f>IF(Country_6!$C101="","",Country_6!O101)</f>
        <v/>
      </c>
      <c r="P600" s="16" t="str">
        <f>IF(Country_6!$C101="","",Country_6!P101)</f>
        <v/>
      </c>
      <c r="Q600" s="16" t="str">
        <f>IF(Country_6!$C101="","",Country_6!Q101)</f>
        <v/>
      </c>
    </row>
    <row r="601" spans="1:17" x14ac:dyDescent="0.25">
      <c r="A601" s="16" t="str">
        <f>IF(Country_6!$C102="","",Country_6!A102)</f>
        <v/>
      </c>
      <c r="B601" s="16" t="str">
        <f>IF(Country_6!$C102="","",Country_6!B102)</f>
        <v/>
      </c>
      <c r="C601" s="16" t="str">
        <f>IF(Country_6!$C102="","",Country_6!C102)</f>
        <v/>
      </c>
      <c r="D601" s="16" t="str">
        <f>IF(Country_6!$C102="","",Country_6!D102)</f>
        <v/>
      </c>
      <c r="E601" s="16" t="str">
        <f>IF(Country_6!$C102="","",Country_6!E102)</f>
        <v/>
      </c>
      <c r="F601" s="16" t="str">
        <f>IF(Country_6!$C102="","",Country_6!F102)</f>
        <v/>
      </c>
      <c r="G601" s="17" t="str">
        <f>IF(Country_6!$C102="","",Country_6!G102)</f>
        <v/>
      </c>
      <c r="H601" s="17" t="str">
        <f>IF(Country_6!$C102="","",Country_6!H102)</f>
        <v/>
      </c>
      <c r="I601" s="16" t="str">
        <f>IF(Country_6!$C102="","",Country_6!I102)</f>
        <v/>
      </c>
      <c r="J601" s="16" t="str">
        <f>IF(Country_6!$C102="","",Country_6!J102)</f>
        <v/>
      </c>
      <c r="K601" s="18" t="str">
        <f>IF(Country_6!$C102="","",Country_6!K102)</f>
        <v/>
      </c>
      <c r="L601" s="18" t="str">
        <f>IF(Country_6!$C102="","",Country_6!L102)</f>
        <v/>
      </c>
      <c r="M601" s="19" t="str">
        <f>IF(Country_6!$C102="","",Country_6!M102)</f>
        <v/>
      </c>
      <c r="N601" s="16" t="str">
        <f>IF(Country_6!$C102="","",Country_6!N102)</f>
        <v/>
      </c>
      <c r="O601" s="16" t="str">
        <f>IF(Country_6!$C102="","",Country_6!O102)</f>
        <v/>
      </c>
      <c r="P601" s="16" t="str">
        <f>IF(Country_6!$C102="","",Country_6!P102)</f>
        <v/>
      </c>
      <c r="Q601" s="16" t="str">
        <f>IF(Country_6!$C102="","",Country_6!Q102)</f>
        <v/>
      </c>
    </row>
    <row r="602" spans="1:17" x14ac:dyDescent="0.25">
      <c r="A602" s="16" t="str">
        <f>IF(Country_7!$C3="","",Country_7!A3)</f>
        <v>OI-103</v>
      </c>
      <c r="B602" s="16" t="str">
        <f>IF(Country_7!$C3="","",Country_7!B3)</f>
        <v>Supportive supervision visits conducted</v>
      </c>
      <c r="C602" s="16" t="str">
        <f>IF(Country_7!$C3="","",Country_7!C3)</f>
        <v>C7A001</v>
      </c>
      <c r="D602" s="16" t="str">
        <f>IF(Country_7!$C3="","",Country_7!D3)</f>
        <v>Supportive supervision visit 1</v>
      </c>
      <c r="E602" s="16" t="str">
        <f>IF(Country_7!$C3="","",Country_7!E3)</f>
        <v>Monitoring</v>
      </c>
      <c r="F602" s="16" t="str">
        <f>IF(Country_7!$C3="","",Country_7!F3)</f>
        <v>Country_7</v>
      </c>
      <c r="G602" s="17">
        <f>IF(Country_7!$C3="","",Country_7!G3)</f>
        <v>45292</v>
      </c>
      <c r="H602" s="17">
        <f>IF(Country_7!$C3="","",Country_7!H3)</f>
        <v>45382</v>
      </c>
      <c r="I602" s="16" t="str">
        <f>IF(Country_7!$C3="","",Country_7!I3)</f>
        <v>Year 1</v>
      </c>
      <c r="J602" s="16" t="str">
        <f>IF(Country_7!$C3="","",Country_7!J3)</f>
        <v>Y1Q1</v>
      </c>
      <c r="K602" s="18">
        <f>IF(Country_7!$C3="","",Country_7!K3)</f>
        <v>34</v>
      </c>
      <c r="L602" s="18">
        <f>IF(Country_7!$C3="","",Country_7!L3)</f>
        <v>41</v>
      </c>
      <c r="M602" s="19">
        <f>IF(Country_7!$C3="","",Country_7!M3)</f>
        <v>1.2058823529411764</v>
      </c>
      <c r="N602" s="16" t="str">
        <f>IF(Country_7!$C3="","",Country_7!N3)</f>
        <v>Supervision checklist; visit report</v>
      </c>
      <c r="O602" s="16" t="str">
        <f>IF(Country_7!$C3="","",Country_7!O3)</f>
        <v>No</v>
      </c>
      <c r="P602" s="16" t="str">
        <f>IF(Country_7!$C3="","",Country_7!P3)</f>
        <v>Completed</v>
      </c>
      <c r="Q602" s="16" t="str">
        <f>IF(Country_7!$C3="","",Country_7!Q3)</f>
        <v>Completed as scheduled.</v>
      </c>
    </row>
    <row r="603" spans="1:17" x14ac:dyDescent="0.25">
      <c r="A603" s="16" t="str">
        <f>IF(Country_7!$C4="","",Country_7!A4)</f>
        <v>OI-104</v>
      </c>
      <c r="B603" s="16" t="str">
        <f>IF(Country_7!$C4="","",Country_7!B4)</f>
        <v>Policy dialogues facilitated</v>
      </c>
      <c r="C603" s="16" t="str">
        <f>IF(Country_7!$C4="","",Country_7!C4)</f>
        <v>C7A002</v>
      </c>
      <c r="D603" s="16" t="str">
        <f>IF(Country_7!$C4="","",Country_7!D4)</f>
        <v>Policy dialogue 2</v>
      </c>
      <c r="E603" s="16" t="str">
        <f>IF(Country_7!$C4="","",Country_7!E4)</f>
        <v>Advocacy</v>
      </c>
      <c r="F603" s="16" t="str">
        <f>IF(Country_7!$C4="","",Country_7!F4)</f>
        <v>Country_7</v>
      </c>
      <c r="G603" s="17">
        <f>IF(Country_7!$C4="","",Country_7!G4)</f>
        <v>45383</v>
      </c>
      <c r="H603" s="17">
        <f>IF(Country_7!$C4="","",Country_7!H4)</f>
        <v>45473</v>
      </c>
      <c r="I603" s="16" t="str">
        <f>IF(Country_7!$C4="","",Country_7!I4)</f>
        <v>Year 1</v>
      </c>
      <c r="J603" s="16" t="str">
        <f>IF(Country_7!$C4="","",Country_7!J4)</f>
        <v>Y1Q2</v>
      </c>
      <c r="K603" s="18">
        <f>IF(Country_7!$C4="","",Country_7!K4)</f>
        <v>39</v>
      </c>
      <c r="L603" s="18">
        <f>IF(Country_7!$C4="","",Country_7!L4)</f>
        <v>42</v>
      </c>
      <c r="M603" s="19">
        <f>IF(Country_7!$C4="","",Country_7!M4)</f>
        <v>1.0769230769230769</v>
      </c>
      <c r="N603" s="16" t="str">
        <f>IF(Country_7!$C4="","",Country_7!N4)</f>
        <v>Meeting minutes; participant list</v>
      </c>
      <c r="O603" s="16" t="str">
        <f>IF(Country_7!$C4="","",Country_7!O4)</f>
        <v>Yes</v>
      </c>
      <c r="P603" s="16" t="str">
        <f>IF(Country_7!$C4="","",Country_7!P4)</f>
        <v>Completed</v>
      </c>
      <c r="Q603" s="16" t="str">
        <f>IF(Country_7!$C4="","",Country_7!Q4)</f>
        <v>Completed as scheduled.</v>
      </c>
    </row>
    <row r="604" spans="1:17" x14ac:dyDescent="0.25">
      <c r="A604" s="16" t="str">
        <f>IF(Country_7!$C5="","",Country_7!A5)</f>
        <v>OI-101</v>
      </c>
      <c r="B604" s="16" t="str">
        <f>IF(Country_7!$C5="","",Country_7!B5)</f>
        <v>People trained in targeted skills</v>
      </c>
      <c r="C604" s="16" t="str">
        <f>IF(Country_7!$C5="","",Country_7!C5)</f>
        <v>C7A003</v>
      </c>
      <c r="D604" s="16" t="str">
        <f>IF(Country_7!$C5="","",Country_7!D5)</f>
        <v>Training workshop 3</v>
      </c>
      <c r="E604" s="16" t="str">
        <f>IF(Country_7!$C5="","",Country_7!E5)</f>
        <v>Training</v>
      </c>
      <c r="F604" s="16" t="str">
        <f>IF(Country_7!$C5="","",Country_7!F5)</f>
        <v>Country_7</v>
      </c>
      <c r="G604" s="17">
        <f>IF(Country_7!$C5="","",Country_7!G5)</f>
        <v>45474</v>
      </c>
      <c r="H604" s="17">
        <f>IF(Country_7!$C5="","",Country_7!H5)</f>
        <v>45565</v>
      </c>
      <c r="I604" s="16" t="str">
        <f>IF(Country_7!$C5="","",Country_7!I5)</f>
        <v>Year 1</v>
      </c>
      <c r="J604" s="16" t="str">
        <f>IF(Country_7!$C5="","",Country_7!J5)</f>
        <v>Y1Q3</v>
      </c>
      <c r="K604" s="18">
        <f>IF(Country_7!$C5="","",Country_7!K5)</f>
        <v>44</v>
      </c>
      <c r="L604" s="18">
        <f>IF(Country_7!$C5="","",Country_7!L5)</f>
        <v>43</v>
      </c>
      <c r="M604" s="19">
        <f>IF(Country_7!$C5="","",Country_7!M5)</f>
        <v>0.97727272727272729</v>
      </c>
      <c r="N604" s="16" t="str">
        <f>IF(Country_7!$C5="","",Country_7!N5)</f>
        <v>Signed attendance sheet; pre/post test forms</v>
      </c>
      <c r="O604" s="16" t="str">
        <f>IF(Country_7!$C5="","",Country_7!O5)</f>
        <v>No</v>
      </c>
      <c r="P604" s="16" t="str">
        <f>IF(Country_7!$C5="","",Country_7!P5)</f>
        <v>In progress</v>
      </c>
      <c r="Q604" s="16" t="str">
        <f>IF(Country_7!$C5="","",Country_7!Q5)</f>
        <v>Final attendance reconciliation pending.</v>
      </c>
    </row>
    <row r="605" spans="1:17" x14ac:dyDescent="0.25">
      <c r="A605" s="16" t="str">
        <f>IF(Country_7!$C6="","",Country_7!A6)</f>
        <v>OI-102</v>
      </c>
      <c r="B605" s="16" t="str">
        <f>IF(Country_7!$C6="","",Country_7!B6)</f>
        <v>Community outreach events delivered</v>
      </c>
      <c r="C605" s="16" t="str">
        <f>IF(Country_7!$C6="","",Country_7!C6)</f>
        <v>C7A004</v>
      </c>
      <c r="D605" s="16" t="str">
        <f>IF(Country_7!$C6="","",Country_7!D6)</f>
        <v>Community outreach campaign 4</v>
      </c>
      <c r="E605" s="16" t="str">
        <f>IF(Country_7!$C6="","",Country_7!E6)</f>
        <v>Outreach</v>
      </c>
      <c r="F605" s="16" t="str">
        <f>IF(Country_7!$C6="","",Country_7!F6)</f>
        <v>Country_7</v>
      </c>
      <c r="G605" s="17">
        <f>IF(Country_7!$C6="","",Country_7!G6)</f>
        <v>45566</v>
      </c>
      <c r="H605" s="17">
        <f>IF(Country_7!$C6="","",Country_7!H6)</f>
        <v>45657</v>
      </c>
      <c r="I605" s="16" t="str">
        <f>IF(Country_7!$C6="","",Country_7!I6)</f>
        <v>Year 1</v>
      </c>
      <c r="J605" s="16" t="str">
        <f>IF(Country_7!$C6="","",Country_7!J6)</f>
        <v>Y1Q4</v>
      </c>
      <c r="K605" s="18">
        <f>IF(Country_7!$C6="","",Country_7!K6)</f>
        <v>49</v>
      </c>
      <c r="L605" s="18">
        <f>IF(Country_7!$C6="","",Country_7!L6)</f>
        <v>44</v>
      </c>
      <c r="M605" s="19">
        <f>IF(Country_7!$C6="","",Country_7!M6)</f>
        <v>0.89795918367346939</v>
      </c>
      <c r="N605" s="16" t="str">
        <f>IF(Country_7!$C6="","",Country_7!N6)</f>
        <v>Activity report; photo log</v>
      </c>
      <c r="O605" s="16" t="str">
        <f>IF(Country_7!$C6="","",Country_7!O6)</f>
        <v>No</v>
      </c>
      <c r="P605" s="16" t="str">
        <f>IF(Country_7!$C6="","",Country_7!P6)</f>
        <v>In progress</v>
      </c>
      <c r="Q605" s="16" t="str">
        <f>IF(Country_7!$C6="","",Country_7!Q6)</f>
        <v>Final attendance reconciliation pending.</v>
      </c>
    </row>
    <row r="606" spans="1:17" x14ac:dyDescent="0.25">
      <c r="A606" s="16" t="str">
        <f>IF(Country_7!$C7="","",Country_7!A7)</f>
        <v>OI-103</v>
      </c>
      <c r="B606" s="16" t="str">
        <f>IF(Country_7!$C7="","",Country_7!B7)</f>
        <v>Supportive supervision visits conducted</v>
      </c>
      <c r="C606" s="16" t="str">
        <f>IF(Country_7!$C7="","",Country_7!C7)</f>
        <v>C7A005</v>
      </c>
      <c r="D606" s="16" t="str">
        <f>IF(Country_7!$C7="","",Country_7!D7)</f>
        <v>Supportive supervision visit 5</v>
      </c>
      <c r="E606" s="16" t="str">
        <f>IF(Country_7!$C7="","",Country_7!E7)</f>
        <v>Monitoring</v>
      </c>
      <c r="F606" s="16" t="str">
        <f>IF(Country_7!$C7="","",Country_7!F7)</f>
        <v>Country_7</v>
      </c>
      <c r="G606" s="17">
        <f>IF(Country_7!$C7="","",Country_7!G7)</f>
        <v>45658</v>
      </c>
      <c r="H606" s="17">
        <f>IF(Country_7!$C7="","",Country_7!H7)</f>
        <v>45747</v>
      </c>
      <c r="I606" s="16" t="str">
        <f>IF(Country_7!$C7="","",Country_7!I7)</f>
        <v>Year 2</v>
      </c>
      <c r="J606" s="16" t="str">
        <f>IF(Country_7!$C7="","",Country_7!J7)</f>
        <v>Y2Q1</v>
      </c>
      <c r="K606" s="18">
        <f>IF(Country_7!$C7="","",Country_7!K7)</f>
        <v>54</v>
      </c>
      <c r="L606" s="18">
        <f>IF(Country_7!$C7="","",Country_7!L7)</f>
        <v>45</v>
      </c>
      <c r="M606" s="19">
        <f>IF(Country_7!$C7="","",Country_7!M7)</f>
        <v>0.83333333333333337</v>
      </c>
      <c r="N606" s="16" t="str">
        <f>IF(Country_7!$C7="","",Country_7!N7)</f>
        <v>Supervision checklist; visit report</v>
      </c>
      <c r="O606" s="16" t="str">
        <f>IF(Country_7!$C7="","",Country_7!O7)</f>
        <v>Yes</v>
      </c>
      <c r="P606" s="16" t="str">
        <f>IF(Country_7!$C7="","",Country_7!P7)</f>
        <v>In progress</v>
      </c>
      <c r="Q606" s="16" t="str">
        <f>IF(Country_7!$C7="","",Country_7!Q7)</f>
        <v>Final attendance reconciliation pending.</v>
      </c>
    </row>
    <row r="607" spans="1:17" x14ac:dyDescent="0.25">
      <c r="A607" s="16" t="str">
        <f>IF(Country_7!$C8="","",Country_7!A8)</f>
        <v>OI-104</v>
      </c>
      <c r="B607" s="16" t="str">
        <f>IF(Country_7!$C8="","",Country_7!B8)</f>
        <v>Policy dialogues facilitated</v>
      </c>
      <c r="C607" s="16" t="str">
        <f>IF(Country_7!$C8="","",Country_7!C8)</f>
        <v>C7A006</v>
      </c>
      <c r="D607" s="16" t="str">
        <f>IF(Country_7!$C8="","",Country_7!D8)</f>
        <v>Policy dialogue 6</v>
      </c>
      <c r="E607" s="16" t="str">
        <f>IF(Country_7!$C8="","",Country_7!E8)</f>
        <v>Advocacy</v>
      </c>
      <c r="F607" s="16" t="str">
        <f>IF(Country_7!$C8="","",Country_7!F8)</f>
        <v>Country_7</v>
      </c>
      <c r="G607" s="17">
        <f>IF(Country_7!$C8="","",Country_7!G8)</f>
        <v>45748</v>
      </c>
      <c r="H607" s="17">
        <f>IF(Country_7!$C8="","",Country_7!H8)</f>
        <v>45838</v>
      </c>
      <c r="I607" s="16" t="str">
        <f>IF(Country_7!$C8="","",Country_7!I8)</f>
        <v>Year 2</v>
      </c>
      <c r="J607" s="16" t="str">
        <f>IF(Country_7!$C8="","",Country_7!J8)</f>
        <v>Y2Q2</v>
      </c>
      <c r="K607" s="18">
        <f>IF(Country_7!$C8="","",Country_7!K8)</f>
        <v>59</v>
      </c>
      <c r="L607" s="18">
        <f>IF(Country_7!$C8="","",Country_7!L8)</f>
        <v>67</v>
      </c>
      <c r="M607" s="19">
        <f>IF(Country_7!$C8="","",Country_7!M8)</f>
        <v>1.1355932203389831</v>
      </c>
      <c r="N607" s="16" t="str">
        <f>IF(Country_7!$C8="","",Country_7!N8)</f>
        <v>Meeting minutes; participant list</v>
      </c>
      <c r="O607" s="16" t="str">
        <f>IF(Country_7!$C8="","",Country_7!O8)</f>
        <v>No</v>
      </c>
      <c r="P607" s="16" t="str">
        <f>IF(Country_7!$C8="","",Country_7!P8)</f>
        <v>Completed</v>
      </c>
      <c r="Q607" s="16" t="str">
        <f>IF(Country_7!$C8="","",Country_7!Q8)</f>
        <v>Completed as scheduled.</v>
      </c>
    </row>
    <row r="608" spans="1:17" x14ac:dyDescent="0.25">
      <c r="A608" s="16" t="str">
        <f>IF(Country_7!$C9="","",Country_7!A9)</f>
        <v/>
      </c>
      <c r="B608" s="16" t="str">
        <f>IF(Country_7!$C9="","",Country_7!B9)</f>
        <v/>
      </c>
      <c r="C608" s="16" t="str">
        <f>IF(Country_7!$C9="","",Country_7!C9)</f>
        <v/>
      </c>
      <c r="D608" s="16" t="str">
        <f>IF(Country_7!$C9="","",Country_7!D9)</f>
        <v/>
      </c>
      <c r="E608" s="16" t="str">
        <f>IF(Country_7!$C9="","",Country_7!E9)</f>
        <v/>
      </c>
      <c r="F608" s="16" t="str">
        <f>IF(Country_7!$C9="","",Country_7!F9)</f>
        <v/>
      </c>
      <c r="G608" s="17" t="str">
        <f>IF(Country_7!$C9="","",Country_7!G9)</f>
        <v/>
      </c>
      <c r="H608" s="17" t="str">
        <f>IF(Country_7!$C9="","",Country_7!H9)</f>
        <v/>
      </c>
      <c r="I608" s="16" t="str">
        <f>IF(Country_7!$C9="","",Country_7!I9)</f>
        <v/>
      </c>
      <c r="J608" s="16" t="str">
        <f>IF(Country_7!$C9="","",Country_7!J9)</f>
        <v/>
      </c>
      <c r="K608" s="18" t="str">
        <f>IF(Country_7!$C9="","",Country_7!K9)</f>
        <v/>
      </c>
      <c r="L608" s="18" t="str">
        <f>IF(Country_7!$C9="","",Country_7!L9)</f>
        <v/>
      </c>
      <c r="M608" s="19" t="str">
        <f>IF(Country_7!$C9="","",Country_7!M9)</f>
        <v/>
      </c>
      <c r="N608" s="16" t="str">
        <f>IF(Country_7!$C9="","",Country_7!N9)</f>
        <v/>
      </c>
      <c r="O608" s="16" t="str">
        <f>IF(Country_7!$C9="","",Country_7!O9)</f>
        <v/>
      </c>
      <c r="P608" s="16" t="str">
        <f>IF(Country_7!$C9="","",Country_7!P9)</f>
        <v/>
      </c>
      <c r="Q608" s="16" t="str">
        <f>IF(Country_7!$C9="","",Country_7!Q9)</f>
        <v/>
      </c>
    </row>
    <row r="609" spans="1:17" x14ac:dyDescent="0.25">
      <c r="A609" s="16" t="str">
        <f>IF(Country_7!$C10="","",Country_7!A10)</f>
        <v/>
      </c>
      <c r="B609" s="16" t="str">
        <f>IF(Country_7!$C10="","",Country_7!B10)</f>
        <v/>
      </c>
      <c r="C609" s="16" t="str">
        <f>IF(Country_7!$C10="","",Country_7!C10)</f>
        <v/>
      </c>
      <c r="D609" s="16" t="str">
        <f>IF(Country_7!$C10="","",Country_7!D10)</f>
        <v/>
      </c>
      <c r="E609" s="16" t="str">
        <f>IF(Country_7!$C10="","",Country_7!E10)</f>
        <v/>
      </c>
      <c r="F609" s="16" t="str">
        <f>IF(Country_7!$C10="","",Country_7!F10)</f>
        <v/>
      </c>
      <c r="G609" s="17" t="str">
        <f>IF(Country_7!$C10="","",Country_7!G10)</f>
        <v/>
      </c>
      <c r="H609" s="17" t="str">
        <f>IF(Country_7!$C10="","",Country_7!H10)</f>
        <v/>
      </c>
      <c r="I609" s="16" t="str">
        <f>IF(Country_7!$C10="","",Country_7!I10)</f>
        <v/>
      </c>
      <c r="J609" s="16" t="str">
        <f>IF(Country_7!$C10="","",Country_7!J10)</f>
        <v/>
      </c>
      <c r="K609" s="18" t="str">
        <f>IF(Country_7!$C10="","",Country_7!K10)</f>
        <v/>
      </c>
      <c r="L609" s="18" t="str">
        <f>IF(Country_7!$C10="","",Country_7!L10)</f>
        <v/>
      </c>
      <c r="M609" s="19" t="str">
        <f>IF(Country_7!$C10="","",Country_7!M10)</f>
        <v/>
      </c>
      <c r="N609" s="16" t="str">
        <f>IF(Country_7!$C10="","",Country_7!N10)</f>
        <v/>
      </c>
      <c r="O609" s="16" t="str">
        <f>IF(Country_7!$C10="","",Country_7!O10)</f>
        <v/>
      </c>
      <c r="P609" s="16" t="str">
        <f>IF(Country_7!$C10="","",Country_7!P10)</f>
        <v/>
      </c>
      <c r="Q609" s="16" t="str">
        <f>IF(Country_7!$C10="","",Country_7!Q10)</f>
        <v/>
      </c>
    </row>
    <row r="610" spans="1:17" x14ac:dyDescent="0.25">
      <c r="A610" s="16" t="str">
        <f>IF(Country_7!$C11="","",Country_7!A11)</f>
        <v/>
      </c>
      <c r="B610" s="16" t="str">
        <f>IF(Country_7!$C11="","",Country_7!B11)</f>
        <v/>
      </c>
      <c r="C610" s="16" t="str">
        <f>IF(Country_7!$C11="","",Country_7!C11)</f>
        <v/>
      </c>
      <c r="D610" s="16" t="str">
        <f>IF(Country_7!$C11="","",Country_7!D11)</f>
        <v/>
      </c>
      <c r="E610" s="16" t="str">
        <f>IF(Country_7!$C11="","",Country_7!E11)</f>
        <v/>
      </c>
      <c r="F610" s="16" t="str">
        <f>IF(Country_7!$C11="","",Country_7!F11)</f>
        <v/>
      </c>
      <c r="G610" s="17" t="str">
        <f>IF(Country_7!$C11="","",Country_7!G11)</f>
        <v/>
      </c>
      <c r="H610" s="17" t="str">
        <f>IF(Country_7!$C11="","",Country_7!H11)</f>
        <v/>
      </c>
      <c r="I610" s="16" t="str">
        <f>IF(Country_7!$C11="","",Country_7!I11)</f>
        <v/>
      </c>
      <c r="J610" s="16" t="str">
        <f>IF(Country_7!$C11="","",Country_7!J11)</f>
        <v/>
      </c>
      <c r="K610" s="18" t="str">
        <f>IF(Country_7!$C11="","",Country_7!K11)</f>
        <v/>
      </c>
      <c r="L610" s="18" t="str">
        <f>IF(Country_7!$C11="","",Country_7!L11)</f>
        <v/>
      </c>
      <c r="M610" s="19" t="str">
        <f>IF(Country_7!$C11="","",Country_7!M11)</f>
        <v/>
      </c>
      <c r="N610" s="16" t="str">
        <f>IF(Country_7!$C11="","",Country_7!N11)</f>
        <v/>
      </c>
      <c r="O610" s="16" t="str">
        <f>IF(Country_7!$C11="","",Country_7!O11)</f>
        <v/>
      </c>
      <c r="P610" s="16" t="str">
        <f>IF(Country_7!$C11="","",Country_7!P11)</f>
        <v/>
      </c>
      <c r="Q610" s="16" t="str">
        <f>IF(Country_7!$C11="","",Country_7!Q11)</f>
        <v/>
      </c>
    </row>
    <row r="611" spans="1:17" x14ac:dyDescent="0.25">
      <c r="A611" s="16" t="str">
        <f>IF(Country_7!$C12="","",Country_7!A12)</f>
        <v/>
      </c>
      <c r="B611" s="16" t="str">
        <f>IF(Country_7!$C12="","",Country_7!B12)</f>
        <v/>
      </c>
      <c r="C611" s="16" t="str">
        <f>IF(Country_7!$C12="","",Country_7!C12)</f>
        <v/>
      </c>
      <c r="D611" s="16" t="str">
        <f>IF(Country_7!$C12="","",Country_7!D12)</f>
        <v/>
      </c>
      <c r="E611" s="16" t="str">
        <f>IF(Country_7!$C12="","",Country_7!E12)</f>
        <v/>
      </c>
      <c r="F611" s="16" t="str">
        <f>IF(Country_7!$C12="","",Country_7!F12)</f>
        <v/>
      </c>
      <c r="G611" s="17" t="str">
        <f>IF(Country_7!$C12="","",Country_7!G12)</f>
        <v/>
      </c>
      <c r="H611" s="17" t="str">
        <f>IF(Country_7!$C12="","",Country_7!H12)</f>
        <v/>
      </c>
      <c r="I611" s="16" t="str">
        <f>IF(Country_7!$C12="","",Country_7!I12)</f>
        <v/>
      </c>
      <c r="J611" s="16" t="str">
        <f>IF(Country_7!$C12="","",Country_7!J12)</f>
        <v/>
      </c>
      <c r="K611" s="18" t="str">
        <f>IF(Country_7!$C12="","",Country_7!K12)</f>
        <v/>
      </c>
      <c r="L611" s="18" t="str">
        <f>IF(Country_7!$C12="","",Country_7!L12)</f>
        <v/>
      </c>
      <c r="M611" s="19" t="str">
        <f>IF(Country_7!$C12="","",Country_7!M12)</f>
        <v/>
      </c>
      <c r="N611" s="16" t="str">
        <f>IF(Country_7!$C12="","",Country_7!N12)</f>
        <v/>
      </c>
      <c r="O611" s="16" t="str">
        <f>IF(Country_7!$C12="","",Country_7!O12)</f>
        <v/>
      </c>
      <c r="P611" s="16" t="str">
        <f>IF(Country_7!$C12="","",Country_7!P12)</f>
        <v/>
      </c>
      <c r="Q611" s="16" t="str">
        <f>IF(Country_7!$C12="","",Country_7!Q12)</f>
        <v/>
      </c>
    </row>
    <row r="612" spans="1:17" x14ac:dyDescent="0.25">
      <c r="A612" s="16" t="str">
        <f>IF(Country_7!$C13="","",Country_7!A13)</f>
        <v/>
      </c>
      <c r="B612" s="16" t="str">
        <f>IF(Country_7!$C13="","",Country_7!B13)</f>
        <v/>
      </c>
      <c r="C612" s="16" t="str">
        <f>IF(Country_7!$C13="","",Country_7!C13)</f>
        <v/>
      </c>
      <c r="D612" s="16" t="str">
        <f>IF(Country_7!$C13="","",Country_7!D13)</f>
        <v/>
      </c>
      <c r="E612" s="16" t="str">
        <f>IF(Country_7!$C13="","",Country_7!E13)</f>
        <v/>
      </c>
      <c r="F612" s="16" t="str">
        <f>IF(Country_7!$C13="","",Country_7!F13)</f>
        <v/>
      </c>
      <c r="G612" s="17" t="str">
        <f>IF(Country_7!$C13="","",Country_7!G13)</f>
        <v/>
      </c>
      <c r="H612" s="17" t="str">
        <f>IF(Country_7!$C13="","",Country_7!H13)</f>
        <v/>
      </c>
      <c r="I612" s="16" t="str">
        <f>IF(Country_7!$C13="","",Country_7!I13)</f>
        <v/>
      </c>
      <c r="J612" s="16" t="str">
        <f>IF(Country_7!$C13="","",Country_7!J13)</f>
        <v/>
      </c>
      <c r="K612" s="18" t="str">
        <f>IF(Country_7!$C13="","",Country_7!K13)</f>
        <v/>
      </c>
      <c r="L612" s="18" t="str">
        <f>IF(Country_7!$C13="","",Country_7!L13)</f>
        <v/>
      </c>
      <c r="M612" s="19" t="str">
        <f>IF(Country_7!$C13="","",Country_7!M13)</f>
        <v/>
      </c>
      <c r="N612" s="16" t="str">
        <f>IF(Country_7!$C13="","",Country_7!N13)</f>
        <v/>
      </c>
      <c r="O612" s="16" t="str">
        <f>IF(Country_7!$C13="","",Country_7!O13)</f>
        <v/>
      </c>
      <c r="P612" s="16" t="str">
        <f>IF(Country_7!$C13="","",Country_7!P13)</f>
        <v/>
      </c>
      <c r="Q612" s="16" t="str">
        <f>IF(Country_7!$C13="","",Country_7!Q13)</f>
        <v/>
      </c>
    </row>
    <row r="613" spans="1:17" x14ac:dyDescent="0.25">
      <c r="A613" s="16" t="str">
        <f>IF(Country_7!$C14="","",Country_7!A14)</f>
        <v/>
      </c>
      <c r="B613" s="16" t="str">
        <f>IF(Country_7!$C14="","",Country_7!B14)</f>
        <v/>
      </c>
      <c r="C613" s="16" t="str">
        <f>IF(Country_7!$C14="","",Country_7!C14)</f>
        <v/>
      </c>
      <c r="D613" s="16" t="str">
        <f>IF(Country_7!$C14="","",Country_7!D14)</f>
        <v/>
      </c>
      <c r="E613" s="16" t="str">
        <f>IF(Country_7!$C14="","",Country_7!E14)</f>
        <v/>
      </c>
      <c r="F613" s="16" t="str">
        <f>IF(Country_7!$C14="","",Country_7!F14)</f>
        <v/>
      </c>
      <c r="G613" s="17" t="str">
        <f>IF(Country_7!$C14="","",Country_7!G14)</f>
        <v/>
      </c>
      <c r="H613" s="17" t="str">
        <f>IF(Country_7!$C14="","",Country_7!H14)</f>
        <v/>
      </c>
      <c r="I613" s="16" t="str">
        <f>IF(Country_7!$C14="","",Country_7!I14)</f>
        <v/>
      </c>
      <c r="J613" s="16" t="str">
        <f>IF(Country_7!$C14="","",Country_7!J14)</f>
        <v/>
      </c>
      <c r="K613" s="18" t="str">
        <f>IF(Country_7!$C14="","",Country_7!K14)</f>
        <v/>
      </c>
      <c r="L613" s="18" t="str">
        <f>IF(Country_7!$C14="","",Country_7!L14)</f>
        <v/>
      </c>
      <c r="M613" s="19" t="str">
        <f>IF(Country_7!$C14="","",Country_7!M14)</f>
        <v/>
      </c>
      <c r="N613" s="16" t="str">
        <f>IF(Country_7!$C14="","",Country_7!N14)</f>
        <v/>
      </c>
      <c r="O613" s="16" t="str">
        <f>IF(Country_7!$C14="","",Country_7!O14)</f>
        <v/>
      </c>
      <c r="P613" s="16" t="str">
        <f>IF(Country_7!$C14="","",Country_7!P14)</f>
        <v/>
      </c>
      <c r="Q613" s="16" t="str">
        <f>IF(Country_7!$C14="","",Country_7!Q14)</f>
        <v/>
      </c>
    </row>
    <row r="614" spans="1:17" x14ac:dyDescent="0.25">
      <c r="A614" s="16" t="str">
        <f>IF(Country_7!$C15="","",Country_7!A15)</f>
        <v/>
      </c>
      <c r="B614" s="16" t="str">
        <f>IF(Country_7!$C15="","",Country_7!B15)</f>
        <v/>
      </c>
      <c r="C614" s="16" t="str">
        <f>IF(Country_7!$C15="","",Country_7!C15)</f>
        <v/>
      </c>
      <c r="D614" s="16" t="str">
        <f>IF(Country_7!$C15="","",Country_7!D15)</f>
        <v/>
      </c>
      <c r="E614" s="16" t="str">
        <f>IF(Country_7!$C15="","",Country_7!E15)</f>
        <v/>
      </c>
      <c r="F614" s="16" t="str">
        <f>IF(Country_7!$C15="","",Country_7!F15)</f>
        <v/>
      </c>
      <c r="G614" s="17" t="str">
        <f>IF(Country_7!$C15="","",Country_7!G15)</f>
        <v/>
      </c>
      <c r="H614" s="17" t="str">
        <f>IF(Country_7!$C15="","",Country_7!H15)</f>
        <v/>
      </c>
      <c r="I614" s="16" t="str">
        <f>IF(Country_7!$C15="","",Country_7!I15)</f>
        <v/>
      </c>
      <c r="J614" s="16" t="str">
        <f>IF(Country_7!$C15="","",Country_7!J15)</f>
        <v/>
      </c>
      <c r="K614" s="18" t="str">
        <f>IF(Country_7!$C15="","",Country_7!K15)</f>
        <v/>
      </c>
      <c r="L614" s="18" t="str">
        <f>IF(Country_7!$C15="","",Country_7!L15)</f>
        <v/>
      </c>
      <c r="M614" s="19" t="str">
        <f>IF(Country_7!$C15="","",Country_7!M15)</f>
        <v/>
      </c>
      <c r="N614" s="16" t="str">
        <f>IF(Country_7!$C15="","",Country_7!N15)</f>
        <v/>
      </c>
      <c r="O614" s="16" t="str">
        <f>IF(Country_7!$C15="","",Country_7!O15)</f>
        <v/>
      </c>
      <c r="P614" s="16" t="str">
        <f>IF(Country_7!$C15="","",Country_7!P15)</f>
        <v/>
      </c>
      <c r="Q614" s="16" t="str">
        <f>IF(Country_7!$C15="","",Country_7!Q15)</f>
        <v/>
      </c>
    </row>
    <row r="615" spans="1:17" x14ac:dyDescent="0.25">
      <c r="A615" s="16" t="str">
        <f>IF(Country_7!$C16="","",Country_7!A16)</f>
        <v/>
      </c>
      <c r="B615" s="16" t="str">
        <f>IF(Country_7!$C16="","",Country_7!B16)</f>
        <v/>
      </c>
      <c r="C615" s="16" t="str">
        <f>IF(Country_7!$C16="","",Country_7!C16)</f>
        <v/>
      </c>
      <c r="D615" s="16" t="str">
        <f>IF(Country_7!$C16="","",Country_7!D16)</f>
        <v/>
      </c>
      <c r="E615" s="16" t="str">
        <f>IF(Country_7!$C16="","",Country_7!E16)</f>
        <v/>
      </c>
      <c r="F615" s="16" t="str">
        <f>IF(Country_7!$C16="","",Country_7!F16)</f>
        <v/>
      </c>
      <c r="G615" s="17" t="str">
        <f>IF(Country_7!$C16="","",Country_7!G16)</f>
        <v/>
      </c>
      <c r="H615" s="17" t="str">
        <f>IF(Country_7!$C16="","",Country_7!H16)</f>
        <v/>
      </c>
      <c r="I615" s="16" t="str">
        <f>IF(Country_7!$C16="","",Country_7!I16)</f>
        <v/>
      </c>
      <c r="J615" s="16" t="str">
        <f>IF(Country_7!$C16="","",Country_7!J16)</f>
        <v/>
      </c>
      <c r="K615" s="18" t="str">
        <f>IF(Country_7!$C16="","",Country_7!K16)</f>
        <v/>
      </c>
      <c r="L615" s="18" t="str">
        <f>IF(Country_7!$C16="","",Country_7!L16)</f>
        <v/>
      </c>
      <c r="M615" s="19" t="str">
        <f>IF(Country_7!$C16="","",Country_7!M16)</f>
        <v/>
      </c>
      <c r="N615" s="16" t="str">
        <f>IF(Country_7!$C16="","",Country_7!N16)</f>
        <v/>
      </c>
      <c r="O615" s="16" t="str">
        <f>IF(Country_7!$C16="","",Country_7!O16)</f>
        <v/>
      </c>
      <c r="P615" s="16" t="str">
        <f>IF(Country_7!$C16="","",Country_7!P16)</f>
        <v/>
      </c>
      <c r="Q615" s="16" t="str">
        <f>IF(Country_7!$C16="","",Country_7!Q16)</f>
        <v/>
      </c>
    </row>
    <row r="616" spans="1:17" x14ac:dyDescent="0.25">
      <c r="A616" s="16" t="str">
        <f>IF(Country_7!$C17="","",Country_7!A17)</f>
        <v/>
      </c>
      <c r="B616" s="16" t="str">
        <f>IF(Country_7!$C17="","",Country_7!B17)</f>
        <v/>
      </c>
      <c r="C616" s="16" t="str">
        <f>IF(Country_7!$C17="","",Country_7!C17)</f>
        <v/>
      </c>
      <c r="D616" s="16" t="str">
        <f>IF(Country_7!$C17="","",Country_7!D17)</f>
        <v/>
      </c>
      <c r="E616" s="16" t="str">
        <f>IF(Country_7!$C17="","",Country_7!E17)</f>
        <v/>
      </c>
      <c r="F616" s="16" t="str">
        <f>IF(Country_7!$C17="","",Country_7!F17)</f>
        <v/>
      </c>
      <c r="G616" s="17" t="str">
        <f>IF(Country_7!$C17="","",Country_7!G17)</f>
        <v/>
      </c>
      <c r="H616" s="17" t="str">
        <f>IF(Country_7!$C17="","",Country_7!H17)</f>
        <v/>
      </c>
      <c r="I616" s="16" t="str">
        <f>IF(Country_7!$C17="","",Country_7!I17)</f>
        <v/>
      </c>
      <c r="J616" s="16" t="str">
        <f>IF(Country_7!$C17="","",Country_7!J17)</f>
        <v/>
      </c>
      <c r="K616" s="18" t="str">
        <f>IF(Country_7!$C17="","",Country_7!K17)</f>
        <v/>
      </c>
      <c r="L616" s="18" t="str">
        <f>IF(Country_7!$C17="","",Country_7!L17)</f>
        <v/>
      </c>
      <c r="M616" s="19" t="str">
        <f>IF(Country_7!$C17="","",Country_7!M17)</f>
        <v/>
      </c>
      <c r="N616" s="16" t="str">
        <f>IF(Country_7!$C17="","",Country_7!N17)</f>
        <v/>
      </c>
      <c r="O616" s="16" t="str">
        <f>IF(Country_7!$C17="","",Country_7!O17)</f>
        <v/>
      </c>
      <c r="P616" s="16" t="str">
        <f>IF(Country_7!$C17="","",Country_7!P17)</f>
        <v/>
      </c>
      <c r="Q616" s="16" t="str">
        <f>IF(Country_7!$C17="","",Country_7!Q17)</f>
        <v/>
      </c>
    </row>
    <row r="617" spans="1:17" x14ac:dyDescent="0.25">
      <c r="A617" s="16" t="str">
        <f>IF(Country_7!$C18="","",Country_7!A18)</f>
        <v/>
      </c>
      <c r="B617" s="16" t="str">
        <f>IF(Country_7!$C18="","",Country_7!B18)</f>
        <v/>
      </c>
      <c r="C617" s="16" t="str">
        <f>IF(Country_7!$C18="","",Country_7!C18)</f>
        <v/>
      </c>
      <c r="D617" s="16" t="str">
        <f>IF(Country_7!$C18="","",Country_7!D18)</f>
        <v/>
      </c>
      <c r="E617" s="16" t="str">
        <f>IF(Country_7!$C18="","",Country_7!E18)</f>
        <v/>
      </c>
      <c r="F617" s="16" t="str">
        <f>IF(Country_7!$C18="","",Country_7!F18)</f>
        <v/>
      </c>
      <c r="G617" s="17" t="str">
        <f>IF(Country_7!$C18="","",Country_7!G18)</f>
        <v/>
      </c>
      <c r="H617" s="17" t="str">
        <f>IF(Country_7!$C18="","",Country_7!H18)</f>
        <v/>
      </c>
      <c r="I617" s="16" t="str">
        <f>IF(Country_7!$C18="","",Country_7!I18)</f>
        <v/>
      </c>
      <c r="J617" s="16" t="str">
        <f>IF(Country_7!$C18="","",Country_7!J18)</f>
        <v/>
      </c>
      <c r="K617" s="18" t="str">
        <f>IF(Country_7!$C18="","",Country_7!K18)</f>
        <v/>
      </c>
      <c r="L617" s="18" t="str">
        <f>IF(Country_7!$C18="","",Country_7!L18)</f>
        <v/>
      </c>
      <c r="M617" s="19" t="str">
        <f>IF(Country_7!$C18="","",Country_7!M18)</f>
        <v/>
      </c>
      <c r="N617" s="16" t="str">
        <f>IF(Country_7!$C18="","",Country_7!N18)</f>
        <v/>
      </c>
      <c r="O617" s="16" t="str">
        <f>IF(Country_7!$C18="","",Country_7!O18)</f>
        <v/>
      </c>
      <c r="P617" s="16" t="str">
        <f>IF(Country_7!$C18="","",Country_7!P18)</f>
        <v/>
      </c>
      <c r="Q617" s="16" t="str">
        <f>IF(Country_7!$C18="","",Country_7!Q18)</f>
        <v/>
      </c>
    </row>
    <row r="618" spans="1:17" x14ac:dyDescent="0.25">
      <c r="A618" s="16" t="str">
        <f>IF(Country_7!$C19="","",Country_7!A19)</f>
        <v/>
      </c>
      <c r="B618" s="16" t="str">
        <f>IF(Country_7!$C19="","",Country_7!B19)</f>
        <v/>
      </c>
      <c r="C618" s="16" t="str">
        <f>IF(Country_7!$C19="","",Country_7!C19)</f>
        <v/>
      </c>
      <c r="D618" s="16" t="str">
        <f>IF(Country_7!$C19="","",Country_7!D19)</f>
        <v/>
      </c>
      <c r="E618" s="16" t="str">
        <f>IF(Country_7!$C19="","",Country_7!E19)</f>
        <v/>
      </c>
      <c r="F618" s="16" t="str">
        <f>IF(Country_7!$C19="","",Country_7!F19)</f>
        <v/>
      </c>
      <c r="G618" s="17" t="str">
        <f>IF(Country_7!$C19="","",Country_7!G19)</f>
        <v/>
      </c>
      <c r="H618" s="17" t="str">
        <f>IF(Country_7!$C19="","",Country_7!H19)</f>
        <v/>
      </c>
      <c r="I618" s="16" t="str">
        <f>IF(Country_7!$C19="","",Country_7!I19)</f>
        <v/>
      </c>
      <c r="J618" s="16" t="str">
        <f>IF(Country_7!$C19="","",Country_7!J19)</f>
        <v/>
      </c>
      <c r="K618" s="18" t="str">
        <f>IF(Country_7!$C19="","",Country_7!K19)</f>
        <v/>
      </c>
      <c r="L618" s="18" t="str">
        <f>IF(Country_7!$C19="","",Country_7!L19)</f>
        <v/>
      </c>
      <c r="M618" s="19" t="str">
        <f>IF(Country_7!$C19="","",Country_7!M19)</f>
        <v/>
      </c>
      <c r="N618" s="16" t="str">
        <f>IF(Country_7!$C19="","",Country_7!N19)</f>
        <v/>
      </c>
      <c r="O618" s="16" t="str">
        <f>IF(Country_7!$C19="","",Country_7!O19)</f>
        <v/>
      </c>
      <c r="P618" s="16" t="str">
        <f>IF(Country_7!$C19="","",Country_7!P19)</f>
        <v/>
      </c>
      <c r="Q618" s="16" t="str">
        <f>IF(Country_7!$C19="","",Country_7!Q19)</f>
        <v/>
      </c>
    </row>
    <row r="619" spans="1:17" x14ac:dyDescent="0.25">
      <c r="A619" s="16" t="str">
        <f>IF(Country_7!$C20="","",Country_7!A20)</f>
        <v/>
      </c>
      <c r="B619" s="16" t="str">
        <f>IF(Country_7!$C20="","",Country_7!B20)</f>
        <v/>
      </c>
      <c r="C619" s="16" t="str">
        <f>IF(Country_7!$C20="","",Country_7!C20)</f>
        <v/>
      </c>
      <c r="D619" s="16" t="str">
        <f>IF(Country_7!$C20="","",Country_7!D20)</f>
        <v/>
      </c>
      <c r="E619" s="16" t="str">
        <f>IF(Country_7!$C20="","",Country_7!E20)</f>
        <v/>
      </c>
      <c r="F619" s="16" t="str">
        <f>IF(Country_7!$C20="","",Country_7!F20)</f>
        <v/>
      </c>
      <c r="G619" s="17" t="str">
        <f>IF(Country_7!$C20="","",Country_7!G20)</f>
        <v/>
      </c>
      <c r="H619" s="17" t="str">
        <f>IF(Country_7!$C20="","",Country_7!H20)</f>
        <v/>
      </c>
      <c r="I619" s="16" t="str">
        <f>IF(Country_7!$C20="","",Country_7!I20)</f>
        <v/>
      </c>
      <c r="J619" s="16" t="str">
        <f>IF(Country_7!$C20="","",Country_7!J20)</f>
        <v/>
      </c>
      <c r="K619" s="18" t="str">
        <f>IF(Country_7!$C20="","",Country_7!K20)</f>
        <v/>
      </c>
      <c r="L619" s="18" t="str">
        <f>IF(Country_7!$C20="","",Country_7!L20)</f>
        <v/>
      </c>
      <c r="M619" s="19" t="str">
        <f>IF(Country_7!$C20="","",Country_7!M20)</f>
        <v/>
      </c>
      <c r="N619" s="16" t="str">
        <f>IF(Country_7!$C20="","",Country_7!N20)</f>
        <v/>
      </c>
      <c r="O619" s="16" t="str">
        <f>IF(Country_7!$C20="","",Country_7!O20)</f>
        <v/>
      </c>
      <c r="P619" s="16" t="str">
        <f>IF(Country_7!$C20="","",Country_7!P20)</f>
        <v/>
      </c>
      <c r="Q619" s="16" t="str">
        <f>IF(Country_7!$C20="","",Country_7!Q20)</f>
        <v/>
      </c>
    </row>
    <row r="620" spans="1:17" x14ac:dyDescent="0.25">
      <c r="A620" s="16" t="str">
        <f>IF(Country_7!$C21="","",Country_7!A21)</f>
        <v/>
      </c>
      <c r="B620" s="16" t="str">
        <f>IF(Country_7!$C21="","",Country_7!B21)</f>
        <v/>
      </c>
      <c r="C620" s="16" t="str">
        <f>IF(Country_7!$C21="","",Country_7!C21)</f>
        <v/>
      </c>
      <c r="D620" s="16" t="str">
        <f>IF(Country_7!$C21="","",Country_7!D21)</f>
        <v/>
      </c>
      <c r="E620" s="16" t="str">
        <f>IF(Country_7!$C21="","",Country_7!E21)</f>
        <v/>
      </c>
      <c r="F620" s="16" t="str">
        <f>IF(Country_7!$C21="","",Country_7!F21)</f>
        <v/>
      </c>
      <c r="G620" s="17" t="str">
        <f>IF(Country_7!$C21="","",Country_7!G21)</f>
        <v/>
      </c>
      <c r="H620" s="17" t="str">
        <f>IF(Country_7!$C21="","",Country_7!H21)</f>
        <v/>
      </c>
      <c r="I620" s="16" t="str">
        <f>IF(Country_7!$C21="","",Country_7!I21)</f>
        <v/>
      </c>
      <c r="J620" s="16" t="str">
        <f>IF(Country_7!$C21="","",Country_7!J21)</f>
        <v/>
      </c>
      <c r="K620" s="18" t="str">
        <f>IF(Country_7!$C21="","",Country_7!K21)</f>
        <v/>
      </c>
      <c r="L620" s="18" t="str">
        <f>IF(Country_7!$C21="","",Country_7!L21)</f>
        <v/>
      </c>
      <c r="M620" s="19" t="str">
        <f>IF(Country_7!$C21="","",Country_7!M21)</f>
        <v/>
      </c>
      <c r="N620" s="16" t="str">
        <f>IF(Country_7!$C21="","",Country_7!N21)</f>
        <v/>
      </c>
      <c r="O620" s="16" t="str">
        <f>IF(Country_7!$C21="","",Country_7!O21)</f>
        <v/>
      </c>
      <c r="P620" s="16" t="str">
        <f>IF(Country_7!$C21="","",Country_7!P21)</f>
        <v/>
      </c>
      <c r="Q620" s="16" t="str">
        <f>IF(Country_7!$C21="","",Country_7!Q21)</f>
        <v/>
      </c>
    </row>
    <row r="621" spans="1:17" x14ac:dyDescent="0.25">
      <c r="A621" s="16" t="str">
        <f>IF(Country_7!$C22="","",Country_7!A22)</f>
        <v/>
      </c>
      <c r="B621" s="16" t="str">
        <f>IF(Country_7!$C22="","",Country_7!B22)</f>
        <v/>
      </c>
      <c r="C621" s="16" t="str">
        <f>IF(Country_7!$C22="","",Country_7!C22)</f>
        <v/>
      </c>
      <c r="D621" s="16" t="str">
        <f>IF(Country_7!$C22="","",Country_7!D22)</f>
        <v/>
      </c>
      <c r="E621" s="16" t="str">
        <f>IF(Country_7!$C22="","",Country_7!E22)</f>
        <v/>
      </c>
      <c r="F621" s="16" t="str">
        <f>IF(Country_7!$C22="","",Country_7!F22)</f>
        <v/>
      </c>
      <c r="G621" s="17" t="str">
        <f>IF(Country_7!$C22="","",Country_7!G22)</f>
        <v/>
      </c>
      <c r="H621" s="17" t="str">
        <f>IF(Country_7!$C22="","",Country_7!H22)</f>
        <v/>
      </c>
      <c r="I621" s="16" t="str">
        <f>IF(Country_7!$C22="","",Country_7!I22)</f>
        <v/>
      </c>
      <c r="J621" s="16" t="str">
        <f>IF(Country_7!$C22="","",Country_7!J22)</f>
        <v/>
      </c>
      <c r="K621" s="18" t="str">
        <f>IF(Country_7!$C22="","",Country_7!K22)</f>
        <v/>
      </c>
      <c r="L621" s="18" t="str">
        <f>IF(Country_7!$C22="","",Country_7!L22)</f>
        <v/>
      </c>
      <c r="M621" s="19" t="str">
        <f>IF(Country_7!$C22="","",Country_7!M22)</f>
        <v/>
      </c>
      <c r="N621" s="16" t="str">
        <f>IF(Country_7!$C22="","",Country_7!N22)</f>
        <v/>
      </c>
      <c r="O621" s="16" t="str">
        <f>IF(Country_7!$C22="","",Country_7!O22)</f>
        <v/>
      </c>
      <c r="P621" s="16" t="str">
        <f>IF(Country_7!$C22="","",Country_7!P22)</f>
        <v/>
      </c>
      <c r="Q621" s="16" t="str">
        <f>IF(Country_7!$C22="","",Country_7!Q22)</f>
        <v/>
      </c>
    </row>
    <row r="622" spans="1:17" x14ac:dyDescent="0.25">
      <c r="A622" s="16" t="str">
        <f>IF(Country_7!$C23="","",Country_7!A23)</f>
        <v/>
      </c>
      <c r="B622" s="16" t="str">
        <f>IF(Country_7!$C23="","",Country_7!B23)</f>
        <v/>
      </c>
      <c r="C622" s="16" t="str">
        <f>IF(Country_7!$C23="","",Country_7!C23)</f>
        <v/>
      </c>
      <c r="D622" s="16" t="str">
        <f>IF(Country_7!$C23="","",Country_7!D23)</f>
        <v/>
      </c>
      <c r="E622" s="16" t="str">
        <f>IF(Country_7!$C23="","",Country_7!E23)</f>
        <v/>
      </c>
      <c r="F622" s="16" t="str">
        <f>IF(Country_7!$C23="","",Country_7!F23)</f>
        <v/>
      </c>
      <c r="G622" s="17" t="str">
        <f>IF(Country_7!$C23="","",Country_7!G23)</f>
        <v/>
      </c>
      <c r="H622" s="17" t="str">
        <f>IF(Country_7!$C23="","",Country_7!H23)</f>
        <v/>
      </c>
      <c r="I622" s="16" t="str">
        <f>IF(Country_7!$C23="","",Country_7!I23)</f>
        <v/>
      </c>
      <c r="J622" s="16" t="str">
        <f>IF(Country_7!$C23="","",Country_7!J23)</f>
        <v/>
      </c>
      <c r="K622" s="18" t="str">
        <f>IF(Country_7!$C23="","",Country_7!K23)</f>
        <v/>
      </c>
      <c r="L622" s="18" t="str">
        <f>IF(Country_7!$C23="","",Country_7!L23)</f>
        <v/>
      </c>
      <c r="M622" s="19" t="str">
        <f>IF(Country_7!$C23="","",Country_7!M23)</f>
        <v/>
      </c>
      <c r="N622" s="16" t="str">
        <f>IF(Country_7!$C23="","",Country_7!N23)</f>
        <v/>
      </c>
      <c r="O622" s="16" t="str">
        <f>IF(Country_7!$C23="","",Country_7!O23)</f>
        <v/>
      </c>
      <c r="P622" s="16" t="str">
        <f>IF(Country_7!$C23="","",Country_7!P23)</f>
        <v/>
      </c>
      <c r="Q622" s="16" t="str">
        <f>IF(Country_7!$C23="","",Country_7!Q23)</f>
        <v/>
      </c>
    </row>
    <row r="623" spans="1:17" x14ac:dyDescent="0.25">
      <c r="A623" s="16" t="str">
        <f>IF(Country_7!$C24="","",Country_7!A24)</f>
        <v/>
      </c>
      <c r="B623" s="16" t="str">
        <f>IF(Country_7!$C24="","",Country_7!B24)</f>
        <v/>
      </c>
      <c r="C623" s="16" t="str">
        <f>IF(Country_7!$C24="","",Country_7!C24)</f>
        <v/>
      </c>
      <c r="D623" s="16" t="str">
        <f>IF(Country_7!$C24="","",Country_7!D24)</f>
        <v/>
      </c>
      <c r="E623" s="16" t="str">
        <f>IF(Country_7!$C24="","",Country_7!E24)</f>
        <v/>
      </c>
      <c r="F623" s="16" t="str">
        <f>IF(Country_7!$C24="","",Country_7!F24)</f>
        <v/>
      </c>
      <c r="G623" s="17" t="str">
        <f>IF(Country_7!$C24="","",Country_7!G24)</f>
        <v/>
      </c>
      <c r="H623" s="17" t="str">
        <f>IF(Country_7!$C24="","",Country_7!H24)</f>
        <v/>
      </c>
      <c r="I623" s="16" t="str">
        <f>IF(Country_7!$C24="","",Country_7!I24)</f>
        <v/>
      </c>
      <c r="J623" s="16" t="str">
        <f>IF(Country_7!$C24="","",Country_7!J24)</f>
        <v/>
      </c>
      <c r="K623" s="18" t="str">
        <f>IF(Country_7!$C24="","",Country_7!K24)</f>
        <v/>
      </c>
      <c r="L623" s="18" t="str">
        <f>IF(Country_7!$C24="","",Country_7!L24)</f>
        <v/>
      </c>
      <c r="M623" s="19" t="str">
        <f>IF(Country_7!$C24="","",Country_7!M24)</f>
        <v/>
      </c>
      <c r="N623" s="16" t="str">
        <f>IF(Country_7!$C24="","",Country_7!N24)</f>
        <v/>
      </c>
      <c r="O623" s="16" t="str">
        <f>IF(Country_7!$C24="","",Country_7!O24)</f>
        <v/>
      </c>
      <c r="P623" s="16" t="str">
        <f>IF(Country_7!$C24="","",Country_7!P24)</f>
        <v/>
      </c>
      <c r="Q623" s="16" t="str">
        <f>IF(Country_7!$C24="","",Country_7!Q24)</f>
        <v/>
      </c>
    </row>
    <row r="624" spans="1:17" x14ac:dyDescent="0.25">
      <c r="A624" s="16" t="str">
        <f>IF(Country_7!$C25="","",Country_7!A25)</f>
        <v/>
      </c>
      <c r="B624" s="16" t="str">
        <f>IF(Country_7!$C25="","",Country_7!B25)</f>
        <v/>
      </c>
      <c r="C624" s="16" t="str">
        <f>IF(Country_7!$C25="","",Country_7!C25)</f>
        <v/>
      </c>
      <c r="D624" s="16" t="str">
        <f>IF(Country_7!$C25="","",Country_7!D25)</f>
        <v/>
      </c>
      <c r="E624" s="16" t="str">
        <f>IF(Country_7!$C25="","",Country_7!E25)</f>
        <v/>
      </c>
      <c r="F624" s="16" t="str">
        <f>IF(Country_7!$C25="","",Country_7!F25)</f>
        <v/>
      </c>
      <c r="G624" s="17" t="str">
        <f>IF(Country_7!$C25="","",Country_7!G25)</f>
        <v/>
      </c>
      <c r="H624" s="17" t="str">
        <f>IF(Country_7!$C25="","",Country_7!H25)</f>
        <v/>
      </c>
      <c r="I624" s="16" t="str">
        <f>IF(Country_7!$C25="","",Country_7!I25)</f>
        <v/>
      </c>
      <c r="J624" s="16" t="str">
        <f>IF(Country_7!$C25="","",Country_7!J25)</f>
        <v/>
      </c>
      <c r="K624" s="18" t="str">
        <f>IF(Country_7!$C25="","",Country_7!K25)</f>
        <v/>
      </c>
      <c r="L624" s="18" t="str">
        <f>IF(Country_7!$C25="","",Country_7!L25)</f>
        <v/>
      </c>
      <c r="M624" s="19" t="str">
        <f>IF(Country_7!$C25="","",Country_7!M25)</f>
        <v/>
      </c>
      <c r="N624" s="16" t="str">
        <f>IF(Country_7!$C25="","",Country_7!N25)</f>
        <v/>
      </c>
      <c r="O624" s="16" t="str">
        <f>IF(Country_7!$C25="","",Country_7!O25)</f>
        <v/>
      </c>
      <c r="P624" s="16" t="str">
        <f>IF(Country_7!$C25="","",Country_7!P25)</f>
        <v/>
      </c>
      <c r="Q624" s="16" t="str">
        <f>IF(Country_7!$C25="","",Country_7!Q25)</f>
        <v/>
      </c>
    </row>
    <row r="625" spans="1:17" x14ac:dyDescent="0.25">
      <c r="A625" s="16" t="str">
        <f>IF(Country_7!$C26="","",Country_7!A26)</f>
        <v/>
      </c>
      <c r="B625" s="16" t="str">
        <f>IF(Country_7!$C26="","",Country_7!B26)</f>
        <v/>
      </c>
      <c r="C625" s="16" t="str">
        <f>IF(Country_7!$C26="","",Country_7!C26)</f>
        <v/>
      </c>
      <c r="D625" s="16" t="str">
        <f>IF(Country_7!$C26="","",Country_7!D26)</f>
        <v/>
      </c>
      <c r="E625" s="16" t="str">
        <f>IF(Country_7!$C26="","",Country_7!E26)</f>
        <v/>
      </c>
      <c r="F625" s="16" t="str">
        <f>IF(Country_7!$C26="","",Country_7!F26)</f>
        <v/>
      </c>
      <c r="G625" s="17" t="str">
        <f>IF(Country_7!$C26="","",Country_7!G26)</f>
        <v/>
      </c>
      <c r="H625" s="17" t="str">
        <f>IF(Country_7!$C26="","",Country_7!H26)</f>
        <v/>
      </c>
      <c r="I625" s="16" t="str">
        <f>IF(Country_7!$C26="","",Country_7!I26)</f>
        <v/>
      </c>
      <c r="J625" s="16" t="str">
        <f>IF(Country_7!$C26="","",Country_7!J26)</f>
        <v/>
      </c>
      <c r="K625" s="18" t="str">
        <f>IF(Country_7!$C26="","",Country_7!K26)</f>
        <v/>
      </c>
      <c r="L625" s="18" t="str">
        <f>IF(Country_7!$C26="","",Country_7!L26)</f>
        <v/>
      </c>
      <c r="M625" s="19" t="str">
        <f>IF(Country_7!$C26="","",Country_7!M26)</f>
        <v/>
      </c>
      <c r="N625" s="16" t="str">
        <f>IF(Country_7!$C26="","",Country_7!N26)</f>
        <v/>
      </c>
      <c r="O625" s="16" t="str">
        <f>IF(Country_7!$C26="","",Country_7!O26)</f>
        <v/>
      </c>
      <c r="P625" s="16" t="str">
        <f>IF(Country_7!$C26="","",Country_7!P26)</f>
        <v/>
      </c>
      <c r="Q625" s="16" t="str">
        <f>IF(Country_7!$C26="","",Country_7!Q26)</f>
        <v/>
      </c>
    </row>
    <row r="626" spans="1:17" x14ac:dyDescent="0.25">
      <c r="A626" s="16" t="str">
        <f>IF(Country_7!$C27="","",Country_7!A27)</f>
        <v/>
      </c>
      <c r="B626" s="16" t="str">
        <f>IF(Country_7!$C27="","",Country_7!B27)</f>
        <v/>
      </c>
      <c r="C626" s="16" t="str">
        <f>IF(Country_7!$C27="","",Country_7!C27)</f>
        <v/>
      </c>
      <c r="D626" s="16" t="str">
        <f>IF(Country_7!$C27="","",Country_7!D27)</f>
        <v/>
      </c>
      <c r="E626" s="16" t="str">
        <f>IF(Country_7!$C27="","",Country_7!E27)</f>
        <v/>
      </c>
      <c r="F626" s="16" t="str">
        <f>IF(Country_7!$C27="","",Country_7!F27)</f>
        <v/>
      </c>
      <c r="G626" s="17" t="str">
        <f>IF(Country_7!$C27="","",Country_7!G27)</f>
        <v/>
      </c>
      <c r="H626" s="17" t="str">
        <f>IF(Country_7!$C27="","",Country_7!H27)</f>
        <v/>
      </c>
      <c r="I626" s="16" t="str">
        <f>IF(Country_7!$C27="","",Country_7!I27)</f>
        <v/>
      </c>
      <c r="J626" s="16" t="str">
        <f>IF(Country_7!$C27="","",Country_7!J27)</f>
        <v/>
      </c>
      <c r="K626" s="18" t="str">
        <f>IF(Country_7!$C27="","",Country_7!K27)</f>
        <v/>
      </c>
      <c r="L626" s="18" t="str">
        <f>IF(Country_7!$C27="","",Country_7!L27)</f>
        <v/>
      </c>
      <c r="M626" s="19" t="str">
        <f>IF(Country_7!$C27="","",Country_7!M27)</f>
        <v/>
      </c>
      <c r="N626" s="16" t="str">
        <f>IF(Country_7!$C27="","",Country_7!N27)</f>
        <v/>
      </c>
      <c r="O626" s="16" t="str">
        <f>IF(Country_7!$C27="","",Country_7!O27)</f>
        <v/>
      </c>
      <c r="P626" s="16" t="str">
        <f>IF(Country_7!$C27="","",Country_7!P27)</f>
        <v/>
      </c>
      <c r="Q626" s="16" t="str">
        <f>IF(Country_7!$C27="","",Country_7!Q27)</f>
        <v/>
      </c>
    </row>
    <row r="627" spans="1:17" x14ac:dyDescent="0.25">
      <c r="A627" s="16" t="str">
        <f>IF(Country_7!$C28="","",Country_7!A28)</f>
        <v/>
      </c>
      <c r="B627" s="16" t="str">
        <f>IF(Country_7!$C28="","",Country_7!B28)</f>
        <v/>
      </c>
      <c r="C627" s="16" t="str">
        <f>IF(Country_7!$C28="","",Country_7!C28)</f>
        <v/>
      </c>
      <c r="D627" s="16" t="str">
        <f>IF(Country_7!$C28="","",Country_7!D28)</f>
        <v/>
      </c>
      <c r="E627" s="16" t="str">
        <f>IF(Country_7!$C28="","",Country_7!E28)</f>
        <v/>
      </c>
      <c r="F627" s="16" t="str">
        <f>IF(Country_7!$C28="","",Country_7!F28)</f>
        <v/>
      </c>
      <c r="G627" s="17" t="str">
        <f>IF(Country_7!$C28="","",Country_7!G28)</f>
        <v/>
      </c>
      <c r="H627" s="17" t="str">
        <f>IF(Country_7!$C28="","",Country_7!H28)</f>
        <v/>
      </c>
      <c r="I627" s="16" t="str">
        <f>IF(Country_7!$C28="","",Country_7!I28)</f>
        <v/>
      </c>
      <c r="J627" s="16" t="str">
        <f>IF(Country_7!$C28="","",Country_7!J28)</f>
        <v/>
      </c>
      <c r="K627" s="18" t="str">
        <f>IF(Country_7!$C28="","",Country_7!K28)</f>
        <v/>
      </c>
      <c r="L627" s="18" t="str">
        <f>IF(Country_7!$C28="","",Country_7!L28)</f>
        <v/>
      </c>
      <c r="M627" s="19" t="str">
        <f>IF(Country_7!$C28="","",Country_7!M28)</f>
        <v/>
      </c>
      <c r="N627" s="16" t="str">
        <f>IF(Country_7!$C28="","",Country_7!N28)</f>
        <v/>
      </c>
      <c r="O627" s="16" t="str">
        <f>IF(Country_7!$C28="","",Country_7!O28)</f>
        <v/>
      </c>
      <c r="P627" s="16" t="str">
        <f>IF(Country_7!$C28="","",Country_7!P28)</f>
        <v/>
      </c>
      <c r="Q627" s="16" t="str">
        <f>IF(Country_7!$C28="","",Country_7!Q28)</f>
        <v/>
      </c>
    </row>
    <row r="628" spans="1:17" x14ac:dyDescent="0.25">
      <c r="A628" s="16" t="str">
        <f>IF(Country_7!$C29="","",Country_7!A29)</f>
        <v/>
      </c>
      <c r="B628" s="16" t="str">
        <f>IF(Country_7!$C29="","",Country_7!B29)</f>
        <v/>
      </c>
      <c r="C628" s="16" t="str">
        <f>IF(Country_7!$C29="","",Country_7!C29)</f>
        <v/>
      </c>
      <c r="D628" s="16" t="str">
        <f>IF(Country_7!$C29="","",Country_7!D29)</f>
        <v/>
      </c>
      <c r="E628" s="16" t="str">
        <f>IF(Country_7!$C29="","",Country_7!E29)</f>
        <v/>
      </c>
      <c r="F628" s="16" t="str">
        <f>IF(Country_7!$C29="","",Country_7!F29)</f>
        <v/>
      </c>
      <c r="G628" s="17" t="str">
        <f>IF(Country_7!$C29="","",Country_7!G29)</f>
        <v/>
      </c>
      <c r="H628" s="17" t="str">
        <f>IF(Country_7!$C29="","",Country_7!H29)</f>
        <v/>
      </c>
      <c r="I628" s="16" t="str">
        <f>IF(Country_7!$C29="","",Country_7!I29)</f>
        <v/>
      </c>
      <c r="J628" s="16" t="str">
        <f>IF(Country_7!$C29="","",Country_7!J29)</f>
        <v/>
      </c>
      <c r="K628" s="18" t="str">
        <f>IF(Country_7!$C29="","",Country_7!K29)</f>
        <v/>
      </c>
      <c r="L628" s="18" t="str">
        <f>IF(Country_7!$C29="","",Country_7!L29)</f>
        <v/>
      </c>
      <c r="M628" s="19" t="str">
        <f>IF(Country_7!$C29="","",Country_7!M29)</f>
        <v/>
      </c>
      <c r="N628" s="16" t="str">
        <f>IF(Country_7!$C29="","",Country_7!N29)</f>
        <v/>
      </c>
      <c r="O628" s="16" t="str">
        <f>IF(Country_7!$C29="","",Country_7!O29)</f>
        <v/>
      </c>
      <c r="P628" s="16" t="str">
        <f>IF(Country_7!$C29="","",Country_7!P29)</f>
        <v/>
      </c>
      <c r="Q628" s="16" t="str">
        <f>IF(Country_7!$C29="","",Country_7!Q29)</f>
        <v/>
      </c>
    </row>
    <row r="629" spans="1:17" x14ac:dyDescent="0.25">
      <c r="A629" s="16" t="str">
        <f>IF(Country_7!$C30="","",Country_7!A30)</f>
        <v/>
      </c>
      <c r="B629" s="16" t="str">
        <f>IF(Country_7!$C30="","",Country_7!B30)</f>
        <v/>
      </c>
      <c r="C629" s="16" t="str">
        <f>IF(Country_7!$C30="","",Country_7!C30)</f>
        <v/>
      </c>
      <c r="D629" s="16" t="str">
        <f>IF(Country_7!$C30="","",Country_7!D30)</f>
        <v/>
      </c>
      <c r="E629" s="16" t="str">
        <f>IF(Country_7!$C30="","",Country_7!E30)</f>
        <v/>
      </c>
      <c r="F629" s="16" t="str">
        <f>IF(Country_7!$C30="","",Country_7!F30)</f>
        <v/>
      </c>
      <c r="G629" s="17" t="str">
        <f>IF(Country_7!$C30="","",Country_7!G30)</f>
        <v/>
      </c>
      <c r="H629" s="17" t="str">
        <f>IF(Country_7!$C30="","",Country_7!H30)</f>
        <v/>
      </c>
      <c r="I629" s="16" t="str">
        <f>IF(Country_7!$C30="","",Country_7!I30)</f>
        <v/>
      </c>
      <c r="J629" s="16" t="str">
        <f>IF(Country_7!$C30="","",Country_7!J30)</f>
        <v/>
      </c>
      <c r="K629" s="18" t="str">
        <f>IF(Country_7!$C30="","",Country_7!K30)</f>
        <v/>
      </c>
      <c r="L629" s="18" t="str">
        <f>IF(Country_7!$C30="","",Country_7!L30)</f>
        <v/>
      </c>
      <c r="M629" s="19" t="str">
        <f>IF(Country_7!$C30="","",Country_7!M30)</f>
        <v/>
      </c>
      <c r="N629" s="16" t="str">
        <f>IF(Country_7!$C30="","",Country_7!N30)</f>
        <v/>
      </c>
      <c r="O629" s="16" t="str">
        <f>IF(Country_7!$C30="","",Country_7!O30)</f>
        <v/>
      </c>
      <c r="P629" s="16" t="str">
        <f>IF(Country_7!$C30="","",Country_7!P30)</f>
        <v/>
      </c>
      <c r="Q629" s="16" t="str">
        <f>IF(Country_7!$C30="","",Country_7!Q30)</f>
        <v/>
      </c>
    </row>
    <row r="630" spans="1:17" x14ac:dyDescent="0.25">
      <c r="A630" s="16" t="str">
        <f>IF(Country_7!$C31="","",Country_7!A31)</f>
        <v/>
      </c>
      <c r="B630" s="16" t="str">
        <f>IF(Country_7!$C31="","",Country_7!B31)</f>
        <v/>
      </c>
      <c r="C630" s="16" t="str">
        <f>IF(Country_7!$C31="","",Country_7!C31)</f>
        <v/>
      </c>
      <c r="D630" s="16" t="str">
        <f>IF(Country_7!$C31="","",Country_7!D31)</f>
        <v/>
      </c>
      <c r="E630" s="16" t="str">
        <f>IF(Country_7!$C31="","",Country_7!E31)</f>
        <v/>
      </c>
      <c r="F630" s="16" t="str">
        <f>IF(Country_7!$C31="","",Country_7!F31)</f>
        <v/>
      </c>
      <c r="G630" s="17" t="str">
        <f>IF(Country_7!$C31="","",Country_7!G31)</f>
        <v/>
      </c>
      <c r="H630" s="17" t="str">
        <f>IF(Country_7!$C31="","",Country_7!H31)</f>
        <v/>
      </c>
      <c r="I630" s="16" t="str">
        <f>IF(Country_7!$C31="","",Country_7!I31)</f>
        <v/>
      </c>
      <c r="J630" s="16" t="str">
        <f>IF(Country_7!$C31="","",Country_7!J31)</f>
        <v/>
      </c>
      <c r="K630" s="18" t="str">
        <f>IF(Country_7!$C31="","",Country_7!K31)</f>
        <v/>
      </c>
      <c r="L630" s="18" t="str">
        <f>IF(Country_7!$C31="","",Country_7!L31)</f>
        <v/>
      </c>
      <c r="M630" s="19" t="str">
        <f>IF(Country_7!$C31="","",Country_7!M31)</f>
        <v/>
      </c>
      <c r="N630" s="16" t="str">
        <f>IF(Country_7!$C31="","",Country_7!N31)</f>
        <v/>
      </c>
      <c r="O630" s="16" t="str">
        <f>IF(Country_7!$C31="","",Country_7!O31)</f>
        <v/>
      </c>
      <c r="P630" s="16" t="str">
        <f>IF(Country_7!$C31="","",Country_7!P31)</f>
        <v/>
      </c>
      <c r="Q630" s="16" t="str">
        <f>IF(Country_7!$C31="","",Country_7!Q31)</f>
        <v/>
      </c>
    </row>
    <row r="631" spans="1:17" x14ac:dyDescent="0.25">
      <c r="A631" s="16" t="str">
        <f>IF(Country_7!$C32="","",Country_7!A32)</f>
        <v/>
      </c>
      <c r="B631" s="16" t="str">
        <f>IF(Country_7!$C32="","",Country_7!B32)</f>
        <v/>
      </c>
      <c r="C631" s="16" t="str">
        <f>IF(Country_7!$C32="","",Country_7!C32)</f>
        <v/>
      </c>
      <c r="D631" s="16" t="str">
        <f>IF(Country_7!$C32="","",Country_7!D32)</f>
        <v/>
      </c>
      <c r="E631" s="16" t="str">
        <f>IF(Country_7!$C32="","",Country_7!E32)</f>
        <v/>
      </c>
      <c r="F631" s="16" t="str">
        <f>IF(Country_7!$C32="","",Country_7!F32)</f>
        <v/>
      </c>
      <c r="G631" s="17" t="str">
        <f>IF(Country_7!$C32="","",Country_7!G32)</f>
        <v/>
      </c>
      <c r="H631" s="17" t="str">
        <f>IF(Country_7!$C32="","",Country_7!H32)</f>
        <v/>
      </c>
      <c r="I631" s="16" t="str">
        <f>IF(Country_7!$C32="","",Country_7!I32)</f>
        <v/>
      </c>
      <c r="J631" s="16" t="str">
        <f>IF(Country_7!$C32="","",Country_7!J32)</f>
        <v/>
      </c>
      <c r="K631" s="18" t="str">
        <f>IF(Country_7!$C32="","",Country_7!K32)</f>
        <v/>
      </c>
      <c r="L631" s="18" t="str">
        <f>IF(Country_7!$C32="","",Country_7!L32)</f>
        <v/>
      </c>
      <c r="M631" s="19" t="str">
        <f>IF(Country_7!$C32="","",Country_7!M32)</f>
        <v/>
      </c>
      <c r="N631" s="16" t="str">
        <f>IF(Country_7!$C32="","",Country_7!N32)</f>
        <v/>
      </c>
      <c r="O631" s="16" t="str">
        <f>IF(Country_7!$C32="","",Country_7!O32)</f>
        <v/>
      </c>
      <c r="P631" s="16" t="str">
        <f>IF(Country_7!$C32="","",Country_7!P32)</f>
        <v/>
      </c>
      <c r="Q631" s="16" t="str">
        <f>IF(Country_7!$C32="","",Country_7!Q32)</f>
        <v/>
      </c>
    </row>
    <row r="632" spans="1:17" x14ac:dyDescent="0.25">
      <c r="A632" s="16" t="str">
        <f>IF(Country_7!$C33="","",Country_7!A33)</f>
        <v/>
      </c>
      <c r="B632" s="16" t="str">
        <f>IF(Country_7!$C33="","",Country_7!B33)</f>
        <v/>
      </c>
      <c r="C632" s="16" t="str">
        <f>IF(Country_7!$C33="","",Country_7!C33)</f>
        <v/>
      </c>
      <c r="D632" s="16" t="str">
        <f>IF(Country_7!$C33="","",Country_7!D33)</f>
        <v/>
      </c>
      <c r="E632" s="16" t="str">
        <f>IF(Country_7!$C33="","",Country_7!E33)</f>
        <v/>
      </c>
      <c r="F632" s="16" t="str">
        <f>IF(Country_7!$C33="","",Country_7!F33)</f>
        <v/>
      </c>
      <c r="G632" s="17" t="str">
        <f>IF(Country_7!$C33="","",Country_7!G33)</f>
        <v/>
      </c>
      <c r="H632" s="17" t="str">
        <f>IF(Country_7!$C33="","",Country_7!H33)</f>
        <v/>
      </c>
      <c r="I632" s="16" t="str">
        <f>IF(Country_7!$C33="","",Country_7!I33)</f>
        <v/>
      </c>
      <c r="J632" s="16" t="str">
        <f>IF(Country_7!$C33="","",Country_7!J33)</f>
        <v/>
      </c>
      <c r="K632" s="18" t="str">
        <f>IF(Country_7!$C33="","",Country_7!K33)</f>
        <v/>
      </c>
      <c r="L632" s="18" t="str">
        <f>IF(Country_7!$C33="","",Country_7!L33)</f>
        <v/>
      </c>
      <c r="M632" s="19" t="str">
        <f>IF(Country_7!$C33="","",Country_7!M33)</f>
        <v/>
      </c>
      <c r="N632" s="16" t="str">
        <f>IF(Country_7!$C33="","",Country_7!N33)</f>
        <v/>
      </c>
      <c r="O632" s="16" t="str">
        <f>IF(Country_7!$C33="","",Country_7!O33)</f>
        <v/>
      </c>
      <c r="P632" s="16" t="str">
        <f>IF(Country_7!$C33="","",Country_7!P33)</f>
        <v/>
      </c>
      <c r="Q632" s="16" t="str">
        <f>IF(Country_7!$C33="","",Country_7!Q33)</f>
        <v/>
      </c>
    </row>
    <row r="633" spans="1:17" x14ac:dyDescent="0.25">
      <c r="A633" s="16" t="str">
        <f>IF(Country_7!$C34="","",Country_7!A34)</f>
        <v/>
      </c>
      <c r="B633" s="16" t="str">
        <f>IF(Country_7!$C34="","",Country_7!B34)</f>
        <v/>
      </c>
      <c r="C633" s="16" t="str">
        <f>IF(Country_7!$C34="","",Country_7!C34)</f>
        <v/>
      </c>
      <c r="D633" s="16" t="str">
        <f>IF(Country_7!$C34="","",Country_7!D34)</f>
        <v/>
      </c>
      <c r="E633" s="16" t="str">
        <f>IF(Country_7!$C34="","",Country_7!E34)</f>
        <v/>
      </c>
      <c r="F633" s="16" t="str">
        <f>IF(Country_7!$C34="","",Country_7!F34)</f>
        <v/>
      </c>
      <c r="G633" s="17" t="str">
        <f>IF(Country_7!$C34="","",Country_7!G34)</f>
        <v/>
      </c>
      <c r="H633" s="17" t="str">
        <f>IF(Country_7!$C34="","",Country_7!H34)</f>
        <v/>
      </c>
      <c r="I633" s="16" t="str">
        <f>IF(Country_7!$C34="","",Country_7!I34)</f>
        <v/>
      </c>
      <c r="J633" s="16" t="str">
        <f>IF(Country_7!$C34="","",Country_7!J34)</f>
        <v/>
      </c>
      <c r="K633" s="18" t="str">
        <f>IF(Country_7!$C34="","",Country_7!K34)</f>
        <v/>
      </c>
      <c r="L633" s="18" t="str">
        <f>IF(Country_7!$C34="","",Country_7!L34)</f>
        <v/>
      </c>
      <c r="M633" s="19" t="str">
        <f>IF(Country_7!$C34="","",Country_7!M34)</f>
        <v/>
      </c>
      <c r="N633" s="16" t="str">
        <f>IF(Country_7!$C34="","",Country_7!N34)</f>
        <v/>
      </c>
      <c r="O633" s="16" t="str">
        <f>IF(Country_7!$C34="","",Country_7!O34)</f>
        <v/>
      </c>
      <c r="P633" s="16" t="str">
        <f>IF(Country_7!$C34="","",Country_7!P34)</f>
        <v/>
      </c>
      <c r="Q633" s="16" t="str">
        <f>IF(Country_7!$C34="","",Country_7!Q34)</f>
        <v/>
      </c>
    </row>
    <row r="634" spans="1:17" x14ac:dyDescent="0.25">
      <c r="A634" s="16" t="str">
        <f>IF(Country_7!$C35="","",Country_7!A35)</f>
        <v/>
      </c>
      <c r="B634" s="16" t="str">
        <f>IF(Country_7!$C35="","",Country_7!B35)</f>
        <v/>
      </c>
      <c r="C634" s="16" t="str">
        <f>IF(Country_7!$C35="","",Country_7!C35)</f>
        <v/>
      </c>
      <c r="D634" s="16" t="str">
        <f>IF(Country_7!$C35="","",Country_7!D35)</f>
        <v/>
      </c>
      <c r="E634" s="16" t="str">
        <f>IF(Country_7!$C35="","",Country_7!E35)</f>
        <v/>
      </c>
      <c r="F634" s="16" t="str">
        <f>IF(Country_7!$C35="","",Country_7!F35)</f>
        <v/>
      </c>
      <c r="G634" s="17" t="str">
        <f>IF(Country_7!$C35="","",Country_7!G35)</f>
        <v/>
      </c>
      <c r="H634" s="17" t="str">
        <f>IF(Country_7!$C35="","",Country_7!H35)</f>
        <v/>
      </c>
      <c r="I634" s="16" t="str">
        <f>IF(Country_7!$C35="","",Country_7!I35)</f>
        <v/>
      </c>
      <c r="J634" s="16" t="str">
        <f>IF(Country_7!$C35="","",Country_7!J35)</f>
        <v/>
      </c>
      <c r="K634" s="18" t="str">
        <f>IF(Country_7!$C35="","",Country_7!K35)</f>
        <v/>
      </c>
      <c r="L634" s="18" t="str">
        <f>IF(Country_7!$C35="","",Country_7!L35)</f>
        <v/>
      </c>
      <c r="M634" s="19" t="str">
        <f>IF(Country_7!$C35="","",Country_7!M35)</f>
        <v/>
      </c>
      <c r="N634" s="16" t="str">
        <f>IF(Country_7!$C35="","",Country_7!N35)</f>
        <v/>
      </c>
      <c r="O634" s="16" t="str">
        <f>IF(Country_7!$C35="","",Country_7!O35)</f>
        <v/>
      </c>
      <c r="P634" s="16" t="str">
        <f>IF(Country_7!$C35="","",Country_7!P35)</f>
        <v/>
      </c>
      <c r="Q634" s="16" t="str">
        <f>IF(Country_7!$C35="","",Country_7!Q35)</f>
        <v/>
      </c>
    </row>
    <row r="635" spans="1:17" x14ac:dyDescent="0.25">
      <c r="A635" s="16" t="str">
        <f>IF(Country_7!$C36="","",Country_7!A36)</f>
        <v/>
      </c>
      <c r="B635" s="16" t="str">
        <f>IF(Country_7!$C36="","",Country_7!B36)</f>
        <v/>
      </c>
      <c r="C635" s="16" t="str">
        <f>IF(Country_7!$C36="","",Country_7!C36)</f>
        <v/>
      </c>
      <c r="D635" s="16" t="str">
        <f>IF(Country_7!$C36="","",Country_7!D36)</f>
        <v/>
      </c>
      <c r="E635" s="16" t="str">
        <f>IF(Country_7!$C36="","",Country_7!E36)</f>
        <v/>
      </c>
      <c r="F635" s="16" t="str">
        <f>IF(Country_7!$C36="","",Country_7!F36)</f>
        <v/>
      </c>
      <c r="G635" s="17" t="str">
        <f>IF(Country_7!$C36="","",Country_7!G36)</f>
        <v/>
      </c>
      <c r="H635" s="17" t="str">
        <f>IF(Country_7!$C36="","",Country_7!H36)</f>
        <v/>
      </c>
      <c r="I635" s="16" t="str">
        <f>IF(Country_7!$C36="","",Country_7!I36)</f>
        <v/>
      </c>
      <c r="J635" s="16" t="str">
        <f>IF(Country_7!$C36="","",Country_7!J36)</f>
        <v/>
      </c>
      <c r="K635" s="18" t="str">
        <f>IF(Country_7!$C36="","",Country_7!K36)</f>
        <v/>
      </c>
      <c r="L635" s="18" t="str">
        <f>IF(Country_7!$C36="","",Country_7!L36)</f>
        <v/>
      </c>
      <c r="M635" s="19" t="str">
        <f>IF(Country_7!$C36="","",Country_7!M36)</f>
        <v/>
      </c>
      <c r="N635" s="16" t="str">
        <f>IF(Country_7!$C36="","",Country_7!N36)</f>
        <v/>
      </c>
      <c r="O635" s="16" t="str">
        <f>IF(Country_7!$C36="","",Country_7!O36)</f>
        <v/>
      </c>
      <c r="P635" s="16" t="str">
        <f>IF(Country_7!$C36="","",Country_7!P36)</f>
        <v/>
      </c>
      <c r="Q635" s="16" t="str">
        <f>IF(Country_7!$C36="","",Country_7!Q36)</f>
        <v/>
      </c>
    </row>
    <row r="636" spans="1:17" x14ac:dyDescent="0.25">
      <c r="A636" s="16" t="str">
        <f>IF(Country_7!$C37="","",Country_7!A37)</f>
        <v/>
      </c>
      <c r="B636" s="16" t="str">
        <f>IF(Country_7!$C37="","",Country_7!B37)</f>
        <v/>
      </c>
      <c r="C636" s="16" t="str">
        <f>IF(Country_7!$C37="","",Country_7!C37)</f>
        <v/>
      </c>
      <c r="D636" s="16" t="str">
        <f>IF(Country_7!$C37="","",Country_7!D37)</f>
        <v/>
      </c>
      <c r="E636" s="16" t="str">
        <f>IF(Country_7!$C37="","",Country_7!E37)</f>
        <v/>
      </c>
      <c r="F636" s="16" t="str">
        <f>IF(Country_7!$C37="","",Country_7!F37)</f>
        <v/>
      </c>
      <c r="G636" s="17" t="str">
        <f>IF(Country_7!$C37="","",Country_7!G37)</f>
        <v/>
      </c>
      <c r="H636" s="17" t="str">
        <f>IF(Country_7!$C37="","",Country_7!H37)</f>
        <v/>
      </c>
      <c r="I636" s="16" t="str">
        <f>IF(Country_7!$C37="","",Country_7!I37)</f>
        <v/>
      </c>
      <c r="J636" s="16" t="str">
        <f>IF(Country_7!$C37="","",Country_7!J37)</f>
        <v/>
      </c>
      <c r="K636" s="18" t="str">
        <f>IF(Country_7!$C37="","",Country_7!K37)</f>
        <v/>
      </c>
      <c r="L636" s="18" t="str">
        <f>IF(Country_7!$C37="","",Country_7!L37)</f>
        <v/>
      </c>
      <c r="M636" s="19" t="str">
        <f>IF(Country_7!$C37="","",Country_7!M37)</f>
        <v/>
      </c>
      <c r="N636" s="16" t="str">
        <f>IF(Country_7!$C37="","",Country_7!N37)</f>
        <v/>
      </c>
      <c r="O636" s="16" t="str">
        <f>IF(Country_7!$C37="","",Country_7!O37)</f>
        <v/>
      </c>
      <c r="P636" s="16" t="str">
        <f>IF(Country_7!$C37="","",Country_7!P37)</f>
        <v/>
      </c>
      <c r="Q636" s="16" t="str">
        <f>IF(Country_7!$C37="","",Country_7!Q37)</f>
        <v/>
      </c>
    </row>
    <row r="637" spans="1:17" x14ac:dyDescent="0.25">
      <c r="A637" s="16" t="str">
        <f>IF(Country_7!$C38="","",Country_7!A38)</f>
        <v/>
      </c>
      <c r="B637" s="16" t="str">
        <f>IF(Country_7!$C38="","",Country_7!B38)</f>
        <v/>
      </c>
      <c r="C637" s="16" t="str">
        <f>IF(Country_7!$C38="","",Country_7!C38)</f>
        <v/>
      </c>
      <c r="D637" s="16" t="str">
        <f>IF(Country_7!$C38="","",Country_7!D38)</f>
        <v/>
      </c>
      <c r="E637" s="16" t="str">
        <f>IF(Country_7!$C38="","",Country_7!E38)</f>
        <v/>
      </c>
      <c r="F637" s="16" t="str">
        <f>IF(Country_7!$C38="","",Country_7!F38)</f>
        <v/>
      </c>
      <c r="G637" s="17" t="str">
        <f>IF(Country_7!$C38="","",Country_7!G38)</f>
        <v/>
      </c>
      <c r="H637" s="17" t="str">
        <f>IF(Country_7!$C38="","",Country_7!H38)</f>
        <v/>
      </c>
      <c r="I637" s="16" t="str">
        <f>IF(Country_7!$C38="","",Country_7!I38)</f>
        <v/>
      </c>
      <c r="J637" s="16" t="str">
        <f>IF(Country_7!$C38="","",Country_7!J38)</f>
        <v/>
      </c>
      <c r="K637" s="18" t="str">
        <f>IF(Country_7!$C38="","",Country_7!K38)</f>
        <v/>
      </c>
      <c r="L637" s="18" t="str">
        <f>IF(Country_7!$C38="","",Country_7!L38)</f>
        <v/>
      </c>
      <c r="M637" s="19" t="str">
        <f>IF(Country_7!$C38="","",Country_7!M38)</f>
        <v/>
      </c>
      <c r="N637" s="16" t="str">
        <f>IF(Country_7!$C38="","",Country_7!N38)</f>
        <v/>
      </c>
      <c r="O637" s="16" t="str">
        <f>IF(Country_7!$C38="","",Country_7!O38)</f>
        <v/>
      </c>
      <c r="P637" s="16" t="str">
        <f>IF(Country_7!$C38="","",Country_7!P38)</f>
        <v/>
      </c>
      <c r="Q637" s="16" t="str">
        <f>IF(Country_7!$C38="","",Country_7!Q38)</f>
        <v/>
      </c>
    </row>
    <row r="638" spans="1:17" x14ac:dyDescent="0.25">
      <c r="A638" s="16" t="str">
        <f>IF(Country_7!$C39="","",Country_7!A39)</f>
        <v/>
      </c>
      <c r="B638" s="16" t="str">
        <f>IF(Country_7!$C39="","",Country_7!B39)</f>
        <v/>
      </c>
      <c r="C638" s="16" t="str">
        <f>IF(Country_7!$C39="","",Country_7!C39)</f>
        <v/>
      </c>
      <c r="D638" s="16" t="str">
        <f>IF(Country_7!$C39="","",Country_7!D39)</f>
        <v/>
      </c>
      <c r="E638" s="16" t="str">
        <f>IF(Country_7!$C39="","",Country_7!E39)</f>
        <v/>
      </c>
      <c r="F638" s="16" t="str">
        <f>IF(Country_7!$C39="","",Country_7!F39)</f>
        <v/>
      </c>
      <c r="G638" s="17" t="str">
        <f>IF(Country_7!$C39="","",Country_7!G39)</f>
        <v/>
      </c>
      <c r="H638" s="17" t="str">
        <f>IF(Country_7!$C39="","",Country_7!H39)</f>
        <v/>
      </c>
      <c r="I638" s="16" t="str">
        <f>IF(Country_7!$C39="","",Country_7!I39)</f>
        <v/>
      </c>
      <c r="J638" s="16" t="str">
        <f>IF(Country_7!$C39="","",Country_7!J39)</f>
        <v/>
      </c>
      <c r="K638" s="18" t="str">
        <f>IF(Country_7!$C39="","",Country_7!K39)</f>
        <v/>
      </c>
      <c r="L638" s="18" t="str">
        <f>IF(Country_7!$C39="","",Country_7!L39)</f>
        <v/>
      </c>
      <c r="M638" s="19" t="str">
        <f>IF(Country_7!$C39="","",Country_7!M39)</f>
        <v/>
      </c>
      <c r="N638" s="16" t="str">
        <f>IF(Country_7!$C39="","",Country_7!N39)</f>
        <v/>
      </c>
      <c r="O638" s="16" t="str">
        <f>IF(Country_7!$C39="","",Country_7!O39)</f>
        <v/>
      </c>
      <c r="P638" s="16" t="str">
        <f>IF(Country_7!$C39="","",Country_7!P39)</f>
        <v/>
      </c>
      <c r="Q638" s="16" t="str">
        <f>IF(Country_7!$C39="","",Country_7!Q39)</f>
        <v/>
      </c>
    </row>
    <row r="639" spans="1:17" x14ac:dyDescent="0.25">
      <c r="A639" s="16" t="str">
        <f>IF(Country_7!$C40="","",Country_7!A40)</f>
        <v/>
      </c>
      <c r="B639" s="16" t="str">
        <f>IF(Country_7!$C40="","",Country_7!B40)</f>
        <v/>
      </c>
      <c r="C639" s="16" t="str">
        <f>IF(Country_7!$C40="","",Country_7!C40)</f>
        <v/>
      </c>
      <c r="D639" s="16" t="str">
        <f>IF(Country_7!$C40="","",Country_7!D40)</f>
        <v/>
      </c>
      <c r="E639" s="16" t="str">
        <f>IF(Country_7!$C40="","",Country_7!E40)</f>
        <v/>
      </c>
      <c r="F639" s="16" t="str">
        <f>IF(Country_7!$C40="","",Country_7!F40)</f>
        <v/>
      </c>
      <c r="G639" s="17" t="str">
        <f>IF(Country_7!$C40="","",Country_7!G40)</f>
        <v/>
      </c>
      <c r="H639" s="17" t="str">
        <f>IF(Country_7!$C40="","",Country_7!H40)</f>
        <v/>
      </c>
      <c r="I639" s="16" t="str">
        <f>IF(Country_7!$C40="","",Country_7!I40)</f>
        <v/>
      </c>
      <c r="J639" s="16" t="str">
        <f>IF(Country_7!$C40="","",Country_7!J40)</f>
        <v/>
      </c>
      <c r="K639" s="18" t="str">
        <f>IF(Country_7!$C40="","",Country_7!K40)</f>
        <v/>
      </c>
      <c r="L639" s="18" t="str">
        <f>IF(Country_7!$C40="","",Country_7!L40)</f>
        <v/>
      </c>
      <c r="M639" s="19" t="str">
        <f>IF(Country_7!$C40="","",Country_7!M40)</f>
        <v/>
      </c>
      <c r="N639" s="16" t="str">
        <f>IF(Country_7!$C40="","",Country_7!N40)</f>
        <v/>
      </c>
      <c r="O639" s="16" t="str">
        <f>IF(Country_7!$C40="","",Country_7!O40)</f>
        <v/>
      </c>
      <c r="P639" s="16" t="str">
        <f>IF(Country_7!$C40="","",Country_7!P40)</f>
        <v/>
      </c>
      <c r="Q639" s="16" t="str">
        <f>IF(Country_7!$C40="","",Country_7!Q40)</f>
        <v/>
      </c>
    </row>
    <row r="640" spans="1:17" x14ac:dyDescent="0.25">
      <c r="A640" s="16" t="str">
        <f>IF(Country_7!$C41="","",Country_7!A41)</f>
        <v/>
      </c>
      <c r="B640" s="16" t="str">
        <f>IF(Country_7!$C41="","",Country_7!B41)</f>
        <v/>
      </c>
      <c r="C640" s="16" t="str">
        <f>IF(Country_7!$C41="","",Country_7!C41)</f>
        <v/>
      </c>
      <c r="D640" s="16" t="str">
        <f>IF(Country_7!$C41="","",Country_7!D41)</f>
        <v/>
      </c>
      <c r="E640" s="16" t="str">
        <f>IF(Country_7!$C41="","",Country_7!E41)</f>
        <v/>
      </c>
      <c r="F640" s="16" t="str">
        <f>IF(Country_7!$C41="","",Country_7!F41)</f>
        <v/>
      </c>
      <c r="G640" s="17" t="str">
        <f>IF(Country_7!$C41="","",Country_7!G41)</f>
        <v/>
      </c>
      <c r="H640" s="17" t="str">
        <f>IF(Country_7!$C41="","",Country_7!H41)</f>
        <v/>
      </c>
      <c r="I640" s="16" t="str">
        <f>IF(Country_7!$C41="","",Country_7!I41)</f>
        <v/>
      </c>
      <c r="J640" s="16" t="str">
        <f>IF(Country_7!$C41="","",Country_7!J41)</f>
        <v/>
      </c>
      <c r="K640" s="18" t="str">
        <f>IF(Country_7!$C41="","",Country_7!K41)</f>
        <v/>
      </c>
      <c r="L640" s="18" t="str">
        <f>IF(Country_7!$C41="","",Country_7!L41)</f>
        <v/>
      </c>
      <c r="M640" s="19" t="str">
        <f>IF(Country_7!$C41="","",Country_7!M41)</f>
        <v/>
      </c>
      <c r="N640" s="16" t="str">
        <f>IF(Country_7!$C41="","",Country_7!N41)</f>
        <v/>
      </c>
      <c r="O640" s="16" t="str">
        <f>IF(Country_7!$C41="","",Country_7!O41)</f>
        <v/>
      </c>
      <c r="P640" s="16" t="str">
        <f>IF(Country_7!$C41="","",Country_7!P41)</f>
        <v/>
      </c>
      <c r="Q640" s="16" t="str">
        <f>IF(Country_7!$C41="","",Country_7!Q41)</f>
        <v/>
      </c>
    </row>
    <row r="641" spans="1:17" x14ac:dyDescent="0.25">
      <c r="A641" s="16" t="str">
        <f>IF(Country_7!$C42="","",Country_7!A42)</f>
        <v/>
      </c>
      <c r="B641" s="16" t="str">
        <f>IF(Country_7!$C42="","",Country_7!B42)</f>
        <v/>
      </c>
      <c r="C641" s="16" t="str">
        <f>IF(Country_7!$C42="","",Country_7!C42)</f>
        <v/>
      </c>
      <c r="D641" s="16" t="str">
        <f>IF(Country_7!$C42="","",Country_7!D42)</f>
        <v/>
      </c>
      <c r="E641" s="16" t="str">
        <f>IF(Country_7!$C42="","",Country_7!E42)</f>
        <v/>
      </c>
      <c r="F641" s="16" t="str">
        <f>IF(Country_7!$C42="","",Country_7!F42)</f>
        <v/>
      </c>
      <c r="G641" s="17" t="str">
        <f>IF(Country_7!$C42="","",Country_7!G42)</f>
        <v/>
      </c>
      <c r="H641" s="17" t="str">
        <f>IF(Country_7!$C42="","",Country_7!H42)</f>
        <v/>
      </c>
      <c r="I641" s="16" t="str">
        <f>IF(Country_7!$C42="","",Country_7!I42)</f>
        <v/>
      </c>
      <c r="J641" s="16" t="str">
        <f>IF(Country_7!$C42="","",Country_7!J42)</f>
        <v/>
      </c>
      <c r="K641" s="18" t="str">
        <f>IF(Country_7!$C42="","",Country_7!K42)</f>
        <v/>
      </c>
      <c r="L641" s="18" t="str">
        <f>IF(Country_7!$C42="","",Country_7!L42)</f>
        <v/>
      </c>
      <c r="M641" s="19" t="str">
        <f>IF(Country_7!$C42="","",Country_7!M42)</f>
        <v/>
      </c>
      <c r="N641" s="16" t="str">
        <f>IF(Country_7!$C42="","",Country_7!N42)</f>
        <v/>
      </c>
      <c r="O641" s="16" t="str">
        <f>IF(Country_7!$C42="","",Country_7!O42)</f>
        <v/>
      </c>
      <c r="P641" s="16" t="str">
        <f>IF(Country_7!$C42="","",Country_7!P42)</f>
        <v/>
      </c>
      <c r="Q641" s="16" t="str">
        <f>IF(Country_7!$C42="","",Country_7!Q42)</f>
        <v/>
      </c>
    </row>
    <row r="642" spans="1:17" x14ac:dyDescent="0.25">
      <c r="A642" s="16" t="str">
        <f>IF(Country_7!$C43="","",Country_7!A43)</f>
        <v/>
      </c>
      <c r="B642" s="16" t="str">
        <f>IF(Country_7!$C43="","",Country_7!B43)</f>
        <v/>
      </c>
      <c r="C642" s="16" t="str">
        <f>IF(Country_7!$C43="","",Country_7!C43)</f>
        <v/>
      </c>
      <c r="D642" s="16" t="str">
        <f>IF(Country_7!$C43="","",Country_7!D43)</f>
        <v/>
      </c>
      <c r="E642" s="16" t="str">
        <f>IF(Country_7!$C43="","",Country_7!E43)</f>
        <v/>
      </c>
      <c r="F642" s="16" t="str">
        <f>IF(Country_7!$C43="","",Country_7!F43)</f>
        <v/>
      </c>
      <c r="G642" s="17" t="str">
        <f>IF(Country_7!$C43="","",Country_7!G43)</f>
        <v/>
      </c>
      <c r="H642" s="17" t="str">
        <f>IF(Country_7!$C43="","",Country_7!H43)</f>
        <v/>
      </c>
      <c r="I642" s="16" t="str">
        <f>IF(Country_7!$C43="","",Country_7!I43)</f>
        <v/>
      </c>
      <c r="J642" s="16" t="str">
        <f>IF(Country_7!$C43="","",Country_7!J43)</f>
        <v/>
      </c>
      <c r="K642" s="18" t="str">
        <f>IF(Country_7!$C43="","",Country_7!K43)</f>
        <v/>
      </c>
      <c r="L642" s="18" t="str">
        <f>IF(Country_7!$C43="","",Country_7!L43)</f>
        <v/>
      </c>
      <c r="M642" s="19" t="str">
        <f>IF(Country_7!$C43="","",Country_7!M43)</f>
        <v/>
      </c>
      <c r="N642" s="16" t="str">
        <f>IF(Country_7!$C43="","",Country_7!N43)</f>
        <v/>
      </c>
      <c r="O642" s="16" t="str">
        <f>IF(Country_7!$C43="","",Country_7!O43)</f>
        <v/>
      </c>
      <c r="P642" s="16" t="str">
        <f>IF(Country_7!$C43="","",Country_7!P43)</f>
        <v/>
      </c>
      <c r="Q642" s="16" t="str">
        <f>IF(Country_7!$C43="","",Country_7!Q43)</f>
        <v/>
      </c>
    </row>
    <row r="643" spans="1:17" x14ac:dyDescent="0.25">
      <c r="A643" s="16" t="str">
        <f>IF(Country_7!$C44="","",Country_7!A44)</f>
        <v/>
      </c>
      <c r="B643" s="16" t="str">
        <f>IF(Country_7!$C44="","",Country_7!B44)</f>
        <v/>
      </c>
      <c r="C643" s="16" t="str">
        <f>IF(Country_7!$C44="","",Country_7!C44)</f>
        <v/>
      </c>
      <c r="D643" s="16" t="str">
        <f>IF(Country_7!$C44="","",Country_7!D44)</f>
        <v/>
      </c>
      <c r="E643" s="16" t="str">
        <f>IF(Country_7!$C44="","",Country_7!E44)</f>
        <v/>
      </c>
      <c r="F643" s="16" t="str">
        <f>IF(Country_7!$C44="","",Country_7!F44)</f>
        <v/>
      </c>
      <c r="G643" s="17" t="str">
        <f>IF(Country_7!$C44="","",Country_7!G44)</f>
        <v/>
      </c>
      <c r="H643" s="17" t="str">
        <f>IF(Country_7!$C44="","",Country_7!H44)</f>
        <v/>
      </c>
      <c r="I643" s="16" t="str">
        <f>IF(Country_7!$C44="","",Country_7!I44)</f>
        <v/>
      </c>
      <c r="J643" s="16" t="str">
        <f>IF(Country_7!$C44="","",Country_7!J44)</f>
        <v/>
      </c>
      <c r="K643" s="18" t="str">
        <f>IF(Country_7!$C44="","",Country_7!K44)</f>
        <v/>
      </c>
      <c r="L643" s="18" t="str">
        <f>IF(Country_7!$C44="","",Country_7!L44)</f>
        <v/>
      </c>
      <c r="M643" s="19" t="str">
        <f>IF(Country_7!$C44="","",Country_7!M44)</f>
        <v/>
      </c>
      <c r="N643" s="16" t="str">
        <f>IF(Country_7!$C44="","",Country_7!N44)</f>
        <v/>
      </c>
      <c r="O643" s="16" t="str">
        <f>IF(Country_7!$C44="","",Country_7!O44)</f>
        <v/>
      </c>
      <c r="P643" s="16" t="str">
        <f>IF(Country_7!$C44="","",Country_7!P44)</f>
        <v/>
      </c>
      <c r="Q643" s="16" t="str">
        <f>IF(Country_7!$C44="","",Country_7!Q44)</f>
        <v/>
      </c>
    </row>
    <row r="644" spans="1:17" x14ac:dyDescent="0.25">
      <c r="A644" s="16" t="str">
        <f>IF(Country_7!$C45="","",Country_7!A45)</f>
        <v/>
      </c>
      <c r="B644" s="16" t="str">
        <f>IF(Country_7!$C45="","",Country_7!B45)</f>
        <v/>
      </c>
      <c r="C644" s="16" t="str">
        <f>IF(Country_7!$C45="","",Country_7!C45)</f>
        <v/>
      </c>
      <c r="D644" s="16" t="str">
        <f>IF(Country_7!$C45="","",Country_7!D45)</f>
        <v/>
      </c>
      <c r="E644" s="16" t="str">
        <f>IF(Country_7!$C45="","",Country_7!E45)</f>
        <v/>
      </c>
      <c r="F644" s="16" t="str">
        <f>IF(Country_7!$C45="","",Country_7!F45)</f>
        <v/>
      </c>
      <c r="G644" s="17" t="str">
        <f>IF(Country_7!$C45="","",Country_7!G45)</f>
        <v/>
      </c>
      <c r="H644" s="17" t="str">
        <f>IF(Country_7!$C45="","",Country_7!H45)</f>
        <v/>
      </c>
      <c r="I644" s="16" t="str">
        <f>IF(Country_7!$C45="","",Country_7!I45)</f>
        <v/>
      </c>
      <c r="J644" s="16" t="str">
        <f>IF(Country_7!$C45="","",Country_7!J45)</f>
        <v/>
      </c>
      <c r="K644" s="18" t="str">
        <f>IF(Country_7!$C45="","",Country_7!K45)</f>
        <v/>
      </c>
      <c r="L644" s="18" t="str">
        <f>IF(Country_7!$C45="","",Country_7!L45)</f>
        <v/>
      </c>
      <c r="M644" s="19" t="str">
        <f>IF(Country_7!$C45="","",Country_7!M45)</f>
        <v/>
      </c>
      <c r="N644" s="16" t="str">
        <f>IF(Country_7!$C45="","",Country_7!N45)</f>
        <v/>
      </c>
      <c r="O644" s="16" t="str">
        <f>IF(Country_7!$C45="","",Country_7!O45)</f>
        <v/>
      </c>
      <c r="P644" s="16" t="str">
        <f>IF(Country_7!$C45="","",Country_7!P45)</f>
        <v/>
      </c>
      <c r="Q644" s="16" t="str">
        <f>IF(Country_7!$C45="","",Country_7!Q45)</f>
        <v/>
      </c>
    </row>
    <row r="645" spans="1:17" x14ac:dyDescent="0.25">
      <c r="A645" s="16" t="str">
        <f>IF(Country_7!$C46="","",Country_7!A46)</f>
        <v/>
      </c>
      <c r="B645" s="16" t="str">
        <f>IF(Country_7!$C46="","",Country_7!B46)</f>
        <v/>
      </c>
      <c r="C645" s="16" t="str">
        <f>IF(Country_7!$C46="","",Country_7!C46)</f>
        <v/>
      </c>
      <c r="D645" s="16" t="str">
        <f>IF(Country_7!$C46="","",Country_7!D46)</f>
        <v/>
      </c>
      <c r="E645" s="16" t="str">
        <f>IF(Country_7!$C46="","",Country_7!E46)</f>
        <v/>
      </c>
      <c r="F645" s="16" t="str">
        <f>IF(Country_7!$C46="","",Country_7!F46)</f>
        <v/>
      </c>
      <c r="G645" s="17" t="str">
        <f>IF(Country_7!$C46="","",Country_7!G46)</f>
        <v/>
      </c>
      <c r="H645" s="17" t="str">
        <f>IF(Country_7!$C46="","",Country_7!H46)</f>
        <v/>
      </c>
      <c r="I645" s="16" t="str">
        <f>IF(Country_7!$C46="","",Country_7!I46)</f>
        <v/>
      </c>
      <c r="J645" s="16" t="str">
        <f>IF(Country_7!$C46="","",Country_7!J46)</f>
        <v/>
      </c>
      <c r="K645" s="18" t="str">
        <f>IF(Country_7!$C46="","",Country_7!K46)</f>
        <v/>
      </c>
      <c r="L645" s="18" t="str">
        <f>IF(Country_7!$C46="","",Country_7!L46)</f>
        <v/>
      </c>
      <c r="M645" s="19" t="str">
        <f>IF(Country_7!$C46="","",Country_7!M46)</f>
        <v/>
      </c>
      <c r="N645" s="16" t="str">
        <f>IF(Country_7!$C46="","",Country_7!N46)</f>
        <v/>
      </c>
      <c r="O645" s="16" t="str">
        <f>IF(Country_7!$C46="","",Country_7!O46)</f>
        <v/>
      </c>
      <c r="P645" s="16" t="str">
        <f>IF(Country_7!$C46="","",Country_7!P46)</f>
        <v/>
      </c>
      <c r="Q645" s="16" t="str">
        <f>IF(Country_7!$C46="","",Country_7!Q46)</f>
        <v/>
      </c>
    </row>
    <row r="646" spans="1:17" x14ac:dyDescent="0.25">
      <c r="A646" s="16" t="str">
        <f>IF(Country_7!$C47="","",Country_7!A47)</f>
        <v/>
      </c>
      <c r="B646" s="16" t="str">
        <f>IF(Country_7!$C47="","",Country_7!B47)</f>
        <v/>
      </c>
      <c r="C646" s="16" t="str">
        <f>IF(Country_7!$C47="","",Country_7!C47)</f>
        <v/>
      </c>
      <c r="D646" s="16" t="str">
        <f>IF(Country_7!$C47="","",Country_7!D47)</f>
        <v/>
      </c>
      <c r="E646" s="16" t="str">
        <f>IF(Country_7!$C47="","",Country_7!E47)</f>
        <v/>
      </c>
      <c r="F646" s="16" t="str">
        <f>IF(Country_7!$C47="","",Country_7!F47)</f>
        <v/>
      </c>
      <c r="G646" s="17" t="str">
        <f>IF(Country_7!$C47="","",Country_7!G47)</f>
        <v/>
      </c>
      <c r="H646" s="17" t="str">
        <f>IF(Country_7!$C47="","",Country_7!H47)</f>
        <v/>
      </c>
      <c r="I646" s="16" t="str">
        <f>IF(Country_7!$C47="","",Country_7!I47)</f>
        <v/>
      </c>
      <c r="J646" s="16" t="str">
        <f>IF(Country_7!$C47="","",Country_7!J47)</f>
        <v/>
      </c>
      <c r="K646" s="18" t="str">
        <f>IF(Country_7!$C47="","",Country_7!K47)</f>
        <v/>
      </c>
      <c r="L646" s="18" t="str">
        <f>IF(Country_7!$C47="","",Country_7!L47)</f>
        <v/>
      </c>
      <c r="M646" s="19" t="str">
        <f>IF(Country_7!$C47="","",Country_7!M47)</f>
        <v/>
      </c>
      <c r="N646" s="16" t="str">
        <f>IF(Country_7!$C47="","",Country_7!N47)</f>
        <v/>
      </c>
      <c r="O646" s="16" t="str">
        <f>IF(Country_7!$C47="","",Country_7!O47)</f>
        <v/>
      </c>
      <c r="P646" s="16" t="str">
        <f>IF(Country_7!$C47="","",Country_7!P47)</f>
        <v/>
      </c>
      <c r="Q646" s="16" t="str">
        <f>IF(Country_7!$C47="","",Country_7!Q47)</f>
        <v/>
      </c>
    </row>
    <row r="647" spans="1:17" x14ac:dyDescent="0.25">
      <c r="A647" s="16" t="str">
        <f>IF(Country_7!$C48="","",Country_7!A48)</f>
        <v/>
      </c>
      <c r="B647" s="16" t="str">
        <f>IF(Country_7!$C48="","",Country_7!B48)</f>
        <v/>
      </c>
      <c r="C647" s="16" t="str">
        <f>IF(Country_7!$C48="","",Country_7!C48)</f>
        <v/>
      </c>
      <c r="D647" s="16" t="str">
        <f>IF(Country_7!$C48="","",Country_7!D48)</f>
        <v/>
      </c>
      <c r="E647" s="16" t="str">
        <f>IF(Country_7!$C48="","",Country_7!E48)</f>
        <v/>
      </c>
      <c r="F647" s="16" t="str">
        <f>IF(Country_7!$C48="","",Country_7!F48)</f>
        <v/>
      </c>
      <c r="G647" s="17" t="str">
        <f>IF(Country_7!$C48="","",Country_7!G48)</f>
        <v/>
      </c>
      <c r="H647" s="17" t="str">
        <f>IF(Country_7!$C48="","",Country_7!H48)</f>
        <v/>
      </c>
      <c r="I647" s="16" t="str">
        <f>IF(Country_7!$C48="","",Country_7!I48)</f>
        <v/>
      </c>
      <c r="J647" s="16" t="str">
        <f>IF(Country_7!$C48="","",Country_7!J48)</f>
        <v/>
      </c>
      <c r="K647" s="18" t="str">
        <f>IF(Country_7!$C48="","",Country_7!K48)</f>
        <v/>
      </c>
      <c r="L647" s="18" t="str">
        <f>IF(Country_7!$C48="","",Country_7!L48)</f>
        <v/>
      </c>
      <c r="M647" s="19" t="str">
        <f>IF(Country_7!$C48="","",Country_7!M48)</f>
        <v/>
      </c>
      <c r="N647" s="16" t="str">
        <f>IF(Country_7!$C48="","",Country_7!N48)</f>
        <v/>
      </c>
      <c r="O647" s="16" t="str">
        <f>IF(Country_7!$C48="","",Country_7!O48)</f>
        <v/>
      </c>
      <c r="P647" s="16" t="str">
        <f>IF(Country_7!$C48="","",Country_7!P48)</f>
        <v/>
      </c>
      <c r="Q647" s="16" t="str">
        <f>IF(Country_7!$C48="","",Country_7!Q48)</f>
        <v/>
      </c>
    </row>
    <row r="648" spans="1:17" x14ac:dyDescent="0.25">
      <c r="A648" s="16" t="str">
        <f>IF(Country_7!$C49="","",Country_7!A49)</f>
        <v/>
      </c>
      <c r="B648" s="16" t="str">
        <f>IF(Country_7!$C49="","",Country_7!B49)</f>
        <v/>
      </c>
      <c r="C648" s="16" t="str">
        <f>IF(Country_7!$C49="","",Country_7!C49)</f>
        <v/>
      </c>
      <c r="D648" s="16" t="str">
        <f>IF(Country_7!$C49="","",Country_7!D49)</f>
        <v/>
      </c>
      <c r="E648" s="16" t="str">
        <f>IF(Country_7!$C49="","",Country_7!E49)</f>
        <v/>
      </c>
      <c r="F648" s="16" t="str">
        <f>IF(Country_7!$C49="","",Country_7!F49)</f>
        <v/>
      </c>
      <c r="G648" s="17" t="str">
        <f>IF(Country_7!$C49="","",Country_7!G49)</f>
        <v/>
      </c>
      <c r="H648" s="17" t="str">
        <f>IF(Country_7!$C49="","",Country_7!H49)</f>
        <v/>
      </c>
      <c r="I648" s="16" t="str">
        <f>IF(Country_7!$C49="","",Country_7!I49)</f>
        <v/>
      </c>
      <c r="J648" s="16" t="str">
        <f>IF(Country_7!$C49="","",Country_7!J49)</f>
        <v/>
      </c>
      <c r="K648" s="18" t="str">
        <f>IF(Country_7!$C49="","",Country_7!K49)</f>
        <v/>
      </c>
      <c r="L648" s="18" t="str">
        <f>IF(Country_7!$C49="","",Country_7!L49)</f>
        <v/>
      </c>
      <c r="M648" s="19" t="str">
        <f>IF(Country_7!$C49="","",Country_7!M49)</f>
        <v/>
      </c>
      <c r="N648" s="16" t="str">
        <f>IF(Country_7!$C49="","",Country_7!N49)</f>
        <v/>
      </c>
      <c r="O648" s="16" t="str">
        <f>IF(Country_7!$C49="","",Country_7!O49)</f>
        <v/>
      </c>
      <c r="P648" s="16" t="str">
        <f>IF(Country_7!$C49="","",Country_7!P49)</f>
        <v/>
      </c>
      <c r="Q648" s="16" t="str">
        <f>IF(Country_7!$C49="","",Country_7!Q49)</f>
        <v/>
      </c>
    </row>
    <row r="649" spans="1:17" x14ac:dyDescent="0.25">
      <c r="A649" s="16" t="str">
        <f>IF(Country_7!$C50="","",Country_7!A50)</f>
        <v/>
      </c>
      <c r="B649" s="16" t="str">
        <f>IF(Country_7!$C50="","",Country_7!B50)</f>
        <v/>
      </c>
      <c r="C649" s="16" t="str">
        <f>IF(Country_7!$C50="","",Country_7!C50)</f>
        <v/>
      </c>
      <c r="D649" s="16" t="str">
        <f>IF(Country_7!$C50="","",Country_7!D50)</f>
        <v/>
      </c>
      <c r="E649" s="16" t="str">
        <f>IF(Country_7!$C50="","",Country_7!E50)</f>
        <v/>
      </c>
      <c r="F649" s="16" t="str">
        <f>IF(Country_7!$C50="","",Country_7!F50)</f>
        <v/>
      </c>
      <c r="G649" s="17" t="str">
        <f>IF(Country_7!$C50="","",Country_7!G50)</f>
        <v/>
      </c>
      <c r="H649" s="17" t="str">
        <f>IF(Country_7!$C50="","",Country_7!H50)</f>
        <v/>
      </c>
      <c r="I649" s="16" t="str">
        <f>IF(Country_7!$C50="","",Country_7!I50)</f>
        <v/>
      </c>
      <c r="J649" s="16" t="str">
        <f>IF(Country_7!$C50="","",Country_7!J50)</f>
        <v/>
      </c>
      <c r="K649" s="18" t="str">
        <f>IF(Country_7!$C50="","",Country_7!K50)</f>
        <v/>
      </c>
      <c r="L649" s="18" t="str">
        <f>IF(Country_7!$C50="","",Country_7!L50)</f>
        <v/>
      </c>
      <c r="M649" s="19" t="str">
        <f>IF(Country_7!$C50="","",Country_7!M50)</f>
        <v/>
      </c>
      <c r="N649" s="16" t="str">
        <f>IF(Country_7!$C50="","",Country_7!N50)</f>
        <v/>
      </c>
      <c r="O649" s="16" t="str">
        <f>IF(Country_7!$C50="","",Country_7!O50)</f>
        <v/>
      </c>
      <c r="P649" s="16" t="str">
        <f>IF(Country_7!$C50="","",Country_7!P50)</f>
        <v/>
      </c>
      <c r="Q649" s="16" t="str">
        <f>IF(Country_7!$C50="","",Country_7!Q50)</f>
        <v/>
      </c>
    </row>
    <row r="650" spans="1:17" x14ac:dyDescent="0.25">
      <c r="A650" s="16" t="str">
        <f>IF(Country_7!$C51="","",Country_7!A51)</f>
        <v/>
      </c>
      <c r="B650" s="16" t="str">
        <f>IF(Country_7!$C51="","",Country_7!B51)</f>
        <v/>
      </c>
      <c r="C650" s="16" t="str">
        <f>IF(Country_7!$C51="","",Country_7!C51)</f>
        <v/>
      </c>
      <c r="D650" s="16" t="str">
        <f>IF(Country_7!$C51="","",Country_7!D51)</f>
        <v/>
      </c>
      <c r="E650" s="16" t="str">
        <f>IF(Country_7!$C51="","",Country_7!E51)</f>
        <v/>
      </c>
      <c r="F650" s="16" t="str">
        <f>IF(Country_7!$C51="","",Country_7!F51)</f>
        <v/>
      </c>
      <c r="G650" s="17" t="str">
        <f>IF(Country_7!$C51="","",Country_7!G51)</f>
        <v/>
      </c>
      <c r="H650" s="17" t="str">
        <f>IF(Country_7!$C51="","",Country_7!H51)</f>
        <v/>
      </c>
      <c r="I650" s="16" t="str">
        <f>IF(Country_7!$C51="","",Country_7!I51)</f>
        <v/>
      </c>
      <c r="J650" s="16" t="str">
        <f>IF(Country_7!$C51="","",Country_7!J51)</f>
        <v/>
      </c>
      <c r="K650" s="18" t="str">
        <f>IF(Country_7!$C51="","",Country_7!K51)</f>
        <v/>
      </c>
      <c r="L650" s="18" t="str">
        <f>IF(Country_7!$C51="","",Country_7!L51)</f>
        <v/>
      </c>
      <c r="M650" s="19" t="str">
        <f>IF(Country_7!$C51="","",Country_7!M51)</f>
        <v/>
      </c>
      <c r="N650" s="16" t="str">
        <f>IF(Country_7!$C51="","",Country_7!N51)</f>
        <v/>
      </c>
      <c r="O650" s="16" t="str">
        <f>IF(Country_7!$C51="","",Country_7!O51)</f>
        <v/>
      </c>
      <c r="P650" s="16" t="str">
        <f>IF(Country_7!$C51="","",Country_7!P51)</f>
        <v/>
      </c>
      <c r="Q650" s="16" t="str">
        <f>IF(Country_7!$C51="","",Country_7!Q51)</f>
        <v/>
      </c>
    </row>
    <row r="651" spans="1:17" x14ac:dyDescent="0.25">
      <c r="A651" s="16" t="str">
        <f>IF(Country_7!$C52="","",Country_7!A52)</f>
        <v/>
      </c>
      <c r="B651" s="16" t="str">
        <f>IF(Country_7!$C52="","",Country_7!B52)</f>
        <v/>
      </c>
      <c r="C651" s="16" t="str">
        <f>IF(Country_7!$C52="","",Country_7!C52)</f>
        <v/>
      </c>
      <c r="D651" s="16" t="str">
        <f>IF(Country_7!$C52="","",Country_7!D52)</f>
        <v/>
      </c>
      <c r="E651" s="16" t="str">
        <f>IF(Country_7!$C52="","",Country_7!E52)</f>
        <v/>
      </c>
      <c r="F651" s="16" t="str">
        <f>IF(Country_7!$C52="","",Country_7!F52)</f>
        <v/>
      </c>
      <c r="G651" s="17" t="str">
        <f>IF(Country_7!$C52="","",Country_7!G52)</f>
        <v/>
      </c>
      <c r="H651" s="17" t="str">
        <f>IF(Country_7!$C52="","",Country_7!H52)</f>
        <v/>
      </c>
      <c r="I651" s="16" t="str">
        <f>IF(Country_7!$C52="","",Country_7!I52)</f>
        <v/>
      </c>
      <c r="J651" s="16" t="str">
        <f>IF(Country_7!$C52="","",Country_7!J52)</f>
        <v/>
      </c>
      <c r="K651" s="18" t="str">
        <f>IF(Country_7!$C52="","",Country_7!K52)</f>
        <v/>
      </c>
      <c r="L651" s="18" t="str">
        <f>IF(Country_7!$C52="","",Country_7!L52)</f>
        <v/>
      </c>
      <c r="M651" s="19" t="str">
        <f>IF(Country_7!$C52="","",Country_7!M52)</f>
        <v/>
      </c>
      <c r="N651" s="16" t="str">
        <f>IF(Country_7!$C52="","",Country_7!N52)</f>
        <v/>
      </c>
      <c r="O651" s="16" t="str">
        <f>IF(Country_7!$C52="","",Country_7!O52)</f>
        <v/>
      </c>
      <c r="P651" s="16" t="str">
        <f>IF(Country_7!$C52="","",Country_7!P52)</f>
        <v/>
      </c>
      <c r="Q651" s="16" t="str">
        <f>IF(Country_7!$C52="","",Country_7!Q52)</f>
        <v/>
      </c>
    </row>
    <row r="652" spans="1:17" x14ac:dyDescent="0.25">
      <c r="A652" s="16" t="str">
        <f>IF(Country_7!$C53="","",Country_7!A53)</f>
        <v/>
      </c>
      <c r="B652" s="16" t="str">
        <f>IF(Country_7!$C53="","",Country_7!B53)</f>
        <v/>
      </c>
      <c r="C652" s="16" t="str">
        <f>IF(Country_7!$C53="","",Country_7!C53)</f>
        <v/>
      </c>
      <c r="D652" s="16" t="str">
        <f>IF(Country_7!$C53="","",Country_7!D53)</f>
        <v/>
      </c>
      <c r="E652" s="16" t="str">
        <f>IF(Country_7!$C53="","",Country_7!E53)</f>
        <v/>
      </c>
      <c r="F652" s="16" t="str">
        <f>IF(Country_7!$C53="","",Country_7!F53)</f>
        <v/>
      </c>
      <c r="G652" s="17" t="str">
        <f>IF(Country_7!$C53="","",Country_7!G53)</f>
        <v/>
      </c>
      <c r="H652" s="17" t="str">
        <f>IF(Country_7!$C53="","",Country_7!H53)</f>
        <v/>
      </c>
      <c r="I652" s="16" t="str">
        <f>IF(Country_7!$C53="","",Country_7!I53)</f>
        <v/>
      </c>
      <c r="J652" s="16" t="str">
        <f>IF(Country_7!$C53="","",Country_7!J53)</f>
        <v/>
      </c>
      <c r="K652" s="18" t="str">
        <f>IF(Country_7!$C53="","",Country_7!K53)</f>
        <v/>
      </c>
      <c r="L652" s="18" t="str">
        <f>IF(Country_7!$C53="","",Country_7!L53)</f>
        <v/>
      </c>
      <c r="M652" s="19" t="str">
        <f>IF(Country_7!$C53="","",Country_7!M53)</f>
        <v/>
      </c>
      <c r="N652" s="16" t="str">
        <f>IF(Country_7!$C53="","",Country_7!N53)</f>
        <v/>
      </c>
      <c r="O652" s="16" t="str">
        <f>IF(Country_7!$C53="","",Country_7!O53)</f>
        <v/>
      </c>
      <c r="P652" s="16" t="str">
        <f>IF(Country_7!$C53="","",Country_7!P53)</f>
        <v/>
      </c>
      <c r="Q652" s="16" t="str">
        <f>IF(Country_7!$C53="","",Country_7!Q53)</f>
        <v/>
      </c>
    </row>
    <row r="653" spans="1:17" x14ac:dyDescent="0.25">
      <c r="A653" s="16" t="str">
        <f>IF(Country_7!$C54="","",Country_7!A54)</f>
        <v/>
      </c>
      <c r="B653" s="16" t="str">
        <f>IF(Country_7!$C54="","",Country_7!B54)</f>
        <v/>
      </c>
      <c r="C653" s="16" t="str">
        <f>IF(Country_7!$C54="","",Country_7!C54)</f>
        <v/>
      </c>
      <c r="D653" s="16" t="str">
        <f>IF(Country_7!$C54="","",Country_7!D54)</f>
        <v/>
      </c>
      <c r="E653" s="16" t="str">
        <f>IF(Country_7!$C54="","",Country_7!E54)</f>
        <v/>
      </c>
      <c r="F653" s="16" t="str">
        <f>IF(Country_7!$C54="","",Country_7!F54)</f>
        <v/>
      </c>
      <c r="G653" s="17" t="str">
        <f>IF(Country_7!$C54="","",Country_7!G54)</f>
        <v/>
      </c>
      <c r="H653" s="17" t="str">
        <f>IF(Country_7!$C54="","",Country_7!H54)</f>
        <v/>
      </c>
      <c r="I653" s="16" t="str">
        <f>IF(Country_7!$C54="","",Country_7!I54)</f>
        <v/>
      </c>
      <c r="J653" s="16" t="str">
        <f>IF(Country_7!$C54="","",Country_7!J54)</f>
        <v/>
      </c>
      <c r="K653" s="18" t="str">
        <f>IF(Country_7!$C54="","",Country_7!K54)</f>
        <v/>
      </c>
      <c r="L653" s="18" t="str">
        <f>IF(Country_7!$C54="","",Country_7!L54)</f>
        <v/>
      </c>
      <c r="M653" s="19" t="str">
        <f>IF(Country_7!$C54="","",Country_7!M54)</f>
        <v/>
      </c>
      <c r="N653" s="16" t="str">
        <f>IF(Country_7!$C54="","",Country_7!N54)</f>
        <v/>
      </c>
      <c r="O653" s="16" t="str">
        <f>IF(Country_7!$C54="","",Country_7!O54)</f>
        <v/>
      </c>
      <c r="P653" s="16" t="str">
        <f>IF(Country_7!$C54="","",Country_7!P54)</f>
        <v/>
      </c>
      <c r="Q653" s="16" t="str">
        <f>IF(Country_7!$C54="","",Country_7!Q54)</f>
        <v/>
      </c>
    </row>
    <row r="654" spans="1:17" x14ac:dyDescent="0.25">
      <c r="A654" s="16" t="str">
        <f>IF(Country_7!$C55="","",Country_7!A55)</f>
        <v/>
      </c>
      <c r="B654" s="16" t="str">
        <f>IF(Country_7!$C55="","",Country_7!B55)</f>
        <v/>
      </c>
      <c r="C654" s="16" t="str">
        <f>IF(Country_7!$C55="","",Country_7!C55)</f>
        <v/>
      </c>
      <c r="D654" s="16" t="str">
        <f>IF(Country_7!$C55="","",Country_7!D55)</f>
        <v/>
      </c>
      <c r="E654" s="16" t="str">
        <f>IF(Country_7!$C55="","",Country_7!E55)</f>
        <v/>
      </c>
      <c r="F654" s="16" t="str">
        <f>IF(Country_7!$C55="","",Country_7!F55)</f>
        <v/>
      </c>
      <c r="G654" s="17" t="str">
        <f>IF(Country_7!$C55="","",Country_7!G55)</f>
        <v/>
      </c>
      <c r="H654" s="17" t="str">
        <f>IF(Country_7!$C55="","",Country_7!H55)</f>
        <v/>
      </c>
      <c r="I654" s="16" t="str">
        <f>IF(Country_7!$C55="","",Country_7!I55)</f>
        <v/>
      </c>
      <c r="J654" s="16" t="str">
        <f>IF(Country_7!$C55="","",Country_7!J55)</f>
        <v/>
      </c>
      <c r="K654" s="18" t="str">
        <f>IF(Country_7!$C55="","",Country_7!K55)</f>
        <v/>
      </c>
      <c r="L654" s="18" t="str">
        <f>IF(Country_7!$C55="","",Country_7!L55)</f>
        <v/>
      </c>
      <c r="M654" s="19" t="str">
        <f>IF(Country_7!$C55="","",Country_7!M55)</f>
        <v/>
      </c>
      <c r="N654" s="16" t="str">
        <f>IF(Country_7!$C55="","",Country_7!N55)</f>
        <v/>
      </c>
      <c r="O654" s="16" t="str">
        <f>IF(Country_7!$C55="","",Country_7!O55)</f>
        <v/>
      </c>
      <c r="P654" s="16" t="str">
        <f>IF(Country_7!$C55="","",Country_7!P55)</f>
        <v/>
      </c>
      <c r="Q654" s="16" t="str">
        <f>IF(Country_7!$C55="","",Country_7!Q55)</f>
        <v/>
      </c>
    </row>
    <row r="655" spans="1:17" x14ac:dyDescent="0.25">
      <c r="A655" s="16" t="str">
        <f>IF(Country_7!$C56="","",Country_7!A56)</f>
        <v/>
      </c>
      <c r="B655" s="16" t="str">
        <f>IF(Country_7!$C56="","",Country_7!B56)</f>
        <v/>
      </c>
      <c r="C655" s="16" t="str">
        <f>IF(Country_7!$C56="","",Country_7!C56)</f>
        <v/>
      </c>
      <c r="D655" s="16" t="str">
        <f>IF(Country_7!$C56="","",Country_7!D56)</f>
        <v/>
      </c>
      <c r="E655" s="16" t="str">
        <f>IF(Country_7!$C56="","",Country_7!E56)</f>
        <v/>
      </c>
      <c r="F655" s="16" t="str">
        <f>IF(Country_7!$C56="","",Country_7!F56)</f>
        <v/>
      </c>
      <c r="G655" s="17" t="str">
        <f>IF(Country_7!$C56="","",Country_7!G56)</f>
        <v/>
      </c>
      <c r="H655" s="17" t="str">
        <f>IF(Country_7!$C56="","",Country_7!H56)</f>
        <v/>
      </c>
      <c r="I655" s="16" t="str">
        <f>IF(Country_7!$C56="","",Country_7!I56)</f>
        <v/>
      </c>
      <c r="J655" s="16" t="str">
        <f>IF(Country_7!$C56="","",Country_7!J56)</f>
        <v/>
      </c>
      <c r="K655" s="18" t="str">
        <f>IF(Country_7!$C56="","",Country_7!K56)</f>
        <v/>
      </c>
      <c r="L655" s="18" t="str">
        <f>IF(Country_7!$C56="","",Country_7!L56)</f>
        <v/>
      </c>
      <c r="M655" s="19" t="str">
        <f>IF(Country_7!$C56="","",Country_7!M56)</f>
        <v/>
      </c>
      <c r="N655" s="16" t="str">
        <f>IF(Country_7!$C56="","",Country_7!N56)</f>
        <v/>
      </c>
      <c r="O655" s="16" t="str">
        <f>IF(Country_7!$C56="","",Country_7!O56)</f>
        <v/>
      </c>
      <c r="P655" s="16" t="str">
        <f>IF(Country_7!$C56="","",Country_7!P56)</f>
        <v/>
      </c>
      <c r="Q655" s="16" t="str">
        <f>IF(Country_7!$C56="","",Country_7!Q56)</f>
        <v/>
      </c>
    </row>
    <row r="656" spans="1:17" x14ac:dyDescent="0.25">
      <c r="A656" s="16" t="str">
        <f>IF(Country_7!$C57="","",Country_7!A57)</f>
        <v/>
      </c>
      <c r="B656" s="16" t="str">
        <f>IF(Country_7!$C57="","",Country_7!B57)</f>
        <v/>
      </c>
      <c r="C656" s="16" t="str">
        <f>IF(Country_7!$C57="","",Country_7!C57)</f>
        <v/>
      </c>
      <c r="D656" s="16" t="str">
        <f>IF(Country_7!$C57="","",Country_7!D57)</f>
        <v/>
      </c>
      <c r="E656" s="16" t="str">
        <f>IF(Country_7!$C57="","",Country_7!E57)</f>
        <v/>
      </c>
      <c r="F656" s="16" t="str">
        <f>IF(Country_7!$C57="","",Country_7!F57)</f>
        <v/>
      </c>
      <c r="G656" s="17" t="str">
        <f>IF(Country_7!$C57="","",Country_7!G57)</f>
        <v/>
      </c>
      <c r="H656" s="17" t="str">
        <f>IF(Country_7!$C57="","",Country_7!H57)</f>
        <v/>
      </c>
      <c r="I656" s="16" t="str">
        <f>IF(Country_7!$C57="","",Country_7!I57)</f>
        <v/>
      </c>
      <c r="J656" s="16" t="str">
        <f>IF(Country_7!$C57="","",Country_7!J57)</f>
        <v/>
      </c>
      <c r="K656" s="18" t="str">
        <f>IF(Country_7!$C57="","",Country_7!K57)</f>
        <v/>
      </c>
      <c r="L656" s="18" t="str">
        <f>IF(Country_7!$C57="","",Country_7!L57)</f>
        <v/>
      </c>
      <c r="M656" s="19" t="str">
        <f>IF(Country_7!$C57="","",Country_7!M57)</f>
        <v/>
      </c>
      <c r="N656" s="16" t="str">
        <f>IF(Country_7!$C57="","",Country_7!N57)</f>
        <v/>
      </c>
      <c r="O656" s="16" t="str">
        <f>IF(Country_7!$C57="","",Country_7!O57)</f>
        <v/>
      </c>
      <c r="P656" s="16" t="str">
        <f>IF(Country_7!$C57="","",Country_7!P57)</f>
        <v/>
      </c>
      <c r="Q656" s="16" t="str">
        <f>IF(Country_7!$C57="","",Country_7!Q57)</f>
        <v/>
      </c>
    </row>
    <row r="657" spans="1:17" x14ac:dyDescent="0.25">
      <c r="A657" s="16" t="str">
        <f>IF(Country_7!$C58="","",Country_7!A58)</f>
        <v/>
      </c>
      <c r="B657" s="16" t="str">
        <f>IF(Country_7!$C58="","",Country_7!B58)</f>
        <v/>
      </c>
      <c r="C657" s="16" t="str">
        <f>IF(Country_7!$C58="","",Country_7!C58)</f>
        <v/>
      </c>
      <c r="D657" s="16" t="str">
        <f>IF(Country_7!$C58="","",Country_7!D58)</f>
        <v/>
      </c>
      <c r="E657" s="16" t="str">
        <f>IF(Country_7!$C58="","",Country_7!E58)</f>
        <v/>
      </c>
      <c r="F657" s="16" t="str">
        <f>IF(Country_7!$C58="","",Country_7!F58)</f>
        <v/>
      </c>
      <c r="G657" s="17" t="str">
        <f>IF(Country_7!$C58="","",Country_7!G58)</f>
        <v/>
      </c>
      <c r="H657" s="17" t="str">
        <f>IF(Country_7!$C58="","",Country_7!H58)</f>
        <v/>
      </c>
      <c r="I657" s="16" t="str">
        <f>IF(Country_7!$C58="","",Country_7!I58)</f>
        <v/>
      </c>
      <c r="J657" s="16" t="str">
        <f>IF(Country_7!$C58="","",Country_7!J58)</f>
        <v/>
      </c>
      <c r="K657" s="18" t="str">
        <f>IF(Country_7!$C58="","",Country_7!K58)</f>
        <v/>
      </c>
      <c r="L657" s="18" t="str">
        <f>IF(Country_7!$C58="","",Country_7!L58)</f>
        <v/>
      </c>
      <c r="M657" s="19" t="str">
        <f>IF(Country_7!$C58="","",Country_7!M58)</f>
        <v/>
      </c>
      <c r="N657" s="16" t="str">
        <f>IF(Country_7!$C58="","",Country_7!N58)</f>
        <v/>
      </c>
      <c r="O657" s="16" t="str">
        <f>IF(Country_7!$C58="","",Country_7!O58)</f>
        <v/>
      </c>
      <c r="P657" s="16" t="str">
        <f>IF(Country_7!$C58="","",Country_7!P58)</f>
        <v/>
      </c>
      <c r="Q657" s="16" t="str">
        <f>IF(Country_7!$C58="","",Country_7!Q58)</f>
        <v/>
      </c>
    </row>
    <row r="658" spans="1:17" x14ac:dyDescent="0.25">
      <c r="A658" s="16" t="str">
        <f>IF(Country_7!$C59="","",Country_7!A59)</f>
        <v/>
      </c>
      <c r="B658" s="16" t="str">
        <f>IF(Country_7!$C59="","",Country_7!B59)</f>
        <v/>
      </c>
      <c r="C658" s="16" t="str">
        <f>IF(Country_7!$C59="","",Country_7!C59)</f>
        <v/>
      </c>
      <c r="D658" s="16" t="str">
        <f>IF(Country_7!$C59="","",Country_7!D59)</f>
        <v/>
      </c>
      <c r="E658" s="16" t="str">
        <f>IF(Country_7!$C59="","",Country_7!E59)</f>
        <v/>
      </c>
      <c r="F658" s="16" t="str">
        <f>IF(Country_7!$C59="","",Country_7!F59)</f>
        <v/>
      </c>
      <c r="G658" s="17" t="str">
        <f>IF(Country_7!$C59="","",Country_7!G59)</f>
        <v/>
      </c>
      <c r="H658" s="17" t="str">
        <f>IF(Country_7!$C59="","",Country_7!H59)</f>
        <v/>
      </c>
      <c r="I658" s="16" t="str">
        <f>IF(Country_7!$C59="","",Country_7!I59)</f>
        <v/>
      </c>
      <c r="J658" s="16" t="str">
        <f>IF(Country_7!$C59="","",Country_7!J59)</f>
        <v/>
      </c>
      <c r="K658" s="18" t="str">
        <f>IF(Country_7!$C59="","",Country_7!K59)</f>
        <v/>
      </c>
      <c r="L658" s="18" t="str">
        <f>IF(Country_7!$C59="","",Country_7!L59)</f>
        <v/>
      </c>
      <c r="M658" s="19" t="str">
        <f>IF(Country_7!$C59="","",Country_7!M59)</f>
        <v/>
      </c>
      <c r="N658" s="16" t="str">
        <f>IF(Country_7!$C59="","",Country_7!N59)</f>
        <v/>
      </c>
      <c r="O658" s="16" t="str">
        <f>IF(Country_7!$C59="","",Country_7!O59)</f>
        <v/>
      </c>
      <c r="P658" s="16" t="str">
        <f>IF(Country_7!$C59="","",Country_7!P59)</f>
        <v/>
      </c>
      <c r="Q658" s="16" t="str">
        <f>IF(Country_7!$C59="","",Country_7!Q59)</f>
        <v/>
      </c>
    </row>
    <row r="659" spans="1:17" x14ac:dyDescent="0.25">
      <c r="A659" s="16" t="str">
        <f>IF(Country_7!$C60="","",Country_7!A60)</f>
        <v/>
      </c>
      <c r="B659" s="16" t="str">
        <f>IF(Country_7!$C60="","",Country_7!B60)</f>
        <v/>
      </c>
      <c r="C659" s="16" t="str">
        <f>IF(Country_7!$C60="","",Country_7!C60)</f>
        <v/>
      </c>
      <c r="D659" s="16" t="str">
        <f>IF(Country_7!$C60="","",Country_7!D60)</f>
        <v/>
      </c>
      <c r="E659" s="16" t="str">
        <f>IF(Country_7!$C60="","",Country_7!E60)</f>
        <v/>
      </c>
      <c r="F659" s="16" t="str">
        <f>IF(Country_7!$C60="","",Country_7!F60)</f>
        <v/>
      </c>
      <c r="G659" s="17" t="str">
        <f>IF(Country_7!$C60="","",Country_7!G60)</f>
        <v/>
      </c>
      <c r="H659" s="17" t="str">
        <f>IF(Country_7!$C60="","",Country_7!H60)</f>
        <v/>
      </c>
      <c r="I659" s="16" t="str">
        <f>IF(Country_7!$C60="","",Country_7!I60)</f>
        <v/>
      </c>
      <c r="J659" s="16" t="str">
        <f>IF(Country_7!$C60="","",Country_7!J60)</f>
        <v/>
      </c>
      <c r="K659" s="18" t="str">
        <f>IF(Country_7!$C60="","",Country_7!K60)</f>
        <v/>
      </c>
      <c r="L659" s="18" t="str">
        <f>IF(Country_7!$C60="","",Country_7!L60)</f>
        <v/>
      </c>
      <c r="M659" s="19" t="str">
        <f>IF(Country_7!$C60="","",Country_7!M60)</f>
        <v/>
      </c>
      <c r="N659" s="16" t="str">
        <f>IF(Country_7!$C60="","",Country_7!N60)</f>
        <v/>
      </c>
      <c r="O659" s="16" t="str">
        <f>IF(Country_7!$C60="","",Country_7!O60)</f>
        <v/>
      </c>
      <c r="P659" s="16" t="str">
        <f>IF(Country_7!$C60="","",Country_7!P60)</f>
        <v/>
      </c>
      <c r="Q659" s="16" t="str">
        <f>IF(Country_7!$C60="","",Country_7!Q60)</f>
        <v/>
      </c>
    </row>
    <row r="660" spans="1:17" x14ac:dyDescent="0.25">
      <c r="A660" s="16" t="str">
        <f>IF(Country_7!$C61="","",Country_7!A61)</f>
        <v/>
      </c>
      <c r="B660" s="16" t="str">
        <f>IF(Country_7!$C61="","",Country_7!B61)</f>
        <v/>
      </c>
      <c r="C660" s="16" t="str">
        <f>IF(Country_7!$C61="","",Country_7!C61)</f>
        <v/>
      </c>
      <c r="D660" s="16" t="str">
        <f>IF(Country_7!$C61="","",Country_7!D61)</f>
        <v/>
      </c>
      <c r="E660" s="16" t="str">
        <f>IF(Country_7!$C61="","",Country_7!E61)</f>
        <v/>
      </c>
      <c r="F660" s="16" t="str">
        <f>IF(Country_7!$C61="","",Country_7!F61)</f>
        <v/>
      </c>
      <c r="G660" s="17" t="str">
        <f>IF(Country_7!$C61="","",Country_7!G61)</f>
        <v/>
      </c>
      <c r="H660" s="17" t="str">
        <f>IF(Country_7!$C61="","",Country_7!H61)</f>
        <v/>
      </c>
      <c r="I660" s="16" t="str">
        <f>IF(Country_7!$C61="","",Country_7!I61)</f>
        <v/>
      </c>
      <c r="J660" s="16" t="str">
        <f>IF(Country_7!$C61="","",Country_7!J61)</f>
        <v/>
      </c>
      <c r="K660" s="18" t="str">
        <f>IF(Country_7!$C61="","",Country_7!K61)</f>
        <v/>
      </c>
      <c r="L660" s="18" t="str">
        <f>IF(Country_7!$C61="","",Country_7!L61)</f>
        <v/>
      </c>
      <c r="M660" s="19" t="str">
        <f>IF(Country_7!$C61="","",Country_7!M61)</f>
        <v/>
      </c>
      <c r="N660" s="16" t="str">
        <f>IF(Country_7!$C61="","",Country_7!N61)</f>
        <v/>
      </c>
      <c r="O660" s="16" t="str">
        <f>IF(Country_7!$C61="","",Country_7!O61)</f>
        <v/>
      </c>
      <c r="P660" s="16" t="str">
        <f>IF(Country_7!$C61="","",Country_7!P61)</f>
        <v/>
      </c>
      <c r="Q660" s="16" t="str">
        <f>IF(Country_7!$C61="","",Country_7!Q61)</f>
        <v/>
      </c>
    </row>
    <row r="661" spans="1:17" x14ac:dyDescent="0.25">
      <c r="A661" s="16" t="str">
        <f>IF(Country_7!$C62="","",Country_7!A62)</f>
        <v/>
      </c>
      <c r="B661" s="16" t="str">
        <f>IF(Country_7!$C62="","",Country_7!B62)</f>
        <v/>
      </c>
      <c r="C661" s="16" t="str">
        <f>IF(Country_7!$C62="","",Country_7!C62)</f>
        <v/>
      </c>
      <c r="D661" s="16" t="str">
        <f>IF(Country_7!$C62="","",Country_7!D62)</f>
        <v/>
      </c>
      <c r="E661" s="16" t="str">
        <f>IF(Country_7!$C62="","",Country_7!E62)</f>
        <v/>
      </c>
      <c r="F661" s="16" t="str">
        <f>IF(Country_7!$C62="","",Country_7!F62)</f>
        <v/>
      </c>
      <c r="G661" s="17" t="str">
        <f>IF(Country_7!$C62="","",Country_7!G62)</f>
        <v/>
      </c>
      <c r="H661" s="17" t="str">
        <f>IF(Country_7!$C62="","",Country_7!H62)</f>
        <v/>
      </c>
      <c r="I661" s="16" t="str">
        <f>IF(Country_7!$C62="","",Country_7!I62)</f>
        <v/>
      </c>
      <c r="J661" s="16" t="str">
        <f>IF(Country_7!$C62="","",Country_7!J62)</f>
        <v/>
      </c>
      <c r="K661" s="18" t="str">
        <f>IF(Country_7!$C62="","",Country_7!K62)</f>
        <v/>
      </c>
      <c r="L661" s="18" t="str">
        <f>IF(Country_7!$C62="","",Country_7!L62)</f>
        <v/>
      </c>
      <c r="M661" s="19" t="str">
        <f>IF(Country_7!$C62="","",Country_7!M62)</f>
        <v/>
      </c>
      <c r="N661" s="16" t="str">
        <f>IF(Country_7!$C62="","",Country_7!N62)</f>
        <v/>
      </c>
      <c r="O661" s="16" t="str">
        <f>IF(Country_7!$C62="","",Country_7!O62)</f>
        <v/>
      </c>
      <c r="P661" s="16" t="str">
        <f>IF(Country_7!$C62="","",Country_7!P62)</f>
        <v/>
      </c>
      <c r="Q661" s="16" t="str">
        <f>IF(Country_7!$C62="","",Country_7!Q62)</f>
        <v/>
      </c>
    </row>
    <row r="662" spans="1:17" x14ac:dyDescent="0.25">
      <c r="A662" s="16" t="str">
        <f>IF(Country_7!$C63="","",Country_7!A63)</f>
        <v/>
      </c>
      <c r="B662" s="16" t="str">
        <f>IF(Country_7!$C63="","",Country_7!B63)</f>
        <v/>
      </c>
      <c r="C662" s="16" t="str">
        <f>IF(Country_7!$C63="","",Country_7!C63)</f>
        <v/>
      </c>
      <c r="D662" s="16" t="str">
        <f>IF(Country_7!$C63="","",Country_7!D63)</f>
        <v/>
      </c>
      <c r="E662" s="16" t="str">
        <f>IF(Country_7!$C63="","",Country_7!E63)</f>
        <v/>
      </c>
      <c r="F662" s="16" t="str">
        <f>IF(Country_7!$C63="","",Country_7!F63)</f>
        <v/>
      </c>
      <c r="G662" s="17" t="str">
        <f>IF(Country_7!$C63="","",Country_7!G63)</f>
        <v/>
      </c>
      <c r="H662" s="17" t="str">
        <f>IF(Country_7!$C63="","",Country_7!H63)</f>
        <v/>
      </c>
      <c r="I662" s="16" t="str">
        <f>IF(Country_7!$C63="","",Country_7!I63)</f>
        <v/>
      </c>
      <c r="J662" s="16" t="str">
        <f>IF(Country_7!$C63="","",Country_7!J63)</f>
        <v/>
      </c>
      <c r="K662" s="18" t="str">
        <f>IF(Country_7!$C63="","",Country_7!K63)</f>
        <v/>
      </c>
      <c r="L662" s="18" t="str">
        <f>IF(Country_7!$C63="","",Country_7!L63)</f>
        <v/>
      </c>
      <c r="M662" s="19" t="str">
        <f>IF(Country_7!$C63="","",Country_7!M63)</f>
        <v/>
      </c>
      <c r="N662" s="16" t="str">
        <f>IF(Country_7!$C63="","",Country_7!N63)</f>
        <v/>
      </c>
      <c r="O662" s="16" t="str">
        <f>IF(Country_7!$C63="","",Country_7!O63)</f>
        <v/>
      </c>
      <c r="P662" s="16" t="str">
        <f>IF(Country_7!$C63="","",Country_7!P63)</f>
        <v/>
      </c>
      <c r="Q662" s="16" t="str">
        <f>IF(Country_7!$C63="","",Country_7!Q63)</f>
        <v/>
      </c>
    </row>
    <row r="663" spans="1:17" x14ac:dyDescent="0.25">
      <c r="A663" s="16" t="str">
        <f>IF(Country_7!$C64="","",Country_7!A64)</f>
        <v/>
      </c>
      <c r="B663" s="16" t="str">
        <f>IF(Country_7!$C64="","",Country_7!B64)</f>
        <v/>
      </c>
      <c r="C663" s="16" t="str">
        <f>IF(Country_7!$C64="","",Country_7!C64)</f>
        <v/>
      </c>
      <c r="D663" s="16" t="str">
        <f>IF(Country_7!$C64="","",Country_7!D64)</f>
        <v/>
      </c>
      <c r="E663" s="16" t="str">
        <f>IF(Country_7!$C64="","",Country_7!E64)</f>
        <v/>
      </c>
      <c r="F663" s="16" t="str">
        <f>IF(Country_7!$C64="","",Country_7!F64)</f>
        <v/>
      </c>
      <c r="G663" s="17" t="str">
        <f>IF(Country_7!$C64="","",Country_7!G64)</f>
        <v/>
      </c>
      <c r="H663" s="17" t="str">
        <f>IF(Country_7!$C64="","",Country_7!H64)</f>
        <v/>
      </c>
      <c r="I663" s="16" t="str">
        <f>IF(Country_7!$C64="","",Country_7!I64)</f>
        <v/>
      </c>
      <c r="J663" s="16" t="str">
        <f>IF(Country_7!$C64="","",Country_7!J64)</f>
        <v/>
      </c>
      <c r="K663" s="18" t="str">
        <f>IF(Country_7!$C64="","",Country_7!K64)</f>
        <v/>
      </c>
      <c r="L663" s="18" t="str">
        <f>IF(Country_7!$C64="","",Country_7!L64)</f>
        <v/>
      </c>
      <c r="M663" s="19" t="str">
        <f>IF(Country_7!$C64="","",Country_7!M64)</f>
        <v/>
      </c>
      <c r="N663" s="16" t="str">
        <f>IF(Country_7!$C64="","",Country_7!N64)</f>
        <v/>
      </c>
      <c r="O663" s="16" t="str">
        <f>IF(Country_7!$C64="","",Country_7!O64)</f>
        <v/>
      </c>
      <c r="P663" s="16" t="str">
        <f>IF(Country_7!$C64="","",Country_7!P64)</f>
        <v/>
      </c>
      <c r="Q663" s="16" t="str">
        <f>IF(Country_7!$C64="","",Country_7!Q64)</f>
        <v/>
      </c>
    </row>
    <row r="664" spans="1:17" x14ac:dyDescent="0.25">
      <c r="A664" s="16" t="str">
        <f>IF(Country_7!$C65="","",Country_7!A65)</f>
        <v/>
      </c>
      <c r="B664" s="16" t="str">
        <f>IF(Country_7!$C65="","",Country_7!B65)</f>
        <v/>
      </c>
      <c r="C664" s="16" t="str">
        <f>IF(Country_7!$C65="","",Country_7!C65)</f>
        <v/>
      </c>
      <c r="D664" s="16" t="str">
        <f>IF(Country_7!$C65="","",Country_7!D65)</f>
        <v/>
      </c>
      <c r="E664" s="16" t="str">
        <f>IF(Country_7!$C65="","",Country_7!E65)</f>
        <v/>
      </c>
      <c r="F664" s="16" t="str">
        <f>IF(Country_7!$C65="","",Country_7!F65)</f>
        <v/>
      </c>
      <c r="G664" s="17" t="str">
        <f>IF(Country_7!$C65="","",Country_7!G65)</f>
        <v/>
      </c>
      <c r="H664" s="17" t="str">
        <f>IF(Country_7!$C65="","",Country_7!H65)</f>
        <v/>
      </c>
      <c r="I664" s="16" t="str">
        <f>IF(Country_7!$C65="","",Country_7!I65)</f>
        <v/>
      </c>
      <c r="J664" s="16" t="str">
        <f>IF(Country_7!$C65="","",Country_7!J65)</f>
        <v/>
      </c>
      <c r="K664" s="18" t="str">
        <f>IF(Country_7!$C65="","",Country_7!K65)</f>
        <v/>
      </c>
      <c r="L664" s="18" t="str">
        <f>IF(Country_7!$C65="","",Country_7!L65)</f>
        <v/>
      </c>
      <c r="M664" s="19" t="str">
        <f>IF(Country_7!$C65="","",Country_7!M65)</f>
        <v/>
      </c>
      <c r="N664" s="16" t="str">
        <f>IF(Country_7!$C65="","",Country_7!N65)</f>
        <v/>
      </c>
      <c r="O664" s="16" t="str">
        <f>IF(Country_7!$C65="","",Country_7!O65)</f>
        <v/>
      </c>
      <c r="P664" s="16" t="str">
        <f>IF(Country_7!$C65="","",Country_7!P65)</f>
        <v/>
      </c>
      <c r="Q664" s="16" t="str">
        <f>IF(Country_7!$C65="","",Country_7!Q65)</f>
        <v/>
      </c>
    </row>
    <row r="665" spans="1:17" x14ac:dyDescent="0.25">
      <c r="A665" s="16" t="str">
        <f>IF(Country_7!$C66="","",Country_7!A66)</f>
        <v/>
      </c>
      <c r="B665" s="16" t="str">
        <f>IF(Country_7!$C66="","",Country_7!B66)</f>
        <v/>
      </c>
      <c r="C665" s="16" t="str">
        <f>IF(Country_7!$C66="","",Country_7!C66)</f>
        <v/>
      </c>
      <c r="D665" s="16" t="str">
        <f>IF(Country_7!$C66="","",Country_7!D66)</f>
        <v/>
      </c>
      <c r="E665" s="16" t="str">
        <f>IF(Country_7!$C66="","",Country_7!E66)</f>
        <v/>
      </c>
      <c r="F665" s="16" t="str">
        <f>IF(Country_7!$C66="","",Country_7!F66)</f>
        <v/>
      </c>
      <c r="G665" s="17" t="str">
        <f>IF(Country_7!$C66="","",Country_7!G66)</f>
        <v/>
      </c>
      <c r="H665" s="17" t="str">
        <f>IF(Country_7!$C66="","",Country_7!H66)</f>
        <v/>
      </c>
      <c r="I665" s="16" t="str">
        <f>IF(Country_7!$C66="","",Country_7!I66)</f>
        <v/>
      </c>
      <c r="J665" s="16" t="str">
        <f>IF(Country_7!$C66="","",Country_7!J66)</f>
        <v/>
      </c>
      <c r="K665" s="18" t="str">
        <f>IF(Country_7!$C66="","",Country_7!K66)</f>
        <v/>
      </c>
      <c r="L665" s="18" t="str">
        <f>IF(Country_7!$C66="","",Country_7!L66)</f>
        <v/>
      </c>
      <c r="M665" s="19" t="str">
        <f>IF(Country_7!$C66="","",Country_7!M66)</f>
        <v/>
      </c>
      <c r="N665" s="16" t="str">
        <f>IF(Country_7!$C66="","",Country_7!N66)</f>
        <v/>
      </c>
      <c r="O665" s="16" t="str">
        <f>IF(Country_7!$C66="","",Country_7!O66)</f>
        <v/>
      </c>
      <c r="P665" s="16" t="str">
        <f>IF(Country_7!$C66="","",Country_7!P66)</f>
        <v/>
      </c>
      <c r="Q665" s="16" t="str">
        <f>IF(Country_7!$C66="","",Country_7!Q66)</f>
        <v/>
      </c>
    </row>
    <row r="666" spans="1:17" x14ac:dyDescent="0.25">
      <c r="A666" s="16" t="str">
        <f>IF(Country_7!$C67="","",Country_7!A67)</f>
        <v/>
      </c>
      <c r="B666" s="16" t="str">
        <f>IF(Country_7!$C67="","",Country_7!B67)</f>
        <v/>
      </c>
      <c r="C666" s="16" t="str">
        <f>IF(Country_7!$C67="","",Country_7!C67)</f>
        <v/>
      </c>
      <c r="D666" s="16" t="str">
        <f>IF(Country_7!$C67="","",Country_7!D67)</f>
        <v/>
      </c>
      <c r="E666" s="16" t="str">
        <f>IF(Country_7!$C67="","",Country_7!E67)</f>
        <v/>
      </c>
      <c r="F666" s="16" t="str">
        <f>IF(Country_7!$C67="","",Country_7!F67)</f>
        <v/>
      </c>
      <c r="G666" s="17" t="str">
        <f>IF(Country_7!$C67="","",Country_7!G67)</f>
        <v/>
      </c>
      <c r="H666" s="17" t="str">
        <f>IF(Country_7!$C67="","",Country_7!H67)</f>
        <v/>
      </c>
      <c r="I666" s="16" t="str">
        <f>IF(Country_7!$C67="","",Country_7!I67)</f>
        <v/>
      </c>
      <c r="J666" s="16" t="str">
        <f>IF(Country_7!$C67="","",Country_7!J67)</f>
        <v/>
      </c>
      <c r="K666" s="18" t="str">
        <f>IF(Country_7!$C67="","",Country_7!K67)</f>
        <v/>
      </c>
      <c r="L666" s="18" t="str">
        <f>IF(Country_7!$C67="","",Country_7!L67)</f>
        <v/>
      </c>
      <c r="M666" s="19" t="str">
        <f>IF(Country_7!$C67="","",Country_7!M67)</f>
        <v/>
      </c>
      <c r="N666" s="16" t="str">
        <f>IF(Country_7!$C67="","",Country_7!N67)</f>
        <v/>
      </c>
      <c r="O666" s="16" t="str">
        <f>IF(Country_7!$C67="","",Country_7!O67)</f>
        <v/>
      </c>
      <c r="P666" s="16" t="str">
        <f>IF(Country_7!$C67="","",Country_7!P67)</f>
        <v/>
      </c>
      <c r="Q666" s="16" t="str">
        <f>IF(Country_7!$C67="","",Country_7!Q67)</f>
        <v/>
      </c>
    </row>
    <row r="667" spans="1:17" x14ac:dyDescent="0.25">
      <c r="A667" s="16" t="str">
        <f>IF(Country_7!$C68="","",Country_7!A68)</f>
        <v/>
      </c>
      <c r="B667" s="16" t="str">
        <f>IF(Country_7!$C68="","",Country_7!B68)</f>
        <v/>
      </c>
      <c r="C667" s="16" t="str">
        <f>IF(Country_7!$C68="","",Country_7!C68)</f>
        <v/>
      </c>
      <c r="D667" s="16" t="str">
        <f>IF(Country_7!$C68="","",Country_7!D68)</f>
        <v/>
      </c>
      <c r="E667" s="16" t="str">
        <f>IF(Country_7!$C68="","",Country_7!E68)</f>
        <v/>
      </c>
      <c r="F667" s="16" t="str">
        <f>IF(Country_7!$C68="","",Country_7!F68)</f>
        <v/>
      </c>
      <c r="G667" s="17" t="str">
        <f>IF(Country_7!$C68="","",Country_7!G68)</f>
        <v/>
      </c>
      <c r="H667" s="17" t="str">
        <f>IF(Country_7!$C68="","",Country_7!H68)</f>
        <v/>
      </c>
      <c r="I667" s="16" t="str">
        <f>IF(Country_7!$C68="","",Country_7!I68)</f>
        <v/>
      </c>
      <c r="J667" s="16" t="str">
        <f>IF(Country_7!$C68="","",Country_7!J68)</f>
        <v/>
      </c>
      <c r="K667" s="18" t="str">
        <f>IF(Country_7!$C68="","",Country_7!K68)</f>
        <v/>
      </c>
      <c r="L667" s="18" t="str">
        <f>IF(Country_7!$C68="","",Country_7!L68)</f>
        <v/>
      </c>
      <c r="M667" s="19" t="str">
        <f>IF(Country_7!$C68="","",Country_7!M68)</f>
        <v/>
      </c>
      <c r="N667" s="16" t="str">
        <f>IF(Country_7!$C68="","",Country_7!N68)</f>
        <v/>
      </c>
      <c r="O667" s="16" t="str">
        <f>IF(Country_7!$C68="","",Country_7!O68)</f>
        <v/>
      </c>
      <c r="P667" s="16" t="str">
        <f>IF(Country_7!$C68="","",Country_7!P68)</f>
        <v/>
      </c>
      <c r="Q667" s="16" t="str">
        <f>IF(Country_7!$C68="","",Country_7!Q68)</f>
        <v/>
      </c>
    </row>
    <row r="668" spans="1:17" x14ac:dyDescent="0.25">
      <c r="A668" s="16" t="str">
        <f>IF(Country_7!$C69="","",Country_7!A69)</f>
        <v/>
      </c>
      <c r="B668" s="16" t="str">
        <f>IF(Country_7!$C69="","",Country_7!B69)</f>
        <v/>
      </c>
      <c r="C668" s="16" t="str">
        <f>IF(Country_7!$C69="","",Country_7!C69)</f>
        <v/>
      </c>
      <c r="D668" s="16" t="str">
        <f>IF(Country_7!$C69="","",Country_7!D69)</f>
        <v/>
      </c>
      <c r="E668" s="16" t="str">
        <f>IF(Country_7!$C69="","",Country_7!E69)</f>
        <v/>
      </c>
      <c r="F668" s="16" t="str">
        <f>IF(Country_7!$C69="","",Country_7!F69)</f>
        <v/>
      </c>
      <c r="G668" s="17" t="str">
        <f>IF(Country_7!$C69="","",Country_7!G69)</f>
        <v/>
      </c>
      <c r="H668" s="17" t="str">
        <f>IF(Country_7!$C69="","",Country_7!H69)</f>
        <v/>
      </c>
      <c r="I668" s="16" t="str">
        <f>IF(Country_7!$C69="","",Country_7!I69)</f>
        <v/>
      </c>
      <c r="J668" s="16" t="str">
        <f>IF(Country_7!$C69="","",Country_7!J69)</f>
        <v/>
      </c>
      <c r="K668" s="18" t="str">
        <f>IF(Country_7!$C69="","",Country_7!K69)</f>
        <v/>
      </c>
      <c r="L668" s="18" t="str">
        <f>IF(Country_7!$C69="","",Country_7!L69)</f>
        <v/>
      </c>
      <c r="M668" s="19" t="str">
        <f>IF(Country_7!$C69="","",Country_7!M69)</f>
        <v/>
      </c>
      <c r="N668" s="16" t="str">
        <f>IF(Country_7!$C69="","",Country_7!N69)</f>
        <v/>
      </c>
      <c r="O668" s="16" t="str">
        <f>IF(Country_7!$C69="","",Country_7!O69)</f>
        <v/>
      </c>
      <c r="P668" s="16" t="str">
        <f>IF(Country_7!$C69="","",Country_7!P69)</f>
        <v/>
      </c>
      <c r="Q668" s="16" t="str">
        <f>IF(Country_7!$C69="","",Country_7!Q69)</f>
        <v/>
      </c>
    </row>
    <row r="669" spans="1:17" x14ac:dyDescent="0.25">
      <c r="A669" s="16" t="str">
        <f>IF(Country_7!$C70="","",Country_7!A70)</f>
        <v/>
      </c>
      <c r="B669" s="16" t="str">
        <f>IF(Country_7!$C70="","",Country_7!B70)</f>
        <v/>
      </c>
      <c r="C669" s="16" t="str">
        <f>IF(Country_7!$C70="","",Country_7!C70)</f>
        <v/>
      </c>
      <c r="D669" s="16" t="str">
        <f>IF(Country_7!$C70="","",Country_7!D70)</f>
        <v/>
      </c>
      <c r="E669" s="16" t="str">
        <f>IF(Country_7!$C70="","",Country_7!E70)</f>
        <v/>
      </c>
      <c r="F669" s="16" t="str">
        <f>IF(Country_7!$C70="","",Country_7!F70)</f>
        <v/>
      </c>
      <c r="G669" s="17" t="str">
        <f>IF(Country_7!$C70="","",Country_7!G70)</f>
        <v/>
      </c>
      <c r="H669" s="17" t="str">
        <f>IF(Country_7!$C70="","",Country_7!H70)</f>
        <v/>
      </c>
      <c r="I669" s="16" t="str">
        <f>IF(Country_7!$C70="","",Country_7!I70)</f>
        <v/>
      </c>
      <c r="J669" s="16" t="str">
        <f>IF(Country_7!$C70="","",Country_7!J70)</f>
        <v/>
      </c>
      <c r="K669" s="18" t="str">
        <f>IF(Country_7!$C70="","",Country_7!K70)</f>
        <v/>
      </c>
      <c r="L669" s="18" t="str">
        <f>IF(Country_7!$C70="","",Country_7!L70)</f>
        <v/>
      </c>
      <c r="M669" s="19" t="str">
        <f>IF(Country_7!$C70="","",Country_7!M70)</f>
        <v/>
      </c>
      <c r="N669" s="16" t="str">
        <f>IF(Country_7!$C70="","",Country_7!N70)</f>
        <v/>
      </c>
      <c r="O669" s="16" t="str">
        <f>IF(Country_7!$C70="","",Country_7!O70)</f>
        <v/>
      </c>
      <c r="P669" s="16" t="str">
        <f>IF(Country_7!$C70="","",Country_7!P70)</f>
        <v/>
      </c>
      <c r="Q669" s="16" t="str">
        <f>IF(Country_7!$C70="","",Country_7!Q70)</f>
        <v/>
      </c>
    </row>
    <row r="670" spans="1:17" x14ac:dyDescent="0.25">
      <c r="A670" s="16" t="str">
        <f>IF(Country_7!$C71="","",Country_7!A71)</f>
        <v/>
      </c>
      <c r="B670" s="16" t="str">
        <f>IF(Country_7!$C71="","",Country_7!B71)</f>
        <v/>
      </c>
      <c r="C670" s="16" t="str">
        <f>IF(Country_7!$C71="","",Country_7!C71)</f>
        <v/>
      </c>
      <c r="D670" s="16" t="str">
        <f>IF(Country_7!$C71="","",Country_7!D71)</f>
        <v/>
      </c>
      <c r="E670" s="16" t="str">
        <f>IF(Country_7!$C71="","",Country_7!E71)</f>
        <v/>
      </c>
      <c r="F670" s="16" t="str">
        <f>IF(Country_7!$C71="","",Country_7!F71)</f>
        <v/>
      </c>
      <c r="G670" s="17" t="str">
        <f>IF(Country_7!$C71="","",Country_7!G71)</f>
        <v/>
      </c>
      <c r="H670" s="17" t="str">
        <f>IF(Country_7!$C71="","",Country_7!H71)</f>
        <v/>
      </c>
      <c r="I670" s="16" t="str">
        <f>IF(Country_7!$C71="","",Country_7!I71)</f>
        <v/>
      </c>
      <c r="J670" s="16" t="str">
        <f>IF(Country_7!$C71="","",Country_7!J71)</f>
        <v/>
      </c>
      <c r="K670" s="18" t="str">
        <f>IF(Country_7!$C71="","",Country_7!K71)</f>
        <v/>
      </c>
      <c r="L670" s="18" t="str">
        <f>IF(Country_7!$C71="","",Country_7!L71)</f>
        <v/>
      </c>
      <c r="M670" s="19" t="str">
        <f>IF(Country_7!$C71="","",Country_7!M71)</f>
        <v/>
      </c>
      <c r="N670" s="16" t="str">
        <f>IF(Country_7!$C71="","",Country_7!N71)</f>
        <v/>
      </c>
      <c r="O670" s="16" t="str">
        <f>IF(Country_7!$C71="","",Country_7!O71)</f>
        <v/>
      </c>
      <c r="P670" s="16" t="str">
        <f>IF(Country_7!$C71="","",Country_7!P71)</f>
        <v/>
      </c>
      <c r="Q670" s="16" t="str">
        <f>IF(Country_7!$C71="","",Country_7!Q71)</f>
        <v/>
      </c>
    </row>
    <row r="671" spans="1:17" x14ac:dyDescent="0.25">
      <c r="A671" s="16" t="str">
        <f>IF(Country_7!$C72="","",Country_7!A72)</f>
        <v/>
      </c>
      <c r="B671" s="16" t="str">
        <f>IF(Country_7!$C72="","",Country_7!B72)</f>
        <v/>
      </c>
      <c r="C671" s="16" t="str">
        <f>IF(Country_7!$C72="","",Country_7!C72)</f>
        <v/>
      </c>
      <c r="D671" s="16" t="str">
        <f>IF(Country_7!$C72="","",Country_7!D72)</f>
        <v/>
      </c>
      <c r="E671" s="16" t="str">
        <f>IF(Country_7!$C72="","",Country_7!E72)</f>
        <v/>
      </c>
      <c r="F671" s="16" t="str">
        <f>IF(Country_7!$C72="","",Country_7!F72)</f>
        <v/>
      </c>
      <c r="G671" s="17" t="str">
        <f>IF(Country_7!$C72="","",Country_7!G72)</f>
        <v/>
      </c>
      <c r="H671" s="17" t="str">
        <f>IF(Country_7!$C72="","",Country_7!H72)</f>
        <v/>
      </c>
      <c r="I671" s="16" t="str">
        <f>IF(Country_7!$C72="","",Country_7!I72)</f>
        <v/>
      </c>
      <c r="J671" s="16" t="str">
        <f>IF(Country_7!$C72="","",Country_7!J72)</f>
        <v/>
      </c>
      <c r="K671" s="18" t="str">
        <f>IF(Country_7!$C72="","",Country_7!K72)</f>
        <v/>
      </c>
      <c r="L671" s="18" t="str">
        <f>IF(Country_7!$C72="","",Country_7!L72)</f>
        <v/>
      </c>
      <c r="M671" s="19" t="str">
        <f>IF(Country_7!$C72="","",Country_7!M72)</f>
        <v/>
      </c>
      <c r="N671" s="16" t="str">
        <f>IF(Country_7!$C72="","",Country_7!N72)</f>
        <v/>
      </c>
      <c r="O671" s="16" t="str">
        <f>IF(Country_7!$C72="","",Country_7!O72)</f>
        <v/>
      </c>
      <c r="P671" s="16" t="str">
        <f>IF(Country_7!$C72="","",Country_7!P72)</f>
        <v/>
      </c>
      <c r="Q671" s="16" t="str">
        <f>IF(Country_7!$C72="","",Country_7!Q72)</f>
        <v/>
      </c>
    </row>
    <row r="672" spans="1:17" x14ac:dyDescent="0.25">
      <c r="A672" s="16" t="str">
        <f>IF(Country_7!$C73="","",Country_7!A73)</f>
        <v/>
      </c>
      <c r="B672" s="16" t="str">
        <f>IF(Country_7!$C73="","",Country_7!B73)</f>
        <v/>
      </c>
      <c r="C672" s="16" t="str">
        <f>IF(Country_7!$C73="","",Country_7!C73)</f>
        <v/>
      </c>
      <c r="D672" s="16" t="str">
        <f>IF(Country_7!$C73="","",Country_7!D73)</f>
        <v/>
      </c>
      <c r="E672" s="16" t="str">
        <f>IF(Country_7!$C73="","",Country_7!E73)</f>
        <v/>
      </c>
      <c r="F672" s="16" t="str">
        <f>IF(Country_7!$C73="","",Country_7!F73)</f>
        <v/>
      </c>
      <c r="G672" s="17" t="str">
        <f>IF(Country_7!$C73="","",Country_7!G73)</f>
        <v/>
      </c>
      <c r="H672" s="17" t="str">
        <f>IF(Country_7!$C73="","",Country_7!H73)</f>
        <v/>
      </c>
      <c r="I672" s="16" t="str">
        <f>IF(Country_7!$C73="","",Country_7!I73)</f>
        <v/>
      </c>
      <c r="J672" s="16" t="str">
        <f>IF(Country_7!$C73="","",Country_7!J73)</f>
        <v/>
      </c>
      <c r="K672" s="18" t="str">
        <f>IF(Country_7!$C73="","",Country_7!K73)</f>
        <v/>
      </c>
      <c r="L672" s="18" t="str">
        <f>IF(Country_7!$C73="","",Country_7!L73)</f>
        <v/>
      </c>
      <c r="M672" s="19" t="str">
        <f>IF(Country_7!$C73="","",Country_7!M73)</f>
        <v/>
      </c>
      <c r="N672" s="16" t="str">
        <f>IF(Country_7!$C73="","",Country_7!N73)</f>
        <v/>
      </c>
      <c r="O672" s="16" t="str">
        <f>IF(Country_7!$C73="","",Country_7!O73)</f>
        <v/>
      </c>
      <c r="P672" s="16" t="str">
        <f>IF(Country_7!$C73="","",Country_7!P73)</f>
        <v/>
      </c>
      <c r="Q672" s="16" t="str">
        <f>IF(Country_7!$C73="","",Country_7!Q73)</f>
        <v/>
      </c>
    </row>
    <row r="673" spans="1:17" x14ac:dyDescent="0.25">
      <c r="A673" s="16" t="str">
        <f>IF(Country_7!$C74="","",Country_7!A74)</f>
        <v/>
      </c>
      <c r="B673" s="16" t="str">
        <f>IF(Country_7!$C74="","",Country_7!B74)</f>
        <v/>
      </c>
      <c r="C673" s="16" t="str">
        <f>IF(Country_7!$C74="","",Country_7!C74)</f>
        <v/>
      </c>
      <c r="D673" s="16" t="str">
        <f>IF(Country_7!$C74="","",Country_7!D74)</f>
        <v/>
      </c>
      <c r="E673" s="16" t="str">
        <f>IF(Country_7!$C74="","",Country_7!E74)</f>
        <v/>
      </c>
      <c r="F673" s="16" t="str">
        <f>IF(Country_7!$C74="","",Country_7!F74)</f>
        <v/>
      </c>
      <c r="G673" s="17" t="str">
        <f>IF(Country_7!$C74="","",Country_7!G74)</f>
        <v/>
      </c>
      <c r="H673" s="17" t="str">
        <f>IF(Country_7!$C74="","",Country_7!H74)</f>
        <v/>
      </c>
      <c r="I673" s="16" t="str">
        <f>IF(Country_7!$C74="","",Country_7!I74)</f>
        <v/>
      </c>
      <c r="J673" s="16" t="str">
        <f>IF(Country_7!$C74="","",Country_7!J74)</f>
        <v/>
      </c>
      <c r="K673" s="18" t="str">
        <f>IF(Country_7!$C74="","",Country_7!K74)</f>
        <v/>
      </c>
      <c r="L673" s="18" t="str">
        <f>IF(Country_7!$C74="","",Country_7!L74)</f>
        <v/>
      </c>
      <c r="M673" s="19" t="str">
        <f>IF(Country_7!$C74="","",Country_7!M74)</f>
        <v/>
      </c>
      <c r="N673" s="16" t="str">
        <f>IF(Country_7!$C74="","",Country_7!N74)</f>
        <v/>
      </c>
      <c r="O673" s="16" t="str">
        <f>IF(Country_7!$C74="","",Country_7!O74)</f>
        <v/>
      </c>
      <c r="P673" s="16" t="str">
        <f>IF(Country_7!$C74="","",Country_7!P74)</f>
        <v/>
      </c>
      <c r="Q673" s="16" t="str">
        <f>IF(Country_7!$C74="","",Country_7!Q74)</f>
        <v/>
      </c>
    </row>
    <row r="674" spans="1:17" x14ac:dyDescent="0.25">
      <c r="A674" s="16" t="str">
        <f>IF(Country_7!$C75="","",Country_7!A75)</f>
        <v/>
      </c>
      <c r="B674" s="16" t="str">
        <f>IF(Country_7!$C75="","",Country_7!B75)</f>
        <v/>
      </c>
      <c r="C674" s="16" t="str">
        <f>IF(Country_7!$C75="","",Country_7!C75)</f>
        <v/>
      </c>
      <c r="D674" s="16" t="str">
        <f>IF(Country_7!$C75="","",Country_7!D75)</f>
        <v/>
      </c>
      <c r="E674" s="16" t="str">
        <f>IF(Country_7!$C75="","",Country_7!E75)</f>
        <v/>
      </c>
      <c r="F674" s="16" t="str">
        <f>IF(Country_7!$C75="","",Country_7!F75)</f>
        <v/>
      </c>
      <c r="G674" s="17" t="str">
        <f>IF(Country_7!$C75="","",Country_7!G75)</f>
        <v/>
      </c>
      <c r="H674" s="17" t="str">
        <f>IF(Country_7!$C75="","",Country_7!H75)</f>
        <v/>
      </c>
      <c r="I674" s="16" t="str">
        <f>IF(Country_7!$C75="","",Country_7!I75)</f>
        <v/>
      </c>
      <c r="J674" s="16" t="str">
        <f>IF(Country_7!$C75="","",Country_7!J75)</f>
        <v/>
      </c>
      <c r="K674" s="18" t="str">
        <f>IF(Country_7!$C75="","",Country_7!K75)</f>
        <v/>
      </c>
      <c r="L674" s="18" t="str">
        <f>IF(Country_7!$C75="","",Country_7!L75)</f>
        <v/>
      </c>
      <c r="M674" s="19" t="str">
        <f>IF(Country_7!$C75="","",Country_7!M75)</f>
        <v/>
      </c>
      <c r="N674" s="16" t="str">
        <f>IF(Country_7!$C75="","",Country_7!N75)</f>
        <v/>
      </c>
      <c r="O674" s="16" t="str">
        <f>IF(Country_7!$C75="","",Country_7!O75)</f>
        <v/>
      </c>
      <c r="P674" s="16" t="str">
        <f>IF(Country_7!$C75="","",Country_7!P75)</f>
        <v/>
      </c>
      <c r="Q674" s="16" t="str">
        <f>IF(Country_7!$C75="","",Country_7!Q75)</f>
        <v/>
      </c>
    </row>
    <row r="675" spans="1:17" x14ac:dyDescent="0.25">
      <c r="A675" s="16" t="str">
        <f>IF(Country_7!$C76="","",Country_7!A76)</f>
        <v/>
      </c>
      <c r="B675" s="16" t="str">
        <f>IF(Country_7!$C76="","",Country_7!B76)</f>
        <v/>
      </c>
      <c r="C675" s="16" t="str">
        <f>IF(Country_7!$C76="","",Country_7!C76)</f>
        <v/>
      </c>
      <c r="D675" s="16" t="str">
        <f>IF(Country_7!$C76="","",Country_7!D76)</f>
        <v/>
      </c>
      <c r="E675" s="16" t="str">
        <f>IF(Country_7!$C76="","",Country_7!E76)</f>
        <v/>
      </c>
      <c r="F675" s="16" t="str">
        <f>IF(Country_7!$C76="","",Country_7!F76)</f>
        <v/>
      </c>
      <c r="G675" s="17" t="str">
        <f>IF(Country_7!$C76="","",Country_7!G76)</f>
        <v/>
      </c>
      <c r="H675" s="17" t="str">
        <f>IF(Country_7!$C76="","",Country_7!H76)</f>
        <v/>
      </c>
      <c r="I675" s="16" t="str">
        <f>IF(Country_7!$C76="","",Country_7!I76)</f>
        <v/>
      </c>
      <c r="J675" s="16" t="str">
        <f>IF(Country_7!$C76="","",Country_7!J76)</f>
        <v/>
      </c>
      <c r="K675" s="18" t="str">
        <f>IF(Country_7!$C76="","",Country_7!K76)</f>
        <v/>
      </c>
      <c r="L675" s="18" t="str">
        <f>IF(Country_7!$C76="","",Country_7!L76)</f>
        <v/>
      </c>
      <c r="M675" s="19" t="str">
        <f>IF(Country_7!$C76="","",Country_7!M76)</f>
        <v/>
      </c>
      <c r="N675" s="16" t="str">
        <f>IF(Country_7!$C76="","",Country_7!N76)</f>
        <v/>
      </c>
      <c r="O675" s="16" t="str">
        <f>IF(Country_7!$C76="","",Country_7!O76)</f>
        <v/>
      </c>
      <c r="P675" s="16" t="str">
        <f>IF(Country_7!$C76="","",Country_7!P76)</f>
        <v/>
      </c>
      <c r="Q675" s="16" t="str">
        <f>IF(Country_7!$C76="","",Country_7!Q76)</f>
        <v/>
      </c>
    </row>
    <row r="676" spans="1:17" x14ac:dyDescent="0.25">
      <c r="A676" s="16" t="str">
        <f>IF(Country_7!$C77="","",Country_7!A77)</f>
        <v/>
      </c>
      <c r="B676" s="16" t="str">
        <f>IF(Country_7!$C77="","",Country_7!B77)</f>
        <v/>
      </c>
      <c r="C676" s="16" t="str">
        <f>IF(Country_7!$C77="","",Country_7!C77)</f>
        <v/>
      </c>
      <c r="D676" s="16" t="str">
        <f>IF(Country_7!$C77="","",Country_7!D77)</f>
        <v/>
      </c>
      <c r="E676" s="16" t="str">
        <f>IF(Country_7!$C77="","",Country_7!E77)</f>
        <v/>
      </c>
      <c r="F676" s="16" t="str">
        <f>IF(Country_7!$C77="","",Country_7!F77)</f>
        <v/>
      </c>
      <c r="G676" s="17" t="str">
        <f>IF(Country_7!$C77="","",Country_7!G77)</f>
        <v/>
      </c>
      <c r="H676" s="17" t="str">
        <f>IF(Country_7!$C77="","",Country_7!H77)</f>
        <v/>
      </c>
      <c r="I676" s="16" t="str">
        <f>IF(Country_7!$C77="","",Country_7!I77)</f>
        <v/>
      </c>
      <c r="J676" s="16" t="str">
        <f>IF(Country_7!$C77="","",Country_7!J77)</f>
        <v/>
      </c>
      <c r="K676" s="18" t="str">
        <f>IF(Country_7!$C77="","",Country_7!K77)</f>
        <v/>
      </c>
      <c r="L676" s="18" t="str">
        <f>IF(Country_7!$C77="","",Country_7!L77)</f>
        <v/>
      </c>
      <c r="M676" s="19" t="str">
        <f>IF(Country_7!$C77="","",Country_7!M77)</f>
        <v/>
      </c>
      <c r="N676" s="16" t="str">
        <f>IF(Country_7!$C77="","",Country_7!N77)</f>
        <v/>
      </c>
      <c r="O676" s="16" t="str">
        <f>IF(Country_7!$C77="","",Country_7!O77)</f>
        <v/>
      </c>
      <c r="P676" s="16" t="str">
        <f>IF(Country_7!$C77="","",Country_7!P77)</f>
        <v/>
      </c>
      <c r="Q676" s="16" t="str">
        <f>IF(Country_7!$C77="","",Country_7!Q77)</f>
        <v/>
      </c>
    </row>
    <row r="677" spans="1:17" x14ac:dyDescent="0.25">
      <c r="A677" s="16" t="str">
        <f>IF(Country_7!$C78="","",Country_7!A78)</f>
        <v/>
      </c>
      <c r="B677" s="16" t="str">
        <f>IF(Country_7!$C78="","",Country_7!B78)</f>
        <v/>
      </c>
      <c r="C677" s="16" t="str">
        <f>IF(Country_7!$C78="","",Country_7!C78)</f>
        <v/>
      </c>
      <c r="D677" s="16" t="str">
        <f>IF(Country_7!$C78="","",Country_7!D78)</f>
        <v/>
      </c>
      <c r="E677" s="16" t="str">
        <f>IF(Country_7!$C78="","",Country_7!E78)</f>
        <v/>
      </c>
      <c r="F677" s="16" t="str">
        <f>IF(Country_7!$C78="","",Country_7!F78)</f>
        <v/>
      </c>
      <c r="G677" s="17" t="str">
        <f>IF(Country_7!$C78="","",Country_7!G78)</f>
        <v/>
      </c>
      <c r="H677" s="17" t="str">
        <f>IF(Country_7!$C78="","",Country_7!H78)</f>
        <v/>
      </c>
      <c r="I677" s="16" t="str">
        <f>IF(Country_7!$C78="","",Country_7!I78)</f>
        <v/>
      </c>
      <c r="J677" s="16" t="str">
        <f>IF(Country_7!$C78="","",Country_7!J78)</f>
        <v/>
      </c>
      <c r="K677" s="18" t="str">
        <f>IF(Country_7!$C78="","",Country_7!K78)</f>
        <v/>
      </c>
      <c r="L677" s="18" t="str">
        <f>IF(Country_7!$C78="","",Country_7!L78)</f>
        <v/>
      </c>
      <c r="M677" s="19" t="str">
        <f>IF(Country_7!$C78="","",Country_7!M78)</f>
        <v/>
      </c>
      <c r="N677" s="16" t="str">
        <f>IF(Country_7!$C78="","",Country_7!N78)</f>
        <v/>
      </c>
      <c r="O677" s="16" t="str">
        <f>IF(Country_7!$C78="","",Country_7!O78)</f>
        <v/>
      </c>
      <c r="P677" s="16" t="str">
        <f>IF(Country_7!$C78="","",Country_7!P78)</f>
        <v/>
      </c>
      <c r="Q677" s="16" t="str">
        <f>IF(Country_7!$C78="","",Country_7!Q78)</f>
        <v/>
      </c>
    </row>
    <row r="678" spans="1:17" x14ac:dyDescent="0.25">
      <c r="A678" s="16" t="str">
        <f>IF(Country_7!$C79="","",Country_7!A79)</f>
        <v/>
      </c>
      <c r="B678" s="16" t="str">
        <f>IF(Country_7!$C79="","",Country_7!B79)</f>
        <v/>
      </c>
      <c r="C678" s="16" t="str">
        <f>IF(Country_7!$C79="","",Country_7!C79)</f>
        <v/>
      </c>
      <c r="D678" s="16" t="str">
        <f>IF(Country_7!$C79="","",Country_7!D79)</f>
        <v/>
      </c>
      <c r="E678" s="16" t="str">
        <f>IF(Country_7!$C79="","",Country_7!E79)</f>
        <v/>
      </c>
      <c r="F678" s="16" t="str">
        <f>IF(Country_7!$C79="","",Country_7!F79)</f>
        <v/>
      </c>
      <c r="G678" s="17" t="str">
        <f>IF(Country_7!$C79="","",Country_7!G79)</f>
        <v/>
      </c>
      <c r="H678" s="17" t="str">
        <f>IF(Country_7!$C79="","",Country_7!H79)</f>
        <v/>
      </c>
      <c r="I678" s="16" t="str">
        <f>IF(Country_7!$C79="","",Country_7!I79)</f>
        <v/>
      </c>
      <c r="J678" s="16" t="str">
        <f>IF(Country_7!$C79="","",Country_7!J79)</f>
        <v/>
      </c>
      <c r="K678" s="18" t="str">
        <f>IF(Country_7!$C79="","",Country_7!K79)</f>
        <v/>
      </c>
      <c r="L678" s="18" t="str">
        <f>IF(Country_7!$C79="","",Country_7!L79)</f>
        <v/>
      </c>
      <c r="M678" s="19" t="str">
        <f>IF(Country_7!$C79="","",Country_7!M79)</f>
        <v/>
      </c>
      <c r="N678" s="16" t="str">
        <f>IF(Country_7!$C79="","",Country_7!N79)</f>
        <v/>
      </c>
      <c r="O678" s="16" t="str">
        <f>IF(Country_7!$C79="","",Country_7!O79)</f>
        <v/>
      </c>
      <c r="P678" s="16" t="str">
        <f>IF(Country_7!$C79="","",Country_7!P79)</f>
        <v/>
      </c>
      <c r="Q678" s="16" t="str">
        <f>IF(Country_7!$C79="","",Country_7!Q79)</f>
        <v/>
      </c>
    </row>
    <row r="679" spans="1:17" x14ac:dyDescent="0.25">
      <c r="A679" s="16" t="str">
        <f>IF(Country_7!$C80="","",Country_7!A80)</f>
        <v/>
      </c>
      <c r="B679" s="16" t="str">
        <f>IF(Country_7!$C80="","",Country_7!B80)</f>
        <v/>
      </c>
      <c r="C679" s="16" t="str">
        <f>IF(Country_7!$C80="","",Country_7!C80)</f>
        <v/>
      </c>
      <c r="D679" s="16" t="str">
        <f>IF(Country_7!$C80="","",Country_7!D80)</f>
        <v/>
      </c>
      <c r="E679" s="16" t="str">
        <f>IF(Country_7!$C80="","",Country_7!E80)</f>
        <v/>
      </c>
      <c r="F679" s="16" t="str">
        <f>IF(Country_7!$C80="","",Country_7!F80)</f>
        <v/>
      </c>
      <c r="G679" s="17" t="str">
        <f>IF(Country_7!$C80="","",Country_7!G80)</f>
        <v/>
      </c>
      <c r="H679" s="17" t="str">
        <f>IF(Country_7!$C80="","",Country_7!H80)</f>
        <v/>
      </c>
      <c r="I679" s="16" t="str">
        <f>IF(Country_7!$C80="","",Country_7!I80)</f>
        <v/>
      </c>
      <c r="J679" s="16" t="str">
        <f>IF(Country_7!$C80="","",Country_7!J80)</f>
        <v/>
      </c>
      <c r="K679" s="18" t="str">
        <f>IF(Country_7!$C80="","",Country_7!K80)</f>
        <v/>
      </c>
      <c r="L679" s="18" t="str">
        <f>IF(Country_7!$C80="","",Country_7!L80)</f>
        <v/>
      </c>
      <c r="M679" s="19" t="str">
        <f>IF(Country_7!$C80="","",Country_7!M80)</f>
        <v/>
      </c>
      <c r="N679" s="16" t="str">
        <f>IF(Country_7!$C80="","",Country_7!N80)</f>
        <v/>
      </c>
      <c r="O679" s="16" t="str">
        <f>IF(Country_7!$C80="","",Country_7!O80)</f>
        <v/>
      </c>
      <c r="P679" s="16" t="str">
        <f>IF(Country_7!$C80="","",Country_7!P80)</f>
        <v/>
      </c>
      <c r="Q679" s="16" t="str">
        <f>IF(Country_7!$C80="","",Country_7!Q80)</f>
        <v/>
      </c>
    </row>
    <row r="680" spans="1:17" x14ac:dyDescent="0.25">
      <c r="A680" s="16" t="str">
        <f>IF(Country_7!$C81="","",Country_7!A81)</f>
        <v/>
      </c>
      <c r="B680" s="16" t="str">
        <f>IF(Country_7!$C81="","",Country_7!B81)</f>
        <v/>
      </c>
      <c r="C680" s="16" t="str">
        <f>IF(Country_7!$C81="","",Country_7!C81)</f>
        <v/>
      </c>
      <c r="D680" s="16" t="str">
        <f>IF(Country_7!$C81="","",Country_7!D81)</f>
        <v/>
      </c>
      <c r="E680" s="16" t="str">
        <f>IF(Country_7!$C81="","",Country_7!E81)</f>
        <v/>
      </c>
      <c r="F680" s="16" t="str">
        <f>IF(Country_7!$C81="","",Country_7!F81)</f>
        <v/>
      </c>
      <c r="G680" s="17" t="str">
        <f>IF(Country_7!$C81="","",Country_7!G81)</f>
        <v/>
      </c>
      <c r="H680" s="17" t="str">
        <f>IF(Country_7!$C81="","",Country_7!H81)</f>
        <v/>
      </c>
      <c r="I680" s="16" t="str">
        <f>IF(Country_7!$C81="","",Country_7!I81)</f>
        <v/>
      </c>
      <c r="J680" s="16" t="str">
        <f>IF(Country_7!$C81="","",Country_7!J81)</f>
        <v/>
      </c>
      <c r="K680" s="18" t="str">
        <f>IF(Country_7!$C81="","",Country_7!K81)</f>
        <v/>
      </c>
      <c r="L680" s="18" t="str">
        <f>IF(Country_7!$C81="","",Country_7!L81)</f>
        <v/>
      </c>
      <c r="M680" s="19" t="str">
        <f>IF(Country_7!$C81="","",Country_7!M81)</f>
        <v/>
      </c>
      <c r="N680" s="16" t="str">
        <f>IF(Country_7!$C81="","",Country_7!N81)</f>
        <v/>
      </c>
      <c r="O680" s="16" t="str">
        <f>IF(Country_7!$C81="","",Country_7!O81)</f>
        <v/>
      </c>
      <c r="P680" s="16" t="str">
        <f>IF(Country_7!$C81="","",Country_7!P81)</f>
        <v/>
      </c>
      <c r="Q680" s="16" t="str">
        <f>IF(Country_7!$C81="","",Country_7!Q81)</f>
        <v/>
      </c>
    </row>
    <row r="681" spans="1:17" x14ac:dyDescent="0.25">
      <c r="A681" s="16" t="str">
        <f>IF(Country_7!$C82="","",Country_7!A82)</f>
        <v/>
      </c>
      <c r="B681" s="16" t="str">
        <f>IF(Country_7!$C82="","",Country_7!B82)</f>
        <v/>
      </c>
      <c r="C681" s="16" t="str">
        <f>IF(Country_7!$C82="","",Country_7!C82)</f>
        <v/>
      </c>
      <c r="D681" s="16" t="str">
        <f>IF(Country_7!$C82="","",Country_7!D82)</f>
        <v/>
      </c>
      <c r="E681" s="16" t="str">
        <f>IF(Country_7!$C82="","",Country_7!E82)</f>
        <v/>
      </c>
      <c r="F681" s="16" t="str">
        <f>IF(Country_7!$C82="","",Country_7!F82)</f>
        <v/>
      </c>
      <c r="G681" s="17" t="str">
        <f>IF(Country_7!$C82="","",Country_7!G82)</f>
        <v/>
      </c>
      <c r="H681" s="17" t="str">
        <f>IF(Country_7!$C82="","",Country_7!H82)</f>
        <v/>
      </c>
      <c r="I681" s="16" t="str">
        <f>IF(Country_7!$C82="","",Country_7!I82)</f>
        <v/>
      </c>
      <c r="J681" s="16" t="str">
        <f>IF(Country_7!$C82="","",Country_7!J82)</f>
        <v/>
      </c>
      <c r="K681" s="18" t="str">
        <f>IF(Country_7!$C82="","",Country_7!K82)</f>
        <v/>
      </c>
      <c r="L681" s="18" t="str">
        <f>IF(Country_7!$C82="","",Country_7!L82)</f>
        <v/>
      </c>
      <c r="M681" s="19" t="str">
        <f>IF(Country_7!$C82="","",Country_7!M82)</f>
        <v/>
      </c>
      <c r="N681" s="16" t="str">
        <f>IF(Country_7!$C82="","",Country_7!N82)</f>
        <v/>
      </c>
      <c r="O681" s="16" t="str">
        <f>IF(Country_7!$C82="","",Country_7!O82)</f>
        <v/>
      </c>
      <c r="P681" s="16" t="str">
        <f>IF(Country_7!$C82="","",Country_7!P82)</f>
        <v/>
      </c>
      <c r="Q681" s="16" t="str">
        <f>IF(Country_7!$C82="","",Country_7!Q82)</f>
        <v/>
      </c>
    </row>
    <row r="682" spans="1:17" x14ac:dyDescent="0.25">
      <c r="A682" s="16" t="str">
        <f>IF(Country_7!$C83="","",Country_7!A83)</f>
        <v/>
      </c>
      <c r="B682" s="16" t="str">
        <f>IF(Country_7!$C83="","",Country_7!B83)</f>
        <v/>
      </c>
      <c r="C682" s="16" t="str">
        <f>IF(Country_7!$C83="","",Country_7!C83)</f>
        <v/>
      </c>
      <c r="D682" s="16" t="str">
        <f>IF(Country_7!$C83="","",Country_7!D83)</f>
        <v/>
      </c>
      <c r="E682" s="16" t="str">
        <f>IF(Country_7!$C83="","",Country_7!E83)</f>
        <v/>
      </c>
      <c r="F682" s="16" t="str">
        <f>IF(Country_7!$C83="","",Country_7!F83)</f>
        <v/>
      </c>
      <c r="G682" s="17" t="str">
        <f>IF(Country_7!$C83="","",Country_7!G83)</f>
        <v/>
      </c>
      <c r="H682" s="17" t="str">
        <f>IF(Country_7!$C83="","",Country_7!H83)</f>
        <v/>
      </c>
      <c r="I682" s="16" t="str">
        <f>IF(Country_7!$C83="","",Country_7!I83)</f>
        <v/>
      </c>
      <c r="J682" s="16" t="str">
        <f>IF(Country_7!$C83="","",Country_7!J83)</f>
        <v/>
      </c>
      <c r="K682" s="18" t="str">
        <f>IF(Country_7!$C83="","",Country_7!K83)</f>
        <v/>
      </c>
      <c r="L682" s="18" t="str">
        <f>IF(Country_7!$C83="","",Country_7!L83)</f>
        <v/>
      </c>
      <c r="M682" s="19" t="str">
        <f>IF(Country_7!$C83="","",Country_7!M83)</f>
        <v/>
      </c>
      <c r="N682" s="16" t="str">
        <f>IF(Country_7!$C83="","",Country_7!N83)</f>
        <v/>
      </c>
      <c r="O682" s="16" t="str">
        <f>IF(Country_7!$C83="","",Country_7!O83)</f>
        <v/>
      </c>
      <c r="P682" s="16" t="str">
        <f>IF(Country_7!$C83="","",Country_7!P83)</f>
        <v/>
      </c>
      <c r="Q682" s="16" t="str">
        <f>IF(Country_7!$C83="","",Country_7!Q83)</f>
        <v/>
      </c>
    </row>
    <row r="683" spans="1:17" x14ac:dyDescent="0.25">
      <c r="A683" s="16" t="str">
        <f>IF(Country_7!$C84="","",Country_7!A84)</f>
        <v/>
      </c>
      <c r="B683" s="16" t="str">
        <f>IF(Country_7!$C84="","",Country_7!B84)</f>
        <v/>
      </c>
      <c r="C683" s="16" t="str">
        <f>IF(Country_7!$C84="","",Country_7!C84)</f>
        <v/>
      </c>
      <c r="D683" s="16" t="str">
        <f>IF(Country_7!$C84="","",Country_7!D84)</f>
        <v/>
      </c>
      <c r="E683" s="16" t="str">
        <f>IF(Country_7!$C84="","",Country_7!E84)</f>
        <v/>
      </c>
      <c r="F683" s="16" t="str">
        <f>IF(Country_7!$C84="","",Country_7!F84)</f>
        <v/>
      </c>
      <c r="G683" s="17" t="str">
        <f>IF(Country_7!$C84="","",Country_7!G84)</f>
        <v/>
      </c>
      <c r="H683" s="17" t="str">
        <f>IF(Country_7!$C84="","",Country_7!H84)</f>
        <v/>
      </c>
      <c r="I683" s="16" t="str">
        <f>IF(Country_7!$C84="","",Country_7!I84)</f>
        <v/>
      </c>
      <c r="J683" s="16" t="str">
        <f>IF(Country_7!$C84="","",Country_7!J84)</f>
        <v/>
      </c>
      <c r="K683" s="18" t="str">
        <f>IF(Country_7!$C84="","",Country_7!K84)</f>
        <v/>
      </c>
      <c r="L683" s="18" t="str">
        <f>IF(Country_7!$C84="","",Country_7!L84)</f>
        <v/>
      </c>
      <c r="M683" s="19" t="str">
        <f>IF(Country_7!$C84="","",Country_7!M84)</f>
        <v/>
      </c>
      <c r="N683" s="16" t="str">
        <f>IF(Country_7!$C84="","",Country_7!N84)</f>
        <v/>
      </c>
      <c r="O683" s="16" t="str">
        <f>IF(Country_7!$C84="","",Country_7!O84)</f>
        <v/>
      </c>
      <c r="P683" s="16" t="str">
        <f>IF(Country_7!$C84="","",Country_7!P84)</f>
        <v/>
      </c>
      <c r="Q683" s="16" t="str">
        <f>IF(Country_7!$C84="","",Country_7!Q84)</f>
        <v/>
      </c>
    </row>
    <row r="684" spans="1:17" x14ac:dyDescent="0.25">
      <c r="A684" s="16" t="str">
        <f>IF(Country_7!$C85="","",Country_7!A85)</f>
        <v/>
      </c>
      <c r="B684" s="16" t="str">
        <f>IF(Country_7!$C85="","",Country_7!B85)</f>
        <v/>
      </c>
      <c r="C684" s="16" t="str">
        <f>IF(Country_7!$C85="","",Country_7!C85)</f>
        <v/>
      </c>
      <c r="D684" s="16" t="str">
        <f>IF(Country_7!$C85="","",Country_7!D85)</f>
        <v/>
      </c>
      <c r="E684" s="16" t="str">
        <f>IF(Country_7!$C85="","",Country_7!E85)</f>
        <v/>
      </c>
      <c r="F684" s="16" t="str">
        <f>IF(Country_7!$C85="","",Country_7!F85)</f>
        <v/>
      </c>
      <c r="G684" s="17" t="str">
        <f>IF(Country_7!$C85="","",Country_7!G85)</f>
        <v/>
      </c>
      <c r="H684" s="17" t="str">
        <f>IF(Country_7!$C85="","",Country_7!H85)</f>
        <v/>
      </c>
      <c r="I684" s="16" t="str">
        <f>IF(Country_7!$C85="","",Country_7!I85)</f>
        <v/>
      </c>
      <c r="J684" s="16" t="str">
        <f>IF(Country_7!$C85="","",Country_7!J85)</f>
        <v/>
      </c>
      <c r="K684" s="18" t="str">
        <f>IF(Country_7!$C85="","",Country_7!K85)</f>
        <v/>
      </c>
      <c r="L684" s="18" t="str">
        <f>IF(Country_7!$C85="","",Country_7!L85)</f>
        <v/>
      </c>
      <c r="M684" s="19" t="str">
        <f>IF(Country_7!$C85="","",Country_7!M85)</f>
        <v/>
      </c>
      <c r="N684" s="16" t="str">
        <f>IF(Country_7!$C85="","",Country_7!N85)</f>
        <v/>
      </c>
      <c r="O684" s="16" t="str">
        <f>IF(Country_7!$C85="","",Country_7!O85)</f>
        <v/>
      </c>
      <c r="P684" s="16" t="str">
        <f>IF(Country_7!$C85="","",Country_7!P85)</f>
        <v/>
      </c>
      <c r="Q684" s="16" t="str">
        <f>IF(Country_7!$C85="","",Country_7!Q85)</f>
        <v/>
      </c>
    </row>
    <row r="685" spans="1:17" x14ac:dyDescent="0.25">
      <c r="A685" s="16" t="str">
        <f>IF(Country_7!$C86="","",Country_7!A86)</f>
        <v/>
      </c>
      <c r="B685" s="16" t="str">
        <f>IF(Country_7!$C86="","",Country_7!B86)</f>
        <v/>
      </c>
      <c r="C685" s="16" t="str">
        <f>IF(Country_7!$C86="","",Country_7!C86)</f>
        <v/>
      </c>
      <c r="D685" s="16" t="str">
        <f>IF(Country_7!$C86="","",Country_7!D86)</f>
        <v/>
      </c>
      <c r="E685" s="16" t="str">
        <f>IF(Country_7!$C86="","",Country_7!E86)</f>
        <v/>
      </c>
      <c r="F685" s="16" t="str">
        <f>IF(Country_7!$C86="","",Country_7!F86)</f>
        <v/>
      </c>
      <c r="G685" s="17" t="str">
        <f>IF(Country_7!$C86="","",Country_7!G86)</f>
        <v/>
      </c>
      <c r="H685" s="17" t="str">
        <f>IF(Country_7!$C86="","",Country_7!H86)</f>
        <v/>
      </c>
      <c r="I685" s="16" t="str">
        <f>IF(Country_7!$C86="","",Country_7!I86)</f>
        <v/>
      </c>
      <c r="J685" s="16" t="str">
        <f>IF(Country_7!$C86="","",Country_7!J86)</f>
        <v/>
      </c>
      <c r="K685" s="18" t="str">
        <f>IF(Country_7!$C86="","",Country_7!K86)</f>
        <v/>
      </c>
      <c r="L685" s="18" t="str">
        <f>IF(Country_7!$C86="","",Country_7!L86)</f>
        <v/>
      </c>
      <c r="M685" s="19" t="str">
        <f>IF(Country_7!$C86="","",Country_7!M86)</f>
        <v/>
      </c>
      <c r="N685" s="16" t="str">
        <f>IF(Country_7!$C86="","",Country_7!N86)</f>
        <v/>
      </c>
      <c r="O685" s="16" t="str">
        <f>IF(Country_7!$C86="","",Country_7!O86)</f>
        <v/>
      </c>
      <c r="P685" s="16" t="str">
        <f>IF(Country_7!$C86="","",Country_7!P86)</f>
        <v/>
      </c>
      <c r="Q685" s="16" t="str">
        <f>IF(Country_7!$C86="","",Country_7!Q86)</f>
        <v/>
      </c>
    </row>
    <row r="686" spans="1:17" x14ac:dyDescent="0.25">
      <c r="A686" s="16" t="str">
        <f>IF(Country_7!$C87="","",Country_7!A87)</f>
        <v/>
      </c>
      <c r="B686" s="16" t="str">
        <f>IF(Country_7!$C87="","",Country_7!B87)</f>
        <v/>
      </c>
      <c r="C686" s="16" t="str">
        <f>IF(Country_7!$C87="","",Country_7!C87)</f>
        <v/>
      </c>
      <c r="D686" s="16" t="str">
        <f>IF(Country_7!$C87="","",Country_7!D87)</f>
        <v/>
      </c>
      <c r="E686" s="16" t="str">
        <f>IF(Country_7!$C87="","",Country_7!E87)</f>
        <v/>
      </c>
      <c r="F686" s="16" t="str">
        <f>IF(Country_7!$C87="","",Country_7!F87)</f>
        <v/>
      </c>
      <c r="G686" s="17" t="str">
        <f>IF(Country_7!$C87="","",Country_7!G87)</f>
        <v/>
      </c>
      <c r="H686" s="17" t="str">
        <f>IF(Country_7!$C87="","",Country_7!H87)</f>
        <v/>
      </c>
      <c r="I686" s="16" t="str">
        <f>IF(Country_7!$C87="","",Country_7!I87)</f>
        <v/>
      </c>
      <c r="J686" s="16" t="str">
        <f>IF(Country_7!$C87="","",Country_7!J87)</f>
        <v/>
      </c>
      <c r="K686" s="18" t="str">
        <f>IF(Country_7!$C87="","",Country_7!K87)</f>
        <v/>
      </c>
      <c r="L686" s="18" t="str">
        <f>IF(Country_7!$C87="","",Country_7!L87)</f>
        <v/>
      </c>
      <c r="M686" s="19" t="str">
        <f>IF(Country_7!$C87="","",Country_7!M87)</f>
        <v/>
      </c>
      <c r="N686" s="16" t="str">
        <f>IF(Country_7!$C87="","",Country_7!N87)</f>
        <v/>
      </c>
      <c r="O686" s="16" t="str">
        <f>IF(Country_7!$C87="","",Country_7!O87)</f>
        <v/>
      </c>
      <c r="P686" s="16" t="str">
        <f>IF(Country_7!$C87="","",Country_7!P87)</f>
        <v/>
      </c>
      <c r="Q686" s="16" t="str">
        <f>IF(Country_7!$C87="","",Country_7!Q87)</f>
        <v/>
      </c>
    </row>
    <row r="687" spans="1:17" x14ac:dyDescent="0.25">
      <c r="A687" s="16" t="str">
        <f>IF(Country_7!$C88="","",Country_7!A88)</f>
        <v/>
      </c>
      <c r="B687" s="16" t="str">
        <f>IF(Country_7!$C88="","",Country_7!B88)</f>
        <v/>
      </c>
      <c r="C687" s="16" t="str">
        <f>IF(Country_7!$C88="","",Country_7!C88)</f>
        <v/>
      </c>
      <c r="D687" s="16" t="str">
        <f>IF(Country_7!$C88="","",Country_7!D88)</f>
        <v/>
      </c>
      <c r="E687" s="16" t="str">
        <f>IF(Country_7!$C88="","",Country_7!E88)</f>
        <v/>
      </c>
      <c r="F687" s="16" t="str">
        <f>IF(Country_7!$C88="","",Country_7!F88)</f>
        <v/>
      </c>
      <c r="G687" s="17" t="str">
        <f>IF(Country_7!$C88="","",Country_7!G88)</f>
        <v/>
      </c>
      <c r="H687" s="17" t="str">
        <f>IF(Country_7!$C88="","",Country_7!H88)</f>
        <v/>
      </c>
      <c r="I687" s="16" t="str">
        <f>IF(Country_7!$C88="","",Country_7!I88)</f>
        <v/>
      </c>
      <c r="J687" s="16" t="str">
        <f>IF(Country_7!$C88="","",Country_7!J88)</f>
        <v/>
      </c>
      <c r="K687" s="18" t="str">
        <f>IF(Country_7!$C88="","",Country_7!K88)</f>
        <v/>
      </c>
      <c r="L687" s="18" t="str">
        <f>IF(Country_7!$C88="","",Country_7!L88)</f>
        <v/>
      </c>
      <c r="M687" s="19" t="str">
        <f>IF(Country_7!$C88="","",Country_7!M88)</f>
        <v/>
      </c>
      <c r="N687" s="16" t="str">
        <f>IF(Country_7!$C88="","",Country_7!N88)</f>
        <v/>
      </c>
      <c r="O687" s="16" t="str">
        <f>IF(Country_7!$C88="","",Country_7!O88)</f>
        <v/>
      </c>
      <c r="P687" s="16" t="str">
        <f>IF(Country_7!$C88="","",Country_7!P88)</f>
        <v/>
      </c>
      <c r="Q687" s="16" t="str">
        <f>IF(Country_7!$C88="","",Country_7!Q88)</f>
        <v/>
      </c>
    </row>
    <row r="688" spans="1:17" x14ac:dyDescent="0.25">
      <c r="A688" s="16" t="str">
        <f>IF(Country_7!$C89="","",Country_7!A89)</f>
        <v/>
      </c>
      <c r="B688" s="16" t="str">
        <f>IF(Country_7!$C89="","",Country_7!B89)</f>
        <v/>
      </c>
      <c r="C688" s="16" t="str">
        <f>IF(Country_7!$C89="","",Country_7!C89)</f>
        <v/>
      </c>
      <c r="D688" s="16" t="str">
        <f>IF(Country_7!$C89="","",Country_7!D89)</f>
        <v/>
      </c>
      <c r="E688" s="16" t="str">
        <f>IF(Country_7!$C89="","",Country_7!E89)</f>
        <v/>
      </c>
      <c r="F688" s="16" t="str">
        <f>IF(Country_7!$C89="","",Country_7!F89)</f>
        <v/>
      </c>
      <c r="G688" s="17" t="str">
        <f>IF(Country_7!$C89="","",Country_7!G89)</f>
        <v/>
      </c>
      <c r="H688" s="17" t="str">
        <f>IF(Country_7!$C89="","",Country_7!H89)</f>
        <v/>
      </c>
      <c r="I688" s="16" t="str">
        <f>IF(Country_7!$C89="","",Country_7!I89)</f>
        <v/>
      </c>
      <c r="J688" s="16" t="str">
        <f>IF(Country_7!$C89="","",Country_7!J89)</f>
        <v/>
      </c>
      <c r="K688" s="18" t="str">
        <f>IF(Country_7!$C89="","",Country_7!K89)</f>
        <v/>
      </c>
      <c r="L688" s="18" t="str">
        <f>IF(Country_7!$C89="","",Country_7!L89)</f>
        <v/>
      </c>
      <c r="M688" s="19" t="str">
        <f>IF(Country_7!$C89="","",Country_7!M89)</f>
        <v/>
      </c>
      <c r="N688" s="16" t="str">
        <f>IF(Country_7!$C89="","",Country_7!N89)</f>
        <v/>
      </c>
      <c r="O688" s="16" t="str">
        <f>IF(Country_7!$C89="","",Country_7!O89)</f>
        <v/>
      </c>
      <c r="P688" s="16" t="str">
        <f>IF(Country_7!$C89="","",Country_7!P89)</f>
        <v/>
      </c>
      <c r="Q688" s="16" t="str">
        <f>IF(Country_7!$C89="","",Country_7!Q89)</f>
        <v/>
      </c>
    </row>
    <row r="689" spans="1:17" x14ac:dyDescent="0.25">
      <c r="A689" s="16" t="str">
        <f>IF(Country_7!$C90="","",Country_7!A90)</f>
        <v/>
      </c>
      <c r="B689" s="16" t="str">
        <f>IF(Country_7!$C90="","",Country_7!B90)</f>
        <v/>
      </c>
      <c r="C689" s="16" t="str">
        <f>IF(Country_7!$C90="","",Country_7!C90)</f>
        <v/>
      </c>
      <c r="D689" s="16" t="str">
        <f>IF(Country_7!$C90="","",Country_7!D90)</f>
        <v/>
      </c>
      <c r="E689" s="16" t="str">
        <f>IF(Country_7!$C90="","",Country_7!E90)</f>
        <v/>
      </c>
      <c r="F689" s="16" t="str">
        <f>IF(Country_7!$C90="","",Country_7!F90)</f>
        <v/>
      </c>
      <c r="G689" s="17" t="str">
        <f>IF(Country_7!$C90="","",Country_7!G90)</f>
        <v/>
      </c>
      <c r="H689" s="17" t="str">
        <f>IF(Country_7!$C90="","",Country_7!H90)</f>
        <v/>
      </c>
      <c r="I689" s="16" t="str">
        <f>IF(Country_7!$C90="","",Country_7!I90)</f>
        <v/>
      </c>
      <c r="J689" s="16" t="str">
        <f>IF(Country_7!$C90="","",Country_7!J90)</f>
        <v/>
      </c>
      <c r="K689" s="18" t="str">
        <f>IF(Country_7!$C90="","",Country_7!K90)</f>
        <v/>
      </c>
      <c r="L689" s="18" t="str">
        <f>IF(Country_7!$C90="","",Country_7!L90)</f>
        <v/>
      </c>
      <c r="M689" s="19" t="str">
        <f>IF(Country_7!$C90="","",Country_7!M90)</f>
        <v/>
      </c>
      <c r="N689" s="16" t="str">
        <f>IF(Country_7!$C90="","",Country_7!N90)</f>
        <v/>
      </c>
      <c r="O689" s="16" t="str">
        <f>IF(Country_7!$C90="","",Country_7!O90)</f>
        <v/>
      </c>
      <c r="P689" s="16" t="str">
        <f>IF(Country_7!$C90="","",Country_7!P90)</f>
        <v/>
      </c>
      <c r="Q689" s="16" t="str">
        <f>IF(Country_7!$C90="","",Country_7!Q90)</f>
        <v/>
      </c>
    </row>
    <row r="690" spans="1:17" x14ac:dyDescent="0.25">
      <c r="A690" s="16" t="str">
        <f>IF(Country_7!$C91="","",Country_7!A91)</f>
        <v/>
      </c>
      <c r="B690" s="16" t="str">
        <f>IF(Country_7!$C91="","",Country_7!B91)</f>
        <v/>
      </c>
      <c r="C690" s="16" t="str">
        <f>IF(Country_7!$C91="","",Country_7!C91)</f>
        <v/>
      </c>
      <c r="D690" s="16" t="str">
        <f>IF(Country_7!$C91="","",Country_7!D91)</f>
        <v/>
      </c>
      <c r="E690" s="16" t="str">
        <f>IF(Country_7!$C91="","",Country_7!E91)</f>
        <v/>
      </c>
      <c r="F690" s="16" t="str">
        <f>IF(Country_7!$C91="","",Country_7!F91)</f>
        <v/>
      </c>
      <c r="G690" s="17" t="str">
        <f>IF(Country_7!$C91="","",Country_7!G91)</f>
        <v/>
      </c>
      <c r="H690" s="17" t="str">
        <f>IF(Country_7!$C91="","",Country_7!H91)</f>
        <v/>
      </c>
      <c r="I690" s="16" t="str">
        <f>IF(Country_7!$C91="","",Country_7!I91)</f>
        <v/>
      </c>
      <c r="J690" s="16" t="str">
        <f>IF(Country_7!$C91="","",Country_7!J91)</f>
        <v/>
      </c>
      <c r="K690" s="18" t="str">
        <f>IF(Country_7!$C91="","",Country_7!K91)</f>
        <v/>
      </c>
      <c r="L690" s="18" t="str">
        <f>IF(Country_7!$C91="","",Country_7!L91)</f>
        <v/>
      </c>
      <c r="M690" s="19" t="str">
        <f>IF(Country_7!$C91="","",Country_7!M91)</f>
        <v/>
      </c>
      <c r="N690" s="16" t="str">
        <f>IF(Country_7!$C91="","",Country_7!N91)</f>
        <v/>
      </c>
      <c r="O690" s="16" t="str">
        <f>IF(Country_7!$C91="","",Country_7!O91)</f>
        <v/>
      </c>
      <c r="P690" s="16" t="str">
        <f>IF(Country_7!$C91="","",Country_7!P91)</f>
        <v/>
      </c>
      <c r="Q690" s="16" t="str">
        <f>IF(Country_7!$C91="","",Country_7!Q91)</f>
        <v/>
      </c>
    </row>
    <row r="691" spans="1:17" x14ac:dyDescent="0.25">
      <c r="A691" s="16" t="str">
        <f>IF(Country_7!$C92="","",Country_7!A92)</f>
        <v/>
      </c>
      <c r="B691" s="16" t="str">
        <f>IF(Country_7!$C92="","",Country_7!B92)</f>
        <v/>
      </c>
      <c r="C691" s="16" t="str">
        <f>IF(Country_7!$C92="","",Country_7!C92)</f>
        <v/>
      </c>
      <c r="D691" s="16" t="str">
        <f>IF(Country_7!$C92="","",Country_7!D92)</f>
        <v/>
      </c>
      <c r="E691" s="16" t="str">
        <f>IF(Country_7!$C92="","",Country_7!E92)</f>
        <v/>
      </c>
      <c r="F691" s="16" t="str">
        <f>IF(Country_7!$C92="","",Country_7!F92)</f>
        <v/>
      </c>
      <c r="G691" s="17" t="str">
        <f>IF(Country_7!$C92="","",Country_7!G92)</f>
        <v/>
      </c>
      <c r="H691" s="17" t="str">
        <f>IF(Country_7!$C92="","",Country_7!H92)</f>
        <v/>
      </c>
      <c r="I691" s="16" t="str">
        <f>IF(Country_7!$C92="","",Country_7!I92)</f>
        <v/>
      </c>
      <c r="J691" s="16" t="str">
        <f>IF(Country_7!$C92="","",Country_7!J92)</f>
        <v/>
      </c>
      <c r="K691" s="18" t="str">
        <f>IF(Country_7!$C92="","",Country_7!K92)</f>
        <v/>
      </c>
      <c r="L691" s="18" t="str">
        <f>IF(Country_7!$C92="","",Country_7!L92)</f>
        <v/>
      </c>
      <c r="M691" s="19" t="str">
        <f>IF(Country_7!$C92="","",Country_7!M92)</f>
        <v/>
      </c>
      <c r="N691" s="16" t="str">
        <f>IF(Country_7!$C92="","",Country_7!N92)</f>
        <v/>
      </c>
      <c r="O691" s="16" t="str">
        <f>IF(Country_7!$C92="","",Country_7!O92)</f>
        <v/>
      </c>
      <c r="P691" s="16" t="str">
        <f>IF(Country_7!$C92="","",Country_7!P92)</f>
        <v/>
      </c>
      <c r="Q691" s="16" t="str">
        <f>IF(Country_7!$C92="","",Country_7!Q92)</f>
        <v/>
      </c>
    </row>
    <row r="692" spans="1:17" x14ac:dyDescent="0.25">
      <c r="A692" s="16" t="str">
        <f>IF(Country_7!$C93="","",Country_7!A93)</f>
        <v/>
      </c>
      <c r="B692" s="16" t="str">
        <f>IF(Country_7!$C93="","",Country_7!B93)</f>
        <v/>
      </c>
      <c r="C692" s="16" t="str">
        <f>IF(Country_7!$C93="","",Country_7!C93)</f>
        <v/>
      </c>
      <c r="D692" s="16" t="str">
        <f>IF(Country_7!$C93="","",Country_7!D93)</f>
        <v/>
      </c>
      <c r="E692" s="16" t="str">
        <f>IF(Country_7!$C93="","",Country_7!E93)</f>
        <v/>
      </c>
      <c r="F692" s="16" t="str">
        <f>IF(Country_7!$C93="","",Country_7!F93)</f>
        <v/>
      </c>
      <c r="G692" s="17" t="str">
        <f>IF(Country_7!$C93="","",Country_7!G93)</f>
        <v/>
      </c>
      <c r="H692" s="17" t="str">
        <f>IF(Country_7!$C93="","",Country_7!H93)</f>
        <v/>
      </c>
      <c r="I692" s="16" t="str">
        <f>IF(Country_7!$C93="","",Country_7!I93)</f>
        <v/>
      </c>
      <c r="J692" s="16" t="str">
        <f>IF(Country_7!$C93="","",Country_7!J93)</f>
        <v/>
      </c>
      <c r="K692" s="18" t="str">
        <f>IF(Country_7!$C93="","",Country_7!K93)</f>
        <v/>
      </c>
      <c r="L692" s="18" t="str">
        <f>IF(Country_7!$C93="","",Country_7!L93)</f>
        <v/>
      </c>
      <c r="M692" s="19" t="str">
        <f>IF(Country_7!$C93="","",Country_7!M93)</f>
        <v/>
      </c>
      <c r="N692" s="16" t="str">
        <f>IF(Country_7!$C93="","",Country_7!N93)</f>
        <v/>
      </c>
      <c r="O692" s="16" t="str">
        <f>IF(Country_7!$C93="","",Country_7!O93)</f>
        <v/>
      </c>
      <c r="P692" s="16" t="str">
        <f>IF(Country_7!$C93="","",Country_7!P93)</f>
        <v/>
      </c>
      <c r="Q692" s="16" t="str">
        <f>IF(Country_7!$C93="","",Country_7!Q93)</f>
        <v/>
      </c>
    </row>
    <row r="693" spans="1:17" x14ac:dyDescent="0.25">
      <c r="A693" s="16" t="str">
        <f>IF(Country_7!$C94="","",Country_7!A94)</f>
        <v/>
      </c>
      <c r="B693" s="16" t="str">
        <f>IF(Country_7!$C94="","",Country_7!B94)</f>
        <v/>
      </c>
      <c r="C693" s="16" t="str">
        <f>IF(Country_7!$C94="","",Country_7!C94)</f>
        <v/>
      </c>
      <c r="D693" s="16" t="str">
        <f>IF(Country_7!$C94="","",Country_7!D94)</f>
        <v/>
      </c>
      <c r="E693" s="16" t="str">
        <f>IF(Country_7!$C94="","",Country_7!E94)</f>
        <v/>
      </c>
      <c r="F693" s="16" t="str">
        <f>IF(Country_7!$C94="","",Country_7!F94)</f>
        <v/>
      </c>
      <c r="G693" s="17" t="str">
        <f>IF(Country_7!$C94="","",Country_7!G94)</f>
        <v/>
      </c>
      <c r="H693" s="17" t="str">
        <f>IF(Country_7!$C94="","",Country_7!H94)</f>
        <v/>
      </c>
      <c r="I693" s="16" t="str">
        <f>IF(Country_7!$C94="","",Country_7!I94)</f>
        <v/>
      </c>
      <c r="J693" s="16" t="str">
        <f>IF(Country_7!$C94="","",Country_7!J94)</f>
        <v/>
      </c>
      <c r="K693" s="18" t="str">
        <f>IF(Country_7!$C94="","",Country_7!K94)</f>
        <v/>
      </c>
      <c r="L693" s="18" t="str">
        <f>IF(Country_7!$C94="","",Country_7!L94)</f>
        <v/>
      </c>
      <c r="M693" s="19" t="str">
        <f>IF(Country_7!$C94="","",Country_7!M94)</f>
        <v/>
      </c>
      <c r="N693" s="16" t="str">
        <f>IF(Country_7!$C94="","",Country_7!N94)</f>
        <v/>
      </c>
      <c r="O693" s="16" t="str">
        <f>IF(Country_7!$C94="","",Country_7!O94)</f>
        <v/>
      </c>
      <c r="P693" s="16" t="str">
        <f>IF(Country_7!$C94="","",Country_7!P94)</f>
        <v/>
      </c>
      <c r="Q693" s="16" t="str">
        <f>IF(Country_7!$C94="","",Country_7!Q94)</f>
        <v/>
      </c>
    </row>
    <row r="694" spans="1:17" x14ac:dyDescent="0.25">
      <c r="A694" s="16" t="str">
        <f>IF(Country_7!$C95="","",Country_7!A95)</f>
        <v/>
      </c>
      <c r="B694" s="16" t="str">
        <f>IF(Country_7!$C95="","",Country_7!B95)</f>
        <v/>
      </c>
      <c r="C694" s="16" t="str">
        <f>IF(Country_7!$C95="","",Country_7!C95)</f>
        <v/>
      </c>
      <c r="D694" s="16" t="str">
        <f>IF(Country_7!$C95="","",Country_7!D95)</f>
        <v/>
      </c>
      <c r="E694" s="16" t="str">
        <f>IF(Country_7!$C95="","",Country_7!E95)</f>
        <v/>
      </c>
      <c r="F694" s="16" t="str">
        <f>IF(Country_7!$C95="","",Country_7!F95)</f>
        <v/>
      </c>
      <c r="G694" s="17" t="str">
        <f>IF(Country_7!$C95="","",Country_7!G95)</f>
        <v/>
      </c>
      <c r="H694" s="17" t="str">
        <f>IF(Country_7!$C95="","",Country_7!H95)</f>
        <v/>
      </c>
      <c r="I694" s="16" t="str">
        <f>IF(Country_7!$C95="","",Country_7!I95)</f>
        <v/>
      </c>
      <c r="J694" s="16" t="str">
        <f>IF(Country_7!$C95="","",Country_7!J95)</f>
        <v/>
      </c>
      <c r="K694" s="18" t="str">
        <f>IF(Country_7!$C95="","",Country_7!K95)</f>
        <v/>
      </c>
      <c r="L694" s="18" t="str">
        <f>IF(Country_7!$C95="","",Country_7!L95)</f>
        <v/>
      </c>
      <c r="M694" s="19" t="str">
        <f>IF(Country_7!$C95="","",Country_7!M95)</f>
        <v/>
      </c>
      <c r="N694" s="16" t="str">
        <f>IF(Country_7!$C95="","",Country_7!N95)</f>
        <v/>
      </c>
      <c r="O694" s="16" t="str">
        <f>IF(Country_7!$C95="","",Country_7!O95)</f>
        <v/>
      </c>
      <c r="P694" s="16" t="str">
        <f>IF(Country_7!$C95="","",Country_7!P95)</f>
        <v/>
      </c>
      <c r="Q694" s="16" t="str">
        <f>IF(Country_7!$C95="","",Country_7!Q95)</f>
        <v/>
      </c>
    </row>
    <row r="695" spans="1:17" x14ac:dyDescent="0.25">
      <c r="A695" s="16" t="str">
        <f>IF(Country_7!$C96="","",Country_7!A96)</f>
        <v/>
      </c>
      <c r="B695" s="16" t="str">
        <f>IF(Country_7!$C96="","",Country_7!B96)</f>
        <v/>
      </c>
      <c r="C695" s="16" t="str">
        <f>IF(Country_7!$C96="","",Country_7!C96)</f>
        <v/>
      </c>
      <c r="D695" s="16" t="str">
        <f>IF(Country_7!$C96="","",Country_7!D96)</f>
        <v/>
      </c>
      <c r="E695" s="16" t="str">
        <f>IF(Country_7!$C96="","",Country_7!E96)</f>
        <v/>
      </c>
      <c r="F695" s="16" t="str">
        <f>IF(Country_7!$C96="","",Country_7!F96)</f>
        <v/>
      </c>
      <c r="G695" s="17" t="str">
        <f>IF(Country_7!$C96="","",Country_7!G96)</f>
        <v/>
      </c>
      <c r="H695" s="17" t="str">
        <f>IF(Country_7!$C96="","",Country_7!H96)</f>
        <v/>
      </c>
      <c r="I695" s="16" t="str">
        <f>IF(Country_7!$C96="","",Country_7!I96)</f>
        <v/>
      </c>
      <c r="J695" s="16" t="str">
        <f>IF(Country_7!$C96="","",Country_7!J96)</f>
        <v/>
      </c>
      <c r="K695" s="18" t="str">
        <f>IF(Country_7!$C96="","",Country_7!K96)</f>
        <v/>
      </c>
      <c r="L695" s="18" t="str">
        <f>IF(Country_7!$C96="","",Country_7!L96)</f>
        <v/>
      </c>
      <c r="M695" s="19" t="str">
        <f>IF(Country_7!$C96="","",Country_7!M96)</f>
        <v/>
      </c>
      <c r="N695" s="16" t="str">
        <f>IF(Country_7!$C96="","",Country_7!N96)</f>
        <v/>
      </c>
      <c r="O695" s="16" t="str">
        <f>IF(Country_7!$C96="","",Country_7!O96)</f>
        <v/>
      </c>
      <c r="P695" s="16" t="str">
        <f>IF(Country_7!$C96="","",Country_7!P96)</f>
        <v/>
      </c>
      <c r="Q695" s="16" t="str">
        <f>IF(Country_7!$C96="","",Country_7!Q96)</f>
        <v/>
      </c>
    </row>
    <row r="696" spans="1:17" x14ac:dyDescent="0.25">
      <c r="A696" s="16" t="str">
        <f>IF(Country_7!$C97="","",Country_7!A97)</f>
        <v/>
      </c>
      <c r="B696" s="16" t="str">
        <f>IF(Country_7!$C97="","",Country_7!B97)</f>
        <v/>
      </c>
      <c r="C696" s="16" t="str">
        <f>IF(Country_7!$C97="","",Country_7!C97)</f>
        <v/>
      </c>
      <c r="D696" s="16" t="str">
        <f>IF(Country_7!$C97="","",Country_7!D97)</f>
        <v/>
      </c>
      <c r="E696" s="16" t="str">
        <f>IF(Country_7!$C97="","",Country_7!E97)</f>
        <v/>
      </c>
      <c r="F696" s="16" t="str">
        <f>IF(Country_7!$C97="","",Country_7!F97)</f>
        <v/>
      </c>
      <c r="G696" s="17" t="str">
        <f>IF(Country_7!$C97="","",Country_7!G97)</f>
        <v/>
      </c>
      <c r="H696" s="17" t="str">
        <f>IF(Country_7!$C97="","",Country_7!H97)</f>
        <v/>
      </c>
      <c r="I696" s="16" t="str">
        <f>IF(Country_7!$C97="","",Country_7!I97)</f>
        <v/>
      </c>
      <c r="J696" s="16" t="str">
        <f>IF(Country_7!$C97="","",Country_7!J97)</f>
        <v/>
      </c>
      <c r="K696" s="18" t="str">
        <f>IF(Country_7!$C97="","",Country_7!K97)</f>
        <v/>
      </c>
      <c r="L696" s="18" t="str">
        <f>IF(Country_7!$C97="","",Country_7!L97)</f>
        <v/>
      </c>
      <c r="M696" s="19" t="str">
        <f>IF(Country_7!$C97="","",Country_7!M97)</f>
        <v/>
      </c>
      <c r="N696" s="16" t="str">
        <f>IF(Country_7!$C97="","",Country_7!N97)</f>
        <v/>
      </c>
      <c r="O696" s="16" t="str">
        <f>IF(Country_7!$C97="","",Country_7!O97)</f>
        <v/>
      </c>
      <c r="P696" s="16" t="str">
        <f>IF(Country_7!$C97="","",Country_7!P97)</f>
        <v/>
      </c>
      <c r="Q696" s="16" t="str">
        <f>IF(Country_7!$C97="","",Country_7!Q97)</f>
        <v/>
      </c>
    </row>
    <row r="697" spans="1:17" x14ac:dyDescent="0.25">
      <c r="A697" s="16" t="str">
        <f>IF(Country_7!$C98="","",Country_7!A98)</f>
        <v/>
      </c>
      <c r="B697" s="16" t="str">
        <f>IF(Country_7!$C98="","",Country_7!B98)</f>
        <v/>
      </c>
      <c r="C697" s="16" t="str">
        <f>IF(Country_7!$C98="","",Country_7!C98)</f>
        <v/>
      </c>
      <c r="D697" s="16" t="str">
        <f>IF(Country_7!$C98="","",Country_7!D98)</f>
        <v/>
      </c>
      <c r="E697" s="16" t="str">
        <f>IF(Country_7!$C98="","",Country_7!E98)</f>
        <v/>
      </c>
      <c r="F697" s="16" t="str">
        <f>IF(Country_7!$C98="","",Country_7!F98)</f>
        <v/>
      </c>
      <c r="G697" s="17" t="str">
        <f>IF(Country_7!$C98="","",Country_7!G98)</f>
        <v/>
      </c>
      <c r="H697" s="17" t="str">
        <f>IF(Country_7!$C98="","",Country_7!H98)</f>
        <v/>
      </c>
      <c r="I697" s="16" t="str">
        <f>IF(Country_7!$C98="","",Country_7!I98)</f>
        <v/>
      </c>
      <c r="J697" s="16" t="str">
        <f>IF(Country_7!$C98="","",Country_7!J98)</f>
        <v/>
      </c>
      <c r="K697" s="18" t="str">
        <f>IF(Country_7!$C98="","",Country_7!K98)</f>
        <v/>
      </c>
      <c r="L697" s="18" t="str">
        <f>IF(Country_7!$C98="","",Country_7!L98)</f>
        <v/>
      </c>
      <c r="M697" s="19" t="str">
        <f>IF(Country_7!$C98="","",Country_7!M98)</f>
        <v/>
      </c>
      <c r="N697" s="16" t="str">
        <f>IF(Country_7!$C98="","",Country_7!N98)</f>
        <v/>
      </c>
      <c r="O697" s="16" t="str">
        <f>IF(Country_7!$C98="","",Country_7!O98)</f>
        <v/>
      </c>
      <c r="P697" s="16" t="str">
        <f>IF(Country_7!$C98="","",Country_7!P98)</f>
        <v/>
      </c>
      <c r="Q697" s="16" t="str">
        <f>IF(Country_7!$C98="","",Country_7!Q98)</f>
        <v/>
      </c>
    </row>
    <row r="698" spans="1:17" x14ac:dyDescent="0.25">
      <c r="A698" s="16" t="str">
        <f>IF(Country_7!$C99="","",Country_7!A99)</f>
        <v/>
      </c>
      <c r="B698" s="16" t="str">
        <f>IF(Country_7!$C99="","",Country_7!B99)</f>
        <v/>
      </c>
      <c r="C698" s="16" t="str">
        <f>IF(Country_7!$C99="","",Country_7!C99)</f>
        <v/>
      </c>
      <c r="D698" s="16" t="str">
        <f>IF(Country_7!$C99="","",Country_7!D99)</f>
        <v/>
      </c>
      <c r="E698" s="16" t="str">
        <f>IF(Country_7!$C99="","",Country_7!E99)</f>
        <v/>
      </c>
      <c r="F698" s="16" t="str">
        <f>IF(Country_7!$C99="","",Country_7!F99)</f>
        <v/>
      </c>
      <c r="G698" s="17" t="str">
        <f>IF(Country_7!$C99="","",Country_7!G99)</f>
        <v/>
      </c>
      <c r="H698" s="17" t="str">
        <f>IF(Country_7!$C99="","",Country_7!H99)</f>
        <v/>
      </c>
      <c r="I698" s="16" t="str">
        <f>IF(Country_7!$C99="","",Country_7!I99)</f>
        <v/>
      </c>
      <c r="J698" s="16" t="str">
        <f>IF(Country_7!$C99="","",Country_7!J99)</f>
        <v/>
      </c>
      <c r="K698" s="18" t="str">
        <f>IF(Country_7!$C99="","",Country_7!K99)</f>
        <v/>
      </c>
      <c r="L698" s="18" t="str">
        <f>IF(Country_7!$C99="","",Country_7!L99)</f>
        <v/>
      </c>
      <c r="M698" s="19" t="str">
        <f>IF(Country_7!$C99="","",Country_7!M99)</f>
        <v/>
      </c>
      <c r="N698" s="16" t="str">
        <f>IF(Country_7!$C99="","",Country_7!N99)</f>
        <v/>
      </c>
      <c r="O698" s="16" t="str">
        <f>IF(Country_7!$C99="","",Country_7!O99)</f>
        <v/>
      </c>
      <c r="P698" s="16" t="str">
        <f>IF(Country_7!$C99="","",Country_7!P99)</f>
        <v/>
      </c>
      <c r="Q698" s="16" t="str">
        <f>IF(Country_7!$C99="","",Country_7!Q99)</f>
        <v/>
      </c>
    </row>
    <row r="699" spans="1:17" x14ac:dyDescent="0.25">
      <c r="A699" s="16" t="str">
        <f>IF(Country_7!$C100="","",Country_7!A100)</f>
        <v/>
      </c>
      <c r="B699" s="16" t="str">
        <f>IF(Country_7!$C100="","",Country_7!B100)</f>
        <v/>
      </c>
      <c r="C699" s="16" t="str">
        <f>IF(Country_7!$C100="","",Country_7!C100)</f>
        <v/>
      </c>
      <c r="D699" s="16" t="str">
        <f>IF(Country_7!$C100="","",Country_7!D100)</f>
        <v/>
      </c>
      <c r="E699" s="16" t="str">
        <f>IF(Country_7!$C100="","",Country_7!E100)</f>
        <v/>
      </c>
      <c r="F699" s="16" t="str">
        <f>IF(Country_7!$C100="","",Country_7!F100)</f>
        <v/>
      </c>
      <c r="G699" s="17" t="str">
        <f>IF(Country_7!$C100="","",Country_7!G100)</f>
        <v/>
      </c>
      <c r="H699" s="17" t="str">
        <f>IF(Country_7!$C100="","",Country_7!H100)</f>
        <v/>
      </c>
      <c r="I699" s="16" t="str">
        <f>IF(Country_7!$C100="","",Country_7!I100)</f>
        <v/>
      </c>
      <c r="J699" s="16" t="str">
        <f>IF(Country_7!$C100="","",Country_7!J100)</f>
        <v/>
      </c>
      <c r="K699" s="18" t="str">
        <f>IF(Country_7!$C100="","",Country_7!K100)</f>
        <v/>
      </c>
      <c r="L699" s="18" t="str">
        <f>IF(Country_7!$C100="","",Country_7!L100)</f>
        <v/>
      </c>
      <c r="M699" s="19" t="str">
        <f>IF(Country_7!$C100="","",Country_7!M100)</f>
        <v/>
      </c>
      <c r="N699" s="16" t="str">
        <f>IF(Country_7!$C100="","",Country_7!N100)</f>
        <v/>
      </c>
      <c r="O699" s="16" t="str">
        <f>IF(Country_7!$C100="","",Country_7!O100)</f>
        <v/>
      </c>
      <c r="P699" s="16" t="str">
        <f>IF(Country_7!$C100="","",Country_7!P100)</f>
        <v/>
      </c>
      <c r="Q699" s="16" t="str">
        <f>IF(Country_7!$C100="","",Country_7!Q100)</f>
        <v/>
      </c>
    </row>
    <row r="700" spans="1:17" x14ac:dyDescent="0.25">
      <c r="A700" s="16" t="str">
        <f>IF(Country_7!$C101="","",Country_7!A101)</f>
        <v/>
      </c>
      <c r="B700" s="16" t="str">
        <f>IF(Country_7!$C101="","",Country_7!B101)</f>
        <v/>
      </c>
      <c r="C700" s="16" t="str">
        <f>IF(Country_7!$C101="","",Country_7!C101)</f>
        <v/>
      </c>
      <c r="D700" s="16" t="str">
        <f>IF(Country_7!$C101="","",Country_7!D101)</f>
        <v/>
      </c>
      <c r="E700" s="16" t="str">
        <f>IF(Country_7!$C101="","",Country_7!E101)</f>
        <v/>
      </c>
      <c r="F700" s="16" t="str">
        <f>IF(Country_7!$C101="","",Country_7!F101)</f>
        <v/>
      </c>
      <c r="G700" s="17" t="str">
        <f>IF(Country_7!$C101="","",Country_7!G101)</f>
        <v/>
      </c>
      <c r="H700" s="17" t="str">
        <f>IF(Country_7!$C101="","",Country_7!H101)</f>
        <v/>
      </c>
      <c r="I700" s="16" t="str">
        <f>IF(Country_7!$C101="","",Country_7!I101)</f>
        <v/>
      </c>
      <c r="J700" s="16" t="str">
        <f>IF(Country_7!$C101="","",Country_7!J101)</f>
        <v/>
      </c>
      <c r="K700" s="18" t="str">
        <f>IF(Country_7!$C101="","",Country_7!K101)</f>
        <v/>
      </c>
      <c r="L700" s="18" t="str">
        <f>IF(Country_7!$C101="","",Country_7!L101)</f>
        <v/>
      </c>
      <c r="M700" s="19" t="str">
        <f>IF(Country_7!$C101="","",Country_7!M101)</f>
        <v/>
      </c>
      <c r="N700" s="16" t="str">
        <f>IF(Country_7!$C101="","",Country_7!N101)</f>
        <v/>
      </c>
      <c r="O700" s="16" t="str">
        <f>IF(Country_7!$C101="","",Country_7!O101)</f>
        <v/>
      </c>
      <c r="P700" s="16" t="str">
        <f>IF(Country_7!$C101="","",Country_7!P101)</f>
        <v/>
      </c>
      <c r="Q700" s="16" t="str">
        <f>IF(Country_7!$C101="","",Country_7!Q101)</f>
        <v/>
      </c>
    </row>
    <row r="701" spans="1:17" x14ac:dyDescent="0.25">
      <c r="A701" s="16" t="str">
        <f>IF(Country_7!$C102="","",Country_7!A102)</f>
        <v/>
      </c>
      <c r="B701" s="16" t="str">
        <f>IF(Country_7!$C102="","",Country_7!B102)</f>
        <v/>
      </c>
      <c r="C701" s="16" t="str">
        <f>IF(Country_7!$C102="","",Country_7!C102)</f>
        <v/>
      </c>
      <c r="D701" s="16" t="str">
        <f>IF(Country_7!$C102="","",Country_7!D102)</f>
        <v/>
      </c>
      <c r="E701" s="16" t="str">
        <f>IF(Country_7!$C102="","",Country_7!E102)</f>
        <v/>
      </c>
      <c r="F701" s="16" t="str">
        <f>IF(Country_7!$C102="","",Country_7!F102)</f>
        <v/>
      </c>
      <c r="G701" s="17" t="str">
        <f>IF(Country_7!$C102="","",Country_7!G102)</f>
        <v/>
      </c>
      <c r="H701" s="17" t="str">
        <f>IF(Country_7!$C102="","",Country_7!H102)</f>
        <v/>
      </c>
      <c r="I701" s="16" t="str">
        <f>IF(Country_7!$C102="","",Country_7!I102)</f>
        <v/>
      </c>
      <c r="J701" s="16" t="str">
        <f>IF(Country_7!$C102="","",Country_7!J102)</f>
        <v/>
      </c>
      <c r="K701" s="18" t="str">
        <f>IF(Country_7!$C102="","",Country_7!K102)</f>
        <v/>
      </c>
      <c r="L701" s="18" t="str">
        <f>IF(Country_7!$C102="","",Country_7!L102)</f>
        <v/>
      </c>
      <c r="M701" s="19" t="str">
        <f>IF(Country_7!$C102="","",Country_7!M102)</f>
        <v/>
      </c>
      <c r="N701" s="16" t="str">
        <f>IF(Country_7!$C102="","",Country_7!N102)</f>
        <v/>
      </c>
      <c r="O701" s="16" t="str">
        <f>IF(Country_7!$C102="","",Country_7!O102)</f>
        <v/>
      </c>
      <c r="P701" s="16" t="str">
        <f>IF(Country_7!$C102="","",Country_7!P102)</f>
        <v/>
      </c>
      <c r="Q701" s="16" t="str">
        <f>IF(Country_7!$C102="","",Country_7!Q102)</f>
        <v/>
      </c>
    </row>
    <row r="702" spans="1:17" x14ac:dyDescent="0.25">
      <c r="A702" s="16" t="str">
        <f>IF(Country_8!$C3="","",Country_8!A3)</f>
        <v>OI-104</v>
      </c>
      <c r="B702" s="16" t="str">
        <f>IF(Country_8!$C3="","",Country_8!B3)</f>
        <v>Policy dialogues facilitated</v>
      </c>
      <c r="C702" s="16" t="str">
        <f>IF(Country_8!$C3="","",Country_8!C3)</f>
        <v>C8A001</v>
      </c>
      <c r="D702" s="16" t="str">
        <f>IF(Country_8!$C3="","",Country_8!D3)</f>
        <v>Policy dialogue 1</v>
      </c>
      <c r="E702" s="16" t="str">
        <f>IF(Country_8!$C3="","",Country_8!E3)</f>
        <v>Advocacy</v>
      </c>
      <c r="F702" s="16" t="str">
        <f>IF(Country_8!$C3="","",Country_8!F3)</f>
        <v>Country_8</v>
      </c>
      <c r="G702" s="17">
        <f>IF(Country_8!$C3="","",Country_8!G3)</f>
        <v>45839</v>
      </c>
      <c r="H702" s="17">
        <f>IF(Country_8!$C3="","",Country_8!H3)</f>
        <v>45930</v>
      </c>
      <c r="I702" s="16" t="str">
        <f>IF(Country_8!$C3="","",Country_8!I3)</f>
        <v>Year 2</v>
      </c>
      <c r="J702" s="16" t="str">
        <f>IF(Country_8!$C3="","",Country_8!J3)</f>
        <v>Y2Q3</v>
      </c>
      <c r="K702" s="18">
        <f>IF(Country_8!$C3="","",Country_8!K3)</f>
        <v>41</v>
      </c>
      <c r="L702" s="18">
        <f>IF(Country_8!$C3="","",Country_8!L3)</f>
        <v>51</v>
      </c>
      <c r="M702" s="19">
        <f>IF(Country_8!$C3="","",Country_8!M3)</f>
        <v>1.2439024390243902</v>
      </c>
      <c r="N702" s="16" t="str">
        <f>IF(Country_8!$C3="","",Country_8!N3)</f>
        <v>Meeting minutes; participant list</v>
      </c>
      <c r="O702" s="16" t="str">
        <f>IF(Country_8!$C3="","",Country_8!O3)</f>
        <v>Yes</v>
      </c>
      <c r="P702" s="16" t="str">
        <f>IF(Country_8!$C3="","",Country_8!P3)</f>
        <v>Completed</v>
      </c>
      <c r="Q702" s="16" t="str">
        <f>IF(Country_8!$C3="","",Country_8!Q3)</f>
        <v>Completed as scheduled.</v>
      </c>
    </row>
    <row r="703" spans="1:17" x14ac:dyDescent="0.25">
      <c r="A703" s="16" t="str">
        <f>IF(Country_8!$C4="","",Country_8!A4)</f>
        <v>OI-101</v>
      </c>
      <c r="B703" s="16" t="str">
        <f>IF(Country_8!$C4="","",Country_8!B4)</f>
        <v>People trained in targeted skills</v>
      </c>
      <c r="C703" s="16" t="str">
        <f>IF(Country_8!$C4="","",Country_8!C4)</f>
        <v>C8A002</v>
      </c>
      <c r="D703" s="16" t="str">
        <f>IF(Country_8!$C4="","",Country_8!D4)</f>
        <v>Training workshop 2</v>
      </c>
      <c r="E703" s="16" t="str">
        <f>IF(Country_8!$C4="","",Country_8!E4)</f>
        <v>Training</v>
      </c>
      <c r="F703" s="16" t="str">
        <f>IF(Country_8!$C4="","",Country_8!F4)</f>
        <v>Country_8</v>
      </c>
      <c r="G703" s="17">
        <f>IF(Country_8!$C4="","",Country_8!G4)</f>
        <v>45931</v>
      </c>
      <c r="H703" s="17">
        <f>IF(Country_8!$C4="","",Country_8!H4)</f>
        <v>46022</v>
      </c>
      <c r="I703" s="16" t="str">
        <f>IF(Country_8!$C4="","",Country_8!I4)</f>
        <v>Year 2</v>
      </c>
      <c r="J703" s="16" t="str">
        <f>IF(Country_8!$C4="","",Country_8!J4)</f>
        <v>Y2Q4</v>
      </c>
      <c r="K703" s="18">
        <f>IF(Country_8!$C4="","",Country_8!K4)</f>
        <v>46</v>
      </c>
      <c r="L703" s="18">
        <f>IF(Country_8!$C4="","",Country_8!L4)</f>
        <v>52</v>
      </c>
      <c r="M703" s="19">
        <f>IF(Country_8!$C4="","",Country_8!M4)</f>
        <v>1.1304347826086956</v>
      </c>
      <c r="N703" s="16" t="str">
        <f>IF(Country_8!$C4="","",Country_8!N4)</f>
        <v>Signed attendance sheet; pre/post test forms</v>
      </c>
      <c r="O703" s="16" t="str">
        <f>IF(Country_8!$C4="","",Country_8!O4)</f>
        <v>No</v>
      </c>
      <c r="P703" s="16" t="str">
        <f>IF(Country_8!$C4="","",Country_8!P4)</f>
        <v>Completed</v>
      </c>
      <c r="Q703" s="16" t="str">
        <f>IF(Country_8!$C4="","",Country_8!Q4)</f>
        <v>Completed as scheduled.</v>
      </c>
    </row>
    <row r="704" spans="1:17" x14ac:dyDescent="0.25">
      <c r="A704" s="16" t="str">
        <f>IF(Country_8!$C5="","",Country_8!A5)</f>
        <v>OI-102</v>
      </c>
      <c r="B704" s="16" t="str">
        <f>IF(Country_8!$C5="","",Country_8!B5)</f>
        <v>Community outreach events delivered</v>
      </c>
      <c r="C704" s="16" t="str">
        <f>IF(Country_8!$C5="","",Country_8!C5)</f>
        <v>C8A003</v>
      </c>
      <c r="D704" s="16" t="str">
        <f>IF(Country_8!$C5="","",Country_8!D5)</f>
        <v>Community outreach campaign 3</v>
      </c>
      <c r="E704" s="16" t="str">
        <f>IF(Country_8!$C5="","",Country_8!E5)</f>
        <v>Outreach</v>
      </c>
      <c r="F704" s="16" t="str">
        <f>IF(Country_8!$C5="","",Country_8!F5)</f>
        <v>Country_8</v>
      </c>
      <c r="G704" s="17">
        <f>IF(Country_8!$C5="","",Country_8!G5)</f>
        <v>46023</v>
      </c>
      <c r="H704" s="17">
        <f>IF(Country_8!$C5="","",Country_8!H5)</f>
        <v>46112</v>
      </c>
      <c r="I704" s="16" t="str">
        <f>IF(Country_8!$C5="","",Country_8!I5)</f>
        <v>Year 3</v>
      </c>
      <c r="J704" s="16" t="str">
        <f>IF(Country_8!$C5="","",Country_8!J5)</f>
        <v>Y3Q1</v>
      </c>
      <c r="K704" s="18">
        <f>IF(Country_8!$C5="","",Country_8!K5)</f>
        <v>51</v>
      </c>
      <c r="L704" s="18">
        <f>IF(Country_8!$C5="","",Country_8!L5)</f>
        <v>53</v>
      </c>
      <c r="M704" s="19">
        <f>IF(Country_8!$C5="","",Country_8!M5)</f>
        <v>1.0392156862745099</v>
      </c>
      <c r="N704" s="16" t="str">
        <f>IF(Country_8!$C5="","",Country_8!N5)</f>
        <v>Activity report; photo log</v>
      </c>
      <c r="O704" s="16" t="str">
        <f>IF(Country_8!$C5="","",Country_8!O5)</f>
        <v>No</v>
      </c>
      <c r="P704" s="16" t="str">
        <f>IF(Country_8!$C5="","",Country_8!P5)</f>
        <v>Completed</v>
      </c>
      <c r="Q704" s="16" t="str">
        <f>IF(Country_8!$C5="","",Country_8!Q5)</f>
        <v>Completed as scheduled.</v>
      </c>
    </row>
    <row r="705" spans="1:17" x14ac:dyDescent="0.25">
      <c r="A705" s="16" t="str">
        <f>IF(Country_8!$C6="","",Country_8!A6)</f>
        <v>OI-103</v>
      </c>
      <c r="B705" s="16" t="str">
        <f>IF(Country_8!$C6="","",Country_8!B6)</f>
        <v>Supportive supervision visits conducted</v>
      </c>
      <c r="C705" s="16" t="str">
        <f>IF(Country_8!$C6="","",Country_8!C6)</f>
        <v>C8A004</v>
      </c>
      <c r="D705" s="16" t="str">
        <f>IF(Country_8!$C6="","",Country_8!D6)</f>
        <v>Supportive supervision visit 4</v>
      </c>
      <c r="E705" s="16" t="str">
        <f>IF(Country_8!$C6="","",Country_8!E6)</f>
        <v>Monitoring</v>
      </c>
      <c r="F705" s="16" t="str">
        <f>IF(Country_8!$C6="","",Country_8!F6)</f>
        <v>Country_8</v>
      </c>
      <c r="G705" s="17">
        <f>IF(Country_8!$C6="","",Country_8!G6)</f>
        <v>46113</v>
      </c>
      <c r="H705" s="17">
        <f>IF(Country_8!$C6="","",Country_8!H6)</f>
        <v>46203</v>
      </c>
      <c r="I705" s="16" t="str">
        <f>IF(Country_8!$C6="","",Country_8!I6)</f>
        <v>Year 3</v>
      </c>
      <c r="J705" s="16" t="str">
        <f>IF(Country_8!$C6="","",Country_8!J6)</f>
        <v>Y3Q2</v>
      </c>
      <c r="K705" s="18">
        <f>IF(Country_8!$C6="","",Country_8!K6)</f>
        <v>56</v>
      </c>
      <c r="L705" s="18">
        <f>IF(Country_8!$C6="","",Country_8!L6)</f>
        <v>54</v>
      </c>
      <c r="M705" s="19">
        <f>IF(Country_8!$C6="","",Country_8!M6)</f>
        <v>0.9642857142857143</v>
      </c>
      <c r="N705" s="16" t="str">
        <f>IF(Country_8!$C6="","",Country_8!N6)</f>
        <v>Supervision checklist; visit report</v>
      </c>
      <c r="O705" s="16" t="str">
        <f>IF(Country_8!$C6="","",Country_8!O6)</f>
        <v>Yes</v>
      </c>
      <c r="P705" s="16" t="str">
        <f>IF(Country_8!$C6="","",Country_8!P6)</f>
        <v>In progress</v>
      </c>
      <c r="Q705" s="16" t="str">
        <f>IF(Country_8!$C6="","",Country_8!Q6)</f>
        <v>Final attendance reconciliation pending.</v>
      </c>
    </row>
    <row r="706" spans="1:17" x14ac:dyDescent="0.25">
      <c r="A706" s="16" t="str">
        <f>IF(Country_8!$C7="","",Country_8!A7)</f>
        <v>OI-104</v>
      </c>
      <c r="B706" s="16" t="str">
        <f>IF(Country_8!$C7="","",Country_8!B7)</f>
        <v>Policy dialogues facilitated</v>
      </c>
      <c r="C706" s="16" t="str">
        <f>IF(Country_8!$C7="","",Country_8!C7)</f>
        <v>C8A005</v>
      </c>
      <c r="D706" s="16" t="str">
        <f>IF(Country_8!$C7="","",Country_8!D7)</f>
        <v>Policy dialogue 5</v>
      </c>
      <c r="E706" s="16" t="str">
        <f>IF(Country_8!$C7="","",Country_8!E7)</f>
        <v>Advocacy</v>
      </c>
      <c r="F706" s="16" t="str">
        <f>IF(Country_8!$C7="","",Country_8!F7)</f>
        <v>Country_8</v>
      </c>
      <c r="G706" s="17">
        <f>IF(Country_8!$C7="","",Country_8!G7)</f>
        <v>46204</v>
      </c>
      <c r="H706" s="17">
        <f>IF(Country_8!$C7="","",Country_8!H7)</f>
        <v>46295</v>
      </c>
      <c r="I706" s="16" t="str">
        <f>IF(Country_8!$C7="","",Country_8!I7)</f>
        <v>Year 3</v>
      </c>
      <c r="J706" s="16" t="str">
        <f>IF(Country_8!$C7="","",Country_8!J7)</f>
        <v>Y3Q3</v>
      </c>
      <c r="K706" s="18">
        <f>IF(Country_8!$C7="","",Country_8!K7)</f>
        <v>61</v>
      </c>
      <c r="L706" s="18">
        <f>IF(Country_8!$C7="","",Country_8!L7)</f>
        <v>0</v>
      </c>
      <c r="M706" s="19">
        <f>IF(Country_8!$C7="","",Country_8!M7)</f>
        <v>0</v>
      </c>
      <c r="N706" s="16" t="str">
        <f>IF(Country_8!$C7="","",Country_8!N7)</f>
        <v>Meeting minutes; participant list</v>
      </c>
      <c r="O706" s="16" t="str">
        <f>IF(Country_8!$C7="","",Country_8!O7)</f>
        <v>No</v>
      </c>
      <c r="P706" s="16" t="str">
        <f>IF(Country_8!$C7="","",Country_8!P7)</f>
        <v>Not started</v>
      </c>
      <c r="Q706" s="16" t="str">
        <f>IF(Country_8!$C7="","",Country_8!Q7)</f>
        <v>Planned for a future quarter.</v>
      </c>
    </row>
    <row r="707" spans="1:17" x14ac:dyDescent="0.25">
      <c r="A707" s="16" t="str">
        <f>IF(Country_8!$C8="","",Country_8!A8)</f>
        <v>OI-101</v>
      </c>
      <c r="B707" s="16" t="str">
        <f>IF(Country_8!$C8="","",Country_8!B8)</f>
        <v>People trained in targeted skills</v>
      </c>
      <c r="C707" s="16" t="str">
        <f>IF(Country_8!$C8="","",Country_8!C8)</f>
        <v>C8A006</v>
      </c>
      <c r="D707" s="16" t="str">
        <f>IF(Country_8!$C8="","",Country_8!D8)</f>
        <v>Training workshop 6</v>
      </c>
      <c r="E707" s="16" t="str">
        <f>IF(Country_8!$C8="","",Country_8!E8)</f>
        <v>Training</v>
      </c>
      <c r="F707" s="16" t="str">
        <f>IF(Country_8!$C8="","",Country_8!F8)</f>
        <v>Country_8</v>
      </c>
      <c r="G707" s="17">
        <f>IF(Country_8!$C8="","",Country_8!G8)</f>
        <v>46296</v>
      </c>
      <c r="H707" s="17">
        <f>IF(Country_8!$C8="","",Country_8!H8)</f>
        <v>46387</v>
      </c>
      <c r="I707" s="16" t="str">
        <f>IF(Country_8!$C8="","",Country_8!I8)</f>
        <v>Year 3</v>
      </c>
      <c r="J707" s="16" t="str">
        <f>IF(Country_8!$C8="","",Country_8!J8)</f>
        <v>Y3Q4</v>
      </c>
      <c r="K707" s="18">
        <f>IF(Country_8!$C8="","",Country_8!K8)</f>
        <v>66</v>
      </c>
      <c r="L707" s="18">
        <f>IF(Country_8!$C8="","",Country_8!L8)</f>
        <v>0</v>
      </c>
      <c r="M707" s="19">
        <f>IF(Country_8!$C8="","",Country_8!M8)</f>
        <v>0</v>
      </c>
      <c r="N707" s="16" t="str">
        <f>IF(Country_8!$C8="","",Country_8!N8)</f>
        <v>Signed attendance sheet; pre/post test forms</v>
      </c>
      <c r="O707" s="16" t="str">
        <f>IF(Country_8!$C8="","",Country_8!O8)</f>
        <v>No</v>
      </c>
      <c r="P707" s="16" t="str">
        <f>IF(Country_8!$C8="","",Country_8!P8)</f>
        <v>Not started</v>
      </c>
      <c r="Q707" s="16" t="str">
        <f>IF(Country_8!$C8="","",Country_8!Q8)</f>
        <v>Planned for a future quarter.</v>
      </c>
    </row>
    <row r="708" spans="1:17" x14ac:dyDescent="0.25">
      <c r="A708" s="16" t="str">
        <f>IF(Country_8!$C9="","",Country_8!A9)</f>
        <v/>
      </c>
      <c r="B708" s="16" t="str">
        <f>IF(Country_8!$C9="","",Country_8!B9)</f>
        <v/>
      </c>
      <c r="C708" s="16" t="str">
        <f>IF(Country_8!$C9="","",Country_8!C9)</f>
        <v/>
      </c>
      <c r="D708" s="16" t="str">
        <f>IF(Country_8!$C9="","",Country_8!D9)</f>
        <v/>
      </c>
      <c r="E708" s="16" t="str">
        <f>IF(Country_8!$C9="","",Country_8!E9)</f>
        <v/>
      </c>
      <c r="F708" s="16" t="str">
        <f>IF(Country_8!$C9="","",Country_8!F9)</f>
        <v/>
      </c>
      <c r="G708" s="17" t="str">
        <f>IF(Country_8!$C9="","",Country_8!G9)</f>
        <v/>
      </c>
      <c r="H708" s="17" t="str">
        <f>IF(Country_8!$C9="","",Country_8!H9)</f>
        <v/>
      </c>
      <c r="I708" s="16" t="str">
        <f>IF(Country_8!$C9="","",Country_8!I9)</f>
        <v/>
      </c>
      <c r="J708" s="16" t="str">
        <f>IF(Country_8!$C9="","",Country_8!J9)</f>
        <v/>
      </c>
      <c r="K708" s="18" t="str">
        <f>IF(Country_8!$C9="","",Country_8!K9)</f>
        <v/>
      </c>
      <c r="L708" s="18" t="str">
        <f>IF(Country_8!$C9="","",Country_8!L9)</f>
        <v/>
      </c>
      <c r="M708" s="19" t="str">
        <f>IF(Country_8!$C9="","",Country_8!M9)</f>
        <v/>
      </c>
      <c r="N708" s="16" t="str">
        <f>IF(Country_8!$C9="","",Country_8!N9)</f>
        <v/>
      </c>
      <c r="O708" s="16" t="str">
        <f>IF(Country_8!$C9="","",Country_8!O9)</f>
        <v/>
      </c>
      <c r="P708" s="16" t="str">
        <f>IF(Country_8!$C9="","",Country_8!P9)</f>
        <v/>
      </c>
      <c r="Q708" s="16" t="str">
        <f>IF(Country_8!$C9="","",Country_8!Q9)</f>
        <v/>
      </c>
    </row>
    <row r="709" spans="1:17" x14ac:dyDescent="0.25">
      <c r="A709" s="16" t="str">
        <f>IF(Country_8!$C10="","",Country_8!A10)</f>
        <v/>
      </c>
      <c r="B709" s="16" t="str">
        <f>IF(Country_8!$C10="","",Country_8!B10)</f>
        <v/>
      </c>
      <c r="C709" s="16" t="str">
        <f>IF(Country_8!$C10="","",Country_8!C10)</f>
        <v/>
      </c>
      <c r="D709" s="16" t="str">
        <f>IF(Country_8!$C10="","",Country_8!D10)</f>
        <v/>
      </c>
      <c r="E709" s="16" t="str">
        <f>IF(Country_8!$C10="","",Country_8!E10)</f>
        <v/>
      </c>
      <c r="F709" s="16" t="str">
        <f>IF(Country_8!$C10="","",Country_8!F10)</f>
        <v/>
      </c>
      <c r="G709" s="17" t="str">
        <f>IF(Country_8!$C10="","",Country_8!G10)</f>
        <v/>
      </c>
      <c r="H709" s="17" t="str">
        <f>IF(Country_8!$C10="","",Country_8!H10)</f>
        <v/>
      </c>
      <c r="I709" s="16" t="str">
        <f>IF(Country_8!$C10="","",Country_8!I10)</f>
        <v/>
      </c>
      <c r="J709" s="16" t="str">
        <f>IF(Country_8!$C10="","",Country_8!J10)</f>
        <v/>
      </c>
      <c r="K709" s="18" t="str">
        <f>IF(Country_8!$C10="","",Country_8!K10)</f>
        <v/>
      </c>
      <c r="L709" s="18" t="str">
        <f>IF(Country_8!$C10="","",Country_8!L10)</f>
        <v/>
      </c>
      <c r="M709" s="19" t="str">
        <f>IF(Country_8!$C10="","",Country_8!M10)</f>
        <v/>
      </c>
      <c r="N709" s="16" t="str">
        <f>IF(Country_8!$C10="","",Country_8!N10)</f>
        <v/>
      </c>
      <c r="O709" s="16" t="str">
        <f>IF(Country_8!$C10="","",Country_8!O10)</f>
        <v/>
      </c>
      <c r="P709" s="16" t="str">
        <f>IF(Country_8!$C10="","",Country_8!P10)</f>
        <v/>
      </c>
      <c r="Q709" s="16" t="str">
        <f>IF(Country_8!$C10="","",Country_8!Q10)</f>
        <v/>
      </c>
    </row>
    <row r="710" spans="1:17" x14ac:dyDescent="0.25">
      <c r="A710" s="16" t="str">
        <f>IF(Country_8!$C11="","",Country_8!A11)</f>
        <v/>
      </c>
      <c r="B710" s="16" t="str">
        <f>IF(Country_8!$C11="","",Country_8!B11)</f>
        <v/>
      </c>
      <c r="C710" s="16" t="str">
        <f>IF(Country_8!$C11="","",Country_8!C11)</f>
        <v/>
      </c>
      <c r="D710" s="16" t="str">
        <f>IF(Country_8!$C11="","",Country_8!D11)</f>
        <v/>
      </c>
      <c r="E710" s="16" t="str">
        <f>IF(Country_8!$C11="","",Country_8!E11)</f>
        <v/>
      </c>
      <c r="F710" s="16" t="str">
        <f>IF(Country_8!$C11="","",Country_8!F11)</f>
        <v/>
      </c>
      <c r="G710" s="17" t="str">
        <f>IF(Country_8!$C11="","",Country_8!G11)</f>
        <v/>
      </c>
      <c r="H710" s="17" t="str">
        <f>IF(Country_8!$C11="","",Country_8!H11)</f>
        <v/>
      </c>
      <c r="I710" s="16" t="str">
        <f>IF(Country_8!$C11="","",Country_8!I11)</f>
        <v/>
      </c>
      <c r="J710" s="16" t="str">
        <f>IF(Country_8!$C11="","",Country_8!J11)</f>
        <v/>
      </c>
      <c r="K710" s="18" t="str">
        <f>IF(Country_8!$C11="","",Country_8!K11)</f>
        <v/>
      </c>
      <c r="L710" s="18" t="str">
        <f>IF(Country_8!$C11="","",Country_8!L11)</f>
        <v/>
      </c>
      <c r="M710" s="19" t="str">
        <f>IF(Country_8!$C11="","",Country_8!M11)</f>
        <v/>
      </c>
      <c r="N710" s="16" t="str">
        <f>IF(Country_8!$C11="","",Country_8!N11)</f>
        <v/>
      </c>
      <c r="O710" s="16" t="str">
        <f>IF(Country_8!$C11="","",Country_8!O11)</f>
        <v/>
      </c>
      <c r="P710" s="16" t="str">
        <f>IF(Country_8!$C11="","",Country_8!P11)</f>
        <v/>
      </c>
      <c r="Q710" s="16" t="str">
        <f>IF(Country_8!$C11="","",Country_8!Q11)</f>
        <v/>
      </c>
    </row>
    <row r="711" spans="1:17" x14ac:dyDescent="0.25">
      <c r="A711" s="16" t="str">
        <f>IF(Country_8!$C12="","",Country_8!A12)</f>
        <v/>
      </c>
      <c r="B711" s="16" t="str">
        <f>IF(Country_8!$C12="","",Country_8!B12)</f>
        <v/>
      </c>
      <c r="C711" s="16" t="str">
        <f>IF(Country_8!$C12="","",Country_8!C12)</f>
        <v/>
      </c>
      <c r="D711" s="16" t="str">
        <f>IF(Country_8!$C12="","",Country_8!D12)</f>
        <v/>
      </c>
      <c r="E711" s="16" t="str">
        <f>IF(Country_8!$C12="","",Country_8!E12)</f>
        <v/>
      </c>
      <c r="F711" s="16" t="str">
        <f>IF(Country_8!$C12="","",Country_8!F12)</f>
        <v/>
      </c>
      <c r="G711" s="17" t="str">
        <f>IF(Country_8!$C12="","",Country_8!G12)</f>
        <v/>
      </c>
      <c r="H711" s="17" t="str">
        <f>IF(Country_8!$C12="","",Country_8!H12)</f>
        <v/>
      </c>
      <c r="I711" s="16" t="str">
        <f>IF(Country_8!$C12="","",Country_8!I12)</f>
        <v/>
      </c>
      <c r="J711" s="16" t="str">
        <f>IF(Country_8!$C12="","",Country_8!J12)</f>
        <v/>
      </c>
      <c r="K711" s="18" t="str">
        <f>IF(Country_8!$C12="","",Country_8!K12)</f>
        <v/>
      </c>
      <c r="L711" s="18" t="str">
        <f>IF(Country_8!$C12="","",Country_8!L12)</f>
        <v/>
      </c>
      <c r="M711" s="19" t="str">
        <f>IF(Country_8!$C12="","",Country_8!M12)</f>
        <v/>
      </c>
      <c r="N711" s="16" t="str">
        <f>IF(Country_8!$C12="","",Country_8!N12)</f>
        <v/>
      </c>
      <c r="O711" s="16" t="str">
        <f>IF(Country_8!$C12="","",Country_8!O12)</f>
        <v/>
      </c>
      <c r="P711" s="16" t="str">
        <f>IF(Country_8!$C12="","",Country_8!P12)</f>
        <v/>
      </c>
      <c r="Q711" s="16" t="str">
        <f>IF(Country_8!$C12="","",Country_8!Q12)</f>
        <v/>
      </c>
    </row>
    <row r="712" spans="1:17" x14ac:dyDescent="0.25">
      <c r="A712" s="16" t="str">
        <f>IF(Country_8!$C13="","",Country_8!A13)</f>
        <v/>
      </c>
      <c r="B712" s="16" t="str">
        <f>IF(Country_8!$C13="","",Country_8!B13)</f>
        <v/>
      </c>
      <c r="C712" s="16" t="str">
        <f>IF(Country_8!$C13="","",Country_8!C13)</f>
        <v/>
      </c>
      <c r="D712" s="16" t="str">
        <f>IF(Country_8!$C13="","",Country_8!D13)</f>
        <v/>
      </c>
      <c r="E712" s="16" t="str">
        <f>IF(Country_8!$C13="","",Country_8!E13)</f>
        <v/>
      </c>
      <c r="F712" s="16" t="str">
        <f>IF(Country_8!$C13="","",Country_8!F13)</f>
        <v/>
      </c>
      <c r="G712" s="17" t="str">
        <f>IF(Country_8!$C13="","",Country_8!G13)</f>
        <v/>
      </c>
      <c r="H712" s="17" t="str">
        <f>IF(Country_8!$C13="","",Country_8!H13)</f>
        <v/>
      </c>
      <c r="I712" s="16" t="str">
        <f>IF(Country_8!$C13="","",Country_8!I13)</f>
        <v/>
      </c>
      <c r="J712" s="16" t="str">
        <f>IF(Country_8!$C13="","",Country_8!J13)</f>
        <v/>
      </c>
      <c r="K712" s="18" t="str">
        <f>IF(Country_8!$C13="","",Country_8!K13)</f>
        <v/>
      </c>
      <c r="L712" s="18" t="str">
        <f>IF(Country_8!$C13="","",Country_8!L13)</f>
        <v/>
      </c>
      <c r="M712" s="19" t="str">
        <f>IF(Country_8!$C13="","",Country_8!M13)</f>
        <v/>
      </c>
      <c r="N712" s="16" t="str">
        <f>IF(Country_8!$C13="","",Country_8!N13)</f>
        <v/>
      </c>
      <c r="O712" s="16" t="str">
        <f>IF(Country_8!$C13="","",Country_8!O13)</f>
        <v/>
      </c>
      <c r="P712" s="16" t="str">
        <f>IF(Country_8!$C13="","",Country_8!P13)</f>
        <v/>
      </c>
      <c r="Q712" s="16" t="str">
        <f>IF(Country_8!$C13="","",Country_8!Q13)</f>
        <v/>
      </c>
    </row>
    <row r="713" spans="1:17" x14ac:dyDescent="0.25">
      <c r="A713" s="16" t="str">
        <f>IF(Country_8!$C14="","",Country_8!A14)</f>
        <v/>
      </c>
      <c r="B713" s="16" t="str">
        <f>IF(Country_8!$C14="","",Country_8!B14)</f>
        <v/>
      </c>
      <c r="C713" s="16" t="str">
        <f>IF(Country_8!$C14="","",Country_8!C14)</f>
        <v/>
      </c>
      <c r="D713" s="16" t="str">
        <f>IF(Country_8!$C14="","",Country_8!D14)</f>
        <v/>
      </c>
      <c r="E713" s="16" t="str">
        <f>IF(Country_8!$C14="","",Country_8!E14)</f>
        <v/>
      </c>
      <c r="F713" s="16" t="str">
        <f>IF(Country_8!$C14="","",Country_8!F14)</f>
        <v/>
      </c>
      <c r="G713" s="17" t="str">
        <f>IF(Country_8!$C14="","",Country_8!G14)</f>
        <v/>
      </c>
      <c r="H713" s="17" t="str">
        <f>IF(Country_8!$C14="","",Country_8!H14)</f>
        <v/>
      </c>
      <c r="I713" s="16" t="str">
        <f>IF(Country_8!$C14="","",Country_8!I14)</f>
        <v/>
      </c>
      <c r="J713" s="16" t="str">
        <f>IF(Country_8!$C14="","",Country_8!J14)</f>
        <v/>
      </c>
      <c r="K713" s="18" t="str">
        <f>IF(Country_8!$C14="","",Country_8!K14)</f>
        <v/>
      </c>
      <c r="L713" s="18" t="str">
        <f>IF(Country_8!$C14="","",Country_8!L14)</f>
        <v/>
      </c>
      <c r="M713" s="19" t="str">
        <f>IF(Country_8!$C14="","",Country_8!M14)</f>
        <v/>
      </c>
      <c r="N713" s="16" t="str">
        <f>IF(Country_8!$C14="","",Country_8!N14)</f>
        <v/>
      </c>
      <c r="O713" s="16" t="str">
        <f>IF(Country_8!$C14="","",Country_8!O14)</f>
        <v/>
      </c>
      <c r="P713" s="16" t="str">
        <f>IF(Country_8!$C14="","",Country_8!P14)</f>
        <v/>
      </c>
      <c r="Q713" s="16" t="str">
        <f>IF(Country_8!$C14="","",Country_8!Q14)</f>
        <v/>
      </c>
    </row>
    <row r="714" spans="1:17" x14ac:dyDescent="0.25">
      <c r="A714" s="16" t="str">
        <f>IF(Country_8!$C15="","",Country_8!A15)</f>
        <v/>
      </c>
      <c r="B714" s="16" t="str">
        <f>IF(Country_8!$C15="","",Country_8!B15)</f>
        <v/>
      </c>
      <c r="C714" s="16" t="str">
        <f>IF(Country_8!$C15="","",Country_8!C15)</f>
        <v/>
      </c>
      <c r="D714" s="16" t="str">
        <f>IF(Country_8!$C15="","",Country_8!D15)</f>
        <v/>
      </c>
      <c r="E714" s="16" t="str">
        <f>IF(Country_8!$C15="","",Country_8!E15)</f>
        <v/>
      </c>
      <c r="F714" s="16" t="str">
        <f>IF(Country_8!$C15="","",Country_8!F15)</f>
        <v/>
      </c>
      <c r="G714" s="17" t="str">
        <f>IF(Country_8!$C15="","",Country_8!G15)</f>
        <v/>
      </c>
      <c r="H714" s="17" t="str">
        <f>IF(Country_8!$C15="","",Country_8!H15)</f>
        <v/>
      </c>
      <c r="I714" s="16" t="str">
        <f>IF(Country_8!$C15="","",Country_8!I15)</f>
        <v/>
      </c>
      <c r="J714" s="16" t="str">
        <f>IF(Country_8!$C15="","",Country_8!J15)</f>
        <v/>
      </c>
      <c r="K714" s="18" t="str">
        <f>IF(Country_8!$C15="","",Country_8!K15)</f>
        <v/>
      </c>
      <c r="L714" s="18" t="str">
        <f>IF(Country_8!$C15="","",Country_8!L15)</f>
        <v/>
      </c>
      <c r="M714" s="19" t="str">
        <f>IF(Country_8!$C15="","",Country_8!M15)</f>
        <v/>
      </c>
      <c r="N714" s="16" t="str">
        <f>IF(Country_8!$C15="","",Country_8!N15)</f>
        <v/>
      </c>
      <c r="O714" s="16" t="str">
        <f>IF(Country_8!$C15="","",Country_8!O15)</f>
        <v/>
      </c>
      <c r="P714" s="16" t="str">
        <f>IF(Country_8!$C15="","",Country_8!P15)</f>
        <v/>
      </c>
      <c r="Q714" s="16" t="str">
        <f>IF(Country_8!$C15="","",Country_8!Q15)</f>
        <v/>
      </c>
    </row>
    <row r="715" spans="1:17" x14ac:dyDescent="0.25">
      <c r="A715" s="16" t="str">
        <f>IF(Country_8!$C16="","",Country_8!A16)</f>
        <v/>
      </c>
      <c r="B715" s="16" t="str">
        <f>IF(Country_8!$C16="","",Country_8!B16)</f>
        <v/>
      </c>
      <c r="C715" s="16" t="str">
        <f>IF(Country_8!$C16="","",Country_8!C16)</f>
        <v/>
      </c>
      <c r="D715" s="16" t="str">
        <f>IF(Country_8!$C16="","",Country_8!D16)</f>
        <v/>
      </c>
      <c r="E715" s="16" t="str">
        <f>IF(Country_8!$C16="","",Country_8!E16)</f>
        <v/>
      </c>
      <c r="F715" s="16" t="str">
        <f>IF(Country_8!$C16="","",Country_8!F16)</f>
        <v/>
      </c>
      <c r="G715" s="17" t="str">
        <f>IF(Country_8!$C16="","",Country_8!G16)</f>
        <v/>
      </c>
      <c r="H715" s="17" t="str">
        <f>IF(Country_8!$C16="","",Country_8!H16)</f>
        <v/>
      </c>
      <c r="I715" s="16" t="str">
        <f>IF(Country_8!$C16="","",Country_8!I16)</f>
        <v/>
      </c>
      <c r="J715" s="16" t="str">
        <f>IF(Country_8!$C16="","",Country_8!J16)</f>
        <v/>
      </c>
      <c r="K715" s="18" t="str">
        <f>IF(Country_8!$C16="","",Country_8!K16)</f>
        <v/>
      </c>
      <c r="L715" s="18" t="str">
        <f>IF(Country_8!$C16="","",Country_8!L16)</f>
        <v/>
      </c>
      <c r="M715" s="19" t="str">
        <f>IF(Country_8!$C16="","",Country_8!M16)</f>
        <v/>
      </c>
      <c r="N715" s="16" t="str">
        <f>IF(Country_8!$C16="","",Country_8!N16)</f>
        <v/>
      </c>
      <c r="O715" s="16" t="str">
        <f>IF(Country_8!$C16="","",Country_8!O16)</f>
        <v/>
      </c>
      <c r="P715" s="16" t="str">
        <f>IF(Country_8!$C16="","",Country_8!P16)</f>
        <v/>
      </c>
      <c r="Q715" s="16" t="str">
        <f>IF(Country_8!$C16="","",Country_8!Q16)</f>
        <v/>
      </c>
    </row>
    <row r="716" spans="1:17" x14ac:dyDescent="0.25">
      <c r="A716" s="16" t="str">
        <f>IF(Country_8!$C17="","",Country_8!A17)</f>
        <v/>
      </c>
      <c r="B716" s="16" t="str">
        <f>IF(Country_8!$C17="","",Country_8!B17)</f>
        <v/>
      </c>
      <c r="C716" s="16" t="str">
        <f>IF(Country_8!$C17="","",Country_8!C17)</f>
        <v/>
      </c>
      <c r="D716" s="16" t="str">
        <f>IF(Country_8!$C17="","",Country_8!D17)</f>
        <v/>
      </c>
      <c r="E716" s="16" t="str">
        <f>IF(Country_8!$C17="","",Country_8!E17)</f>
        <v/>
      </c>
      <c r="F716" s="16" t="str">
        <f>IF(Country_8!$C17="","",Country_8!F17)</f>
        <v/>
      </c>
      <c r="G716" s="17" t="str">
        <f>IF(Country_8!$C17="","",Country_8!G17)</f>
        <v/>
      </c>
      <c r="H716" s="17" t="str">
        <f>IF(Country_8!$C17="","",Country_8!H17)</f>
        <v/>
      </c>
      <c r="I716" s="16" t="str">
        <f>IF(Country_8!$C17="","",Country_8!I17)</f>
        <v/>
      </c>
      <c r="J716" s="16" t="str">
        <f>IF(Country_8!$C17="","",Country_8!J17)</f>
        <v/>
      </c>
      <c r="K716" s="18" t="str">
        <f>IF(Country_8!$C17="","",Country_8!K17)</f>
        <v/>
      </c>
      <c r="L716" s="18" t="str">
        <f>IF(Country_8!$C17="","",Country_8!L17)</f>
        <v/>
      </c>
      <c r="M716" s="19" t="str">
        <f>IF(Country_8!$C17="","",Country_8!M17)</f>
        <v/>
      </c>
      <c r="N716" s="16" t="str">
        <f>IF(Country_8!$C17="","",Country_8!N17)</f>
        <v/>
      </c>
      <c r="O716" s="16" t="str">
        <f>IF(Country_8!$C17="","",Country_8!O17)</f>
        <v/>
      </c>
      <c r="P716" s="16" t="str">
        <f>IF(Country_8!$C17="","",Country_8!P17)</f>
        <v/>
      </c>
      <c r="Q716" s="16" t="str">
        <f>IF(Country_8!$C17="","",Country_8!Q17)</f>
        <v/>
      </c>
    </row>
    <row r="717" spans="1:17" x14ac:dyDescent="0.25">
      <c r="A717" s="16" t="str">
        <f>IF(Country_8!$C18="","",Country_8!A18)</f>
        <v/>
      </c>
      <c r="B717" s="16" t="str">
        <f>IF(Country_8!$C18="","",Country_8!B18)</f>
        <v/>
      </c>
      <c r="C717" s="16" t="str">
        <f>IF(Country_8!$C18="","",Country_8!C18)</f>
        <v/>
      </c>
      <c r="D717" s="16" t="str">
        <f>IF(Country_8!$C18="","",Country_8!D18)</f>
        <v/>
      </c>
      <c r="E717" s="16" t="str">
        <f>IF(Country_8!$C18="","",Country_8!E18)</f>
        <v/>
      </c>
      <c r="F717" s="16" t="str">
        <f>IF(Country_8!$C18="","",Country_8!F18)</f>
        <v/>
      </c>
      <c r="G717" s="17" t="str">
        <f>IF(Country_8!$C18="","",Country_8!G18)</f>
        <v/>
      </c>
      <c r="H717" s="17" t="str">
        <f>IF(Country_8!$C18="","",Country_8!H18)</f>
        <v/>
      </c>
      <c r="I717" s="16" t="str">
        <f>IF(Country_8!$C18="","",Country_8!I18)</f>
        <v/>
      </c>
      <c r="J717" s="16" t="str">
        <f>IF(Country_8!$C18="","",Country_8!J18)</f>
        <v/>
      </c>
      <c r="K717" s="18" t="str">
        <f>IF(Country_8!$C18="","",Country_8!K18)</f>
        <v/>
      </c>
      <c r="L717" s="18" t="str">
        <f>IF(Country_8!$C18="","",Country_8!L18)</f>
        <v/>
      </c>
      <c r="M717" s="19" t="str">
        <f>IF(Country_8!$C18="","",Country_8!M18)</f>
        <v/>
      </c>
      <c r="N717" s="16" t="str">
        <f>IF(Country_8!$C18="","",Country_8!N18)</f>
        <v/>
      </c>
      <c r="O717" s="16" t="str">
        <f>IF(Country_8!$C18="","",Country_8!O18)</f>
        <v/>
      </c>
      <c r="P717" s="16" t="str">
        <f>IF(Country_8!$C18="","",Country_8!P18)</f>
        <v/>
      </c>
      <c r="Q717" s="16" t="str">
        <f>IF(Country_8!$C18="","",Country_8!Q18)</f>
        <v/>
      </c>
    </row>
    <row r="718" spans="1:17" x14ac:dyDescent="0.25">
      <c r="A718" s="16" t="str">
        <f>IF(Country_8!$C19="","",Country_8!A19)</f>
        <v/>
      </c>
      <c r="B718" s="16" t="str">
        <f>IF(Country_8!$C19="","",Country_8!B19)</f>
        <v/>
      </c>
      <c r="C718" s="16" t="str">
        <f>IF(Country_8!$C19="","",Country_8!C19)</f>
        <v/>
      </c>
      <c r="D718" s="16" t="str">
        <f>IF(Country_8!$C19="","",Country_8!D19)</f>
        <v/>
      </c>
      <c r="E718" s="16" t="str">
        <f>IF(Country_8!$C19="","",Country_8!E19)</f>
        <v/>
      </c>
      <c r="F718" s="16" t="str">
        <f>IF(Country_8!$C19="","",Country_8!F19)</f>
        <v/>
      </c>
      <c r="G718" s="17" t="str">
        <f>IF(Country_8!$C19="","",Country_8!G19)</f>
        <v/>
      </c>
      <c r="H718" s="17" t="str">
        <f>IF(Country_8!$C19="","",Country_8!H19)</f>
        <v/>
      </c>
      <c r="I718" s="16" t="str">
        <f>IF(Country_8!$C19="","",Country_8!I19)</f>
        <v/>
      </c>
      <c r="J718" s="16" t="str">
        <f>IF(Country_8!$C19="","",Country_8!J19)</f>
        <v/>
      </c>
      <c r="K718" s="18" t="str">
        <f>IF(Country_8!$C19="","",Country_8!K19)</f>
        <v/>
      </c>
      <c r="L718" s="18" t="str">
        <f>IF(Country_8!$C19="","",Country_8!L19)</f>
        <v/>
      </c>
      <c r="M718" s="19" t="str">
        <f>IF(Country_8!$C19="","",Country_8!M19)</f>
        <v/>
      </c>
      <c r="N718" s="16" t="str">
        <f>IF(Country_8!$C19="","",Country_8!N19)</f>
        <v/>
      </c>
      <c r="O718" s="16" t="str">
        <f>IF(Country_8!$C19="","",Country_8!O19)</f>
        <v/>
      </c>
      <c r="P718" s="16" t="str">
        <f>IF(Country_8!$C19="","",Country_8!P19)</f>
        <v/>
      </c>
      <c r="Q718" s="16" t="str">
        <f>IF(Country_8!$C19="","",Country_8!Q19)</f>
        <v/>
      </c>
    </row>
    <row r="719" spans="1:17" x14ac:dyDescent="0.25">
      <c r="A719" s="16" t="str">
        <f>IF(Country_8!$C20="","",Country_8!A20)</f>
        <v/>
      </c>
      <c r="B719" s="16" t="str">
        <f>IF(Country_8!$C20="","",Country_8!B20)</f>
        <v/>
      </c>
      <c r="C719" s="16" t="str">
        <f>IF(Country_8!$C20="","",Country_8!C20)</f>
        <v/>
      </c>
      <c r="D719" s="16" t="str">
        <f>IF(Country_8!$C20="","",Country_8!D20)</f>
        <v/>
      </c>
      <c r="E719" s="16" t="str">
        <f>IF(Country_8!$C20="","",Country_8!E20)</f>
        <v/>
      </c>
      <c r="F719" s="16" t="str">
        <f>IF(Country_8!$C20="","",Country_8!F20)</f>
        <v/>
      </c>
      <c r="G719" s="17" t="str">
        <f>IF(Country_8!$C20="","",Country_8!G20)</f>
        <v/>
      </c>
      <c r="H719" s="17" t="str">
        <f>IF(Country_8!$C20="","",Country_8!H20)</f>
        <v/>
      </c>
      <c r="I719" s="16" t="str">
        <f>IF(Country_8!$C20="","",Country_8!I20)</f>
        <v/>
      </c>
      <c r="J719" s="16" t="str">
        <f>IF(Country_8!$C20="","",Country_8!J20)</f>
        <v/>
      </c>
      <c r="K719" s="18" t="str">
        <f>IF(Country_8!$C20="","",Country_8!K20)</f>
        <v/>
      </c>
      <c r="L719" s="18" t="str">
        <f>IF(Country_8!$C20="","",Country_8!L20)</f>
        <v/>
      </c>
      <c r="M719" s="19" t="str">
        <f>IF(Country_8!$C20="","",Country_8!M20)</f>
        <v/>
      </c>
      <c r="N719" s="16" t="str">
        <f>IF(Country_8!$C20="","",Country_8!N20)</f>
        <v/>
      </c>
      <c r="O719" s="16" t="str">
        <f>IF(Country_8!$C20="","",Country_8!O20)</f>
        <v/>
      </c>
      <c r="P719" s="16" t="str">
        <f>IF(Country_8!$C20="","",Country_8!P20)</f>
        <v/>
      </c>
      <c r="Q719" s="16" t="str">
        <f>IF(Country_8!$C20="","",Country_8!Q20)</f>
        <v/>
      </c>
    </row>
    <row r="720" spans="1:17" x14ac:dyDescent="0.25">
      <c r="A720" s="16" t="str">
        <f>IF(Country_8!$C21="","",Country_8!A21)</f>
        <v/>
      </c>
      <c r="B720" s="16" t="str">
        <f>IF(Country_8!$C21="","",Country_8!B21)</f>
        <v/>
      </c>
      <c r="C720" s="16" t="str">
        <f>IF(Country_8!$C21="","",Country_8!C21)</f>
        <v/>
      </c>
      <c r="D720" s="16" t="str">
        <f>IF(Country_8!$C21="","",Country_8!D21)</f>
        <v/>
      </c>
      <c r="E720" s="16" t="str">
        <f>IF(Country_8!$C21="","",Country_8!E21)</f>
        <v/>
      </c>
      <c r="F720" s="16" t="str">
        <f>IF(Country_8!$C21="","",Country_8!F21)</f>
        <v/>
      </c>
      <c r="G720" s="17" t="str">
        <f>IF(Country_8!$C21="","",Country_8!G21)</f>
        <v/>
      </c>
      <c r="H720" s="17" t="str">
        <f>IF(Country_8!$C21="","",Country_8!H21)</f>
        <v/>
      </c>
      <c r="I720" s="16" t="str">
        <f>IF(Country_8!$C21="","",Country_8!I21)</f>
        <v/>
      </c>
      <c r="J720" s="16" t="str">
        <f>IF(Country_8!$C21="","",Country_8!J21)</f>
        <v/>
      </c>
      <c r="K720" s="18" t="str">
        <f>IF(Country_8!$C21="","",Country_8!K21)</f>
        <v/>
      </c>
      <c r="L720" s="18" t="str">
        <f>IF(Country_8!$C21="","",Country_8!L21)</f>
        <v/>
      </c>
      <c r="M720" s="19" t="str">
        <f>IF(Country_8!$C21="","",Country_8!M21)</f>
        <v/>
      </c>
      <c r="N720" s="16" t="str">
        <f>IF(Country_8!$C21="","",Country_8!N21)</f>
        <v/>
      </c>
      <c r="O720" s="16" t="str">
        <f>IF(Country_8!$C21="","",Country_8!O21)</f>
        <v/>
      </c>
      <c r="P720" s="16" t="str">
        <f>IF(Country_8!$C21="","",Country_8!P21)</f>
        <v/>
      </c>
      <c r="Q720" s="16" t="str">
        <f>IF(Country_8!$C21="","",Country_8!Q21)</f>
        <v/>
      </c>
    </row>
    <row r="721" spans="1:17" x14ac:dyDescent="0.25">
      <c r="A721" s="16" t="str">
        <f>IF(Country_8!$C22="","",Country_8!A22)</f>
        <v/>
      </c>
      <c r="B721" s="16" t="str">
        <f>IF(Country_8!$C22="","",Country_8!B22)</f>
        <v/>
      </c>
      <c r="C721" s="16" t="str">
        <f>IF(Country_8!$C22="","",Country_8!C22)</f>
        <v/>
      </c>
      <c r="D721" s="16" t="str">
        <f>IF(Country_8!$C22="","",Country_8!D22)</f>
        <v/>
      </c>
      <c r="E721" s="16" t="str">
        <f>IF(Country_8!$C22="","",Country_8!E22)</f>
        <v/>
      </c>
      <c r="F721" s="16" t="str">
        <f>IF(Country_8!$C22="","",Country_8!F22)</f>
        <v/>
      </c>
      <c r="G721" s="17" t="str">
        <f>IF(Country_8!$C22="","",Country_8!G22)</f>
        <v/>
      </c>
      <c r="H721" s="17" t="str">
        <f>IF(Country_8!$C22="","",Country_8!H22)</f>
        <v/>
      </c>
      <c r="I721" s="16" t="str">
        <f>IF(Country_8!$C22="","",Country_8!I22)</f>
        <v/>
      </c>
      <c r="J721" s="16" t="str">
        <f>IF(Country_8!$C22="","",Country_8!J22)</f>
        <v/>
      </c>
      <c r="K721" s="18" t="str">
        <f>IF(Country_8!$C22="","",Country_8!K22)</f>
        <v/>
      </c>
      <c r="L721" s="18" t="str">
        <f>IF(Country_8!$C22="","",Country_8!L22)</f>
        <v/>
      </c>
      <c r="M721" s="19" t="str">
        <f>IF(Country_8!$C22="","",Country_8!M22)</f>
        <v/>
      </c>
      <c r="N721" s="16" t="str">
        <f>IF(Country_8!$C22="","",Country_8!N22)</f>
        <v/>
      </c>
      <c r="O721" s="16" t="str">
        <f>IF(Country_8!$C22="","",Country_8!O22)</f>
        <v/>
      </c>
      <c r="P721" s="16" t="str">
        <f>IF(Country_8!$C22="","",Country_8!P22)</f>
        <v/>
      </c>
      <c r="Q721" s="16" t="str">
        <f>IF(Country_8!$C22="","",Country_8!Q22)</f>
        <v/>
      </c>
    </row>
    <row r="722" spans="1:17" x14ac:dyDescent="0.25">
      <c r="A722" s="16" t="str">
        <f>IF(Country_8!$C23="","",Country_8!A23)</f>
        <v/>
      </c>
      <c r="B722" s="16" t="str">
        <f>IF(Country_8!$C23="","",Country_8!B23)</f>
        <v/>
      </c>
      <c r="C722" s="16" t="str">
        <f>IF(Country_8!$C23="","",Country_8!C23)</f>
        <v/>
      </c>
      <c r="D722" s="16" t="str">
        <f>IF(Country_8!$C23="","",Country_8!D23)</f>
        <v/>
      </c>
      <c r="E722" s="16" t="str">
        <f>IF(Country_8!$C23="","",Country_8!E23)</f>
        <v/>
      </c>
      <c r="F722" s="16" t="str">
        <f>IF(Country_8!$C23="","",Country_8!F23)</f>
        <v/>
      </c>
      <c r="G722" s="17" t="str">
        <f>IF(Country_8!$C23="","",Country_8!G23)</f>
        <v/>
      </c>
      <c r="H722" s="17" t="str">
        <f>IF(Country_8!$C23="","",Country_8!H23)</f>
        <v/>
      </c>
      <c r="I722" s="16" t="str">
        <f>IF(Country_8!$C23="","",Country_8!I23)</f>
        <v/>
      </c>
      <c r="J722" s="16" t="str">
        <f>IF(Country_8!$C23="","",Country_8!J23)</f>
        <v/>
      </c>
      <c r="K722" s="18" t="str">
        <f>IF(Country_8!$C23="","",Country_8!K23)</f>
        <v/>
      </c>
      <c r="L722" s="18" t="str">
        <f>IF(Country_8!$C23="","",Country_8!L23)</f>
        <v/>
      </c>
      <c r="M722" s="19" t="str">
        <f>IF(Country_8!$C23="","",Country_8!M23)</f>
        <v/>
      </c>
      <c r="N722" s="16" t="str">
        <f>IF(Country_8!$C23="","",Country_8!N23)</f>
        <v/>
      </c>
      <c r="O722" s="16" t="str">
        <f>IF(Country_8!$C23="","",Country_8!O23)</f>
        <v/>
      </c>
      <c r="P722" s="16" t="str">
        <f>IF(Country_8!$C23="","",Country_8!P23)</f>
        <v/>
      </c>
      <c r="Q722" s="16" t="str">
        <f>IF(Country_8!$C23="","",Country_8!Q23)</f>
        <v/>
      </c>
    </row>
    <row r="723" spans="1:17" x14ac:dyDescent="0.25">
      <c r="A723" s="16" t="str">
        <f>IF(Country_8!$C24="","",Country_8!A24)</f>
        <v/>
      </c>
      <c r="B723" s="16" t="str">
        <f>IF(Country_8!$C24="","",Country_8!B24)</f>
        <v/>
      </c>
      <c r="C723" s="16" t="str">
        <f>IF(Country_8!$C24="","",Country_8!C24)</f>
        <v/>
      </c>
      <c r="D723" s="16" t="str">
        <f>IF(Country_8!$C24="","",Country_8!D24)</f>
        <v/>
      </c>
      <c r="E723" s="16" t="str">
        <f>IF(Country_8!$C24="","",Country_8!E24)</f>
        <v/>
      </c>
      <c r="F723" s="16" t="str">
        <f>IF(Country_8!$C24="","",Country_8!F24)</f>
        <v/>
      </c>
      <c r="G723" s="17" t="str">
        <f>IF(Country_8!$C24="","",Country_8!G24)</f>
        <v/>
      </c>
      <c r="H723" s="17" t="str">
        <f>IF(Country_8!$C24="","",Country_8!H24)</f>
        <v/>
      </c>
      <c r="I723" s="16" t="str">
        <f>IF(Country_8!$C24="","",Country_8!I24)</f>
        <v/>
      </c>
      <c r="J723" s="16" t="str">
        <f>IF(Country_8!$C24="","",Country_8!J24)</f>
        <v/>
      </c>
      <c r="K723" s="18" t="str">
        <f>IF(Country_8!$C24="","",Country_8!K24)</f>
        <v/>
      </c>
      <c r="L723" s="18" t="str">
        <f>IF(Country_8!$C24="","",Country_8!L24)</f>
        <v/>
      </c>
      <c r="M723" s="19" t="str">
        <f>IF(Country_8!$C24="","",Country_8!M24)</f>
        <v/>
      </c>
      <c r="N723" s="16" t="str">
        <f>IF(Country_8!$C24="","",Country_8!N24)</f>
        <v/>
      </c>
      <c r="O723" s="16" t="str">
        <f>IF(Country_8!$C24="","",Country_8!O24)</f>
        <v/>
      </c>
      <c r="P723" s="16" t="str">
        <f>IF(Country_8!$C24="","",Country_8!P24)</f>
        <v/>
      </c>
      <c r="Q723" s="16" t="str">
        <f>IF(Country_8!$C24="","",Country_8!Q24)</f>
        <v/>
      </c>
    </row>
    <row r="724" spans="1:17" x14ac:dyDescent="0.25">
      <c r="A724" s="16" t="str">
        <f>IF(Country_8!$C25="","",Country_8!A25)</f>
        <v/>
      </c>
      <c r="B724" s="16" t="str">
        <f>IF(Country_8!$C25="","",Country_8!B25)</f>
        <v/>
      </c>
      <c r="C724" s="16" t="str">
        <f>IF(Country_8!$C25="","",Country_8!C25)</f>
        <v/>
      </c>
      <c r="D724" s="16" t="str">
        <f>IF(Country_8!$C25="","",Country_8!D25)</f>
        <v/>
      </c>
      <c r="E724" s="16" t="str">
        <f>IF(Country_8!$C25="","",Country_8!E25)</f>
        <v/>
      </c>
      <c r="F724" s="16" t="str">
        <f>IF(Country_8!$C25="","",Country_8!F25)</f>
        <v/>
      </c>
      <c r="G724" s="17" t="str">
        <f>IF(Country_8!$C25="","",Country_8!G25)</f>
        <v/>
      </c>
      <c r="H724" s="17" t="str">
        <f>IF(Country_8!$C25="","",Country_8!H25)</f>
        <v/>
      </c>
      <c r="I724" s="16" t="str">
        <f>IF(Country_8!$C25="","",Country_8!I25)</f>
        <v/>
      </c>
      <c r="J724" s="16" t="str">
        <f>IF(Country_8!$C25="","",Country_8!J25)</f>
        <v/>
      </c>
      <c r="K724" s="18" t="str">
        <f>IF(Country_8!$C25="","",Country_8!K25)</f>
        <v/>
      </c>
      <c r="L724" s="18" t="str">
        <f>IF(Country_8!$C25="","",Country_8!L25)</f>
        <v/>
      </c>
      <c r="M724" s="19" t="str">
        <f>IF(Country_8!$C25="","",Country_8!M25)</f>
        <v/>
      </c>
      <c r="N724" s="16" t="str">
        <f>IF(Country_8!$C25="","",Country_8!N25)</f>
        <v/>
      </c>
      <c r="O724" s="16" t="str">
        <f>IF(Country_8!$C25="","",Country_8!O25)</f>
        <v/>
      </c>
      <c r="P724" s="16" t="str">
        <f>IF(Country_8!$C25="","",Country_8!P25)</f>
        <v/>
      </c>
      <c r="Q724" s="16" t="str">
        <f>IF(Country_8!$C25="","",Country_8!Q25)</f>
        <v/>
      </c>
    </row>
    <row r="725" spans="1:17" x14ac:dyDescent="0.25">
      <c r="A725" s="16" t="str">
        <f>IF(Country_8!$C26="","",Country_8!A26)</f>
        <v/>
      </c>
      <c r="B725" s="16" t="str">
        <f>IF(Country_8!$C26="","",Country_8!B26)</f>
        <v/>
      </c>
      <c r="C725" s="16" t="str">
        <f>IF(Country_8!$C26="","",Country_8!C26)</f>
        <v/>
      </c>
      <c r="D725" s="16" t="str">
        <f>IF(Country_8!$C26="","",Country_8!D26)</f>
        <v/>
      </c>
      <c r="E725" s="16" t="str">
        <f>IF(Country_8!$C26="","",Country_8!E26)</f>
        <v/>
      </c>
      <c r="F725" s="16" t="str">
        <f>IF(Country_8!$C26="","",Country_8!F26)</f>
        <v/>
      </c>
      <c r="G725" s="17" t="str">
        <f>IF(Country_8!$C26="","",Country_8!G26)</f>
        <v/>
      </c>
      <c r="H725" s="17" t="str">
        <f>IF(Country_8!$C26="","",Country_8!H26)</f>
        <v/>
      </c>
      <c r="I725" s="16" t="str">
        <f>IF(Country_8!$C26="","",Country_8!I26)</f>
        <v/>
      </c>
      <c r="J725" s="16" t="str">
        <f>IF(Country_8!$C26="","",Country_8!J26)</f>
        <v/>
      </c>
      <c r="K725" s="18" t="str">
        <f>IF(Country_8!$C26="","",Country_8!K26)</f>
        <v/>
      </c>
      <c r="L725" s="18" t="str">
        <f>IF(Country_8!$C26="","",Country_8!L26)</f>
        <v/>
      </c>
      <c r="M725" s="19" t="str">
        <f>IF(Country_8!$C26="","",Country_8!M26)</f>
        <v/>
      </c>
      <c r="N725" s="16" t="str">
        <f>IF(Country_8!$C26="","",Country_8!N26)</f>
        <v/>
      </c>
      <c r="O725" s="16" t="str">
        <f>IF(Country_8!$C26="","",Country_8!O26)</f>
        <v/>
      </c>
      <c r="P725" s="16" t="str">
        <f>IF(Country_8!$C26="","",Country_8!P26)</f>
        <v/>
      </c>
      <c r="Q725" s="16" t="str">
        <f>IF(Country_8!$C26="","",Country_8!Q26)</f>
        <v/>
      </c>
    </row>
    <row r="726" spans="1:17" x14ac:dyDescent="0.25">
      <c r="A726" s="16" t="str">
        <f>IF(Country_8!$C27="","",Country_8!A27)</f>
        <v/>
      </c>
      <c r="B726" s="16" t="str">
        <f>IF(Country_8!$C27="","",Country_8!B27)</f>
        <v/>
      </c>
      <c r="C726" s="16" t="str">
        <f>IF(Country_8!$C27="","",Country_8!C27)</f>
        <v/>
      </c>
      <c r="D726" s="16" t="str">
        <f>IF(Country_8!$C27="","",Country_8!D27)</f>
        <v/>
      </c>
      <c r="E726" s="16" t="str">
        <f>IF(Country_8!$C27="","",Country_8!E27)</f>
        <v/>
      </c>
      <c r="F726" s="16" t="str">
        <f>IF(Country_8!$C27="","",Country_8!F27)</f>
        <v/>
      </c>
      <c r="G726" s="17" t="str">
        <f>IF(Country_8!$C27="","",Country_8!G27)</f>
        <v/>
      </c>
      <c r="H726" s="17" t="str">
        <f>IF(Country_8!$C27="","",Country_8!H27)</f>
        <v/>
      </c>
      <c r="I726" s="16" t="str">
        <f>IF(Country_8!$C27="","",Country_8!I27)</f>
        <v/>
      </c>
      <c r="J726" s="16" t="str">
        <f>IF(Country_8!$C27="","",Country_8!J27)</f>
        <v/>
      </c>
      <c r="K726" s="18" t="str">
        <f>IF(Country_8!$C27="","",Country_8!K27)</f>
        <v/>
      </c>
      <c r="L726" s="18" t="str">
        <f>IF(Country_8!$C27="","",Country_8!L27)</f>
        <v/>
      </c>
      <c r="M726" s="19" t="str">
        <f>IF(Country_8!$C27="","",Country_8!M27)</f>
        <v/>
      </c>
      <c r="N726" s="16" t="str">
        <f>IF(Country_8!$C27="","",Country_8!N27)</f>
        <v/>
      </c>
      <c r="O726" s="16" t="str">
        <f>IF(Country_8!$C27="","",Country_8!O27)</f>
        <v/>
      </c>
      <c r="P726" s="16" t="str">
        <f>IF(Country_8!$C27="","",Country_8!P27)</f>
        <v/>
      </c>
      <c r="Q726" s="16" t="str">
        <f>IF(Country_8!$C27="","",Country_8!Q27)</f>
        <v/>
      </c>
    </row>
    <row r="727" spans="1:17" x14ac:dyDescent="0.25">
      <c r="A727" s="16" t="str">
        <f>IF(Country_8!$C28="","",Country_8!A28)</f>
        <v/>
      </c>
      <c r="B727" s="16" t="str">
        <f>IF(Country_8!$C28="","",Country_8!B28)</f>
        <v/>
      </c>
      <c r="C727" s="16" t="str">
        <f>IF(Country_8!$C28="","",Country_8!C28)</f>
        <v/>
      </c>
      <c r="D727" s="16" t="str">
        <f>IF(Country_8!$C28="","",Country_8!D28)</f>
        <v/>
      </c>
      <c r="E727" s="16" t="str">
        <f>IF(Country_8!$C28="","",Country_8!E28)</f>
        <v/>
      </c>
      <c r="F727" s="16" t="str">
        <f>IF(Country_8!$C28="","",Country_8!F28)</f>
        <v/>
      </c>
      <c r="G727" s="17" t="str">
        <f>IF(Country_8!$C28="","",Country_8!G28)</f>
        <v/>
      </c>
      <c r="H727" s="17" t="str">
        <f>IF(Country_8!$C28="","",Country_8!H28)</f>
        <v/>
      </c>
      <c r="I727" s="16" t="str">
        <f>IF(Country_8!$C28="","",Country_8!I28)</f>
        <v/>
      </c>
      <c r="J727" s="16" t="str">
        <f>IF(Country_8!$C28="","",Country_8!J28)</f>
        <v/>
      </c>
      <c r="K727" s="18" t="str">
        <f>IF(Country_8!$C28="","",Country_8!K28)</f>
        <v/>
      </c>
      <c r="L727" s="18" t="str">
        <f>IF(Country_8!$C28="","",Country_8!L28)</f>
        <v/>
      </c>
      <c r="M727" s="19" t="str">
        <f>IF(Country_8!$C28="","",Country_8!M28)</f>
        <v/>
      </c>
      <c r="N727" s="16" t="str">
        <f>IF(Country_8!$C28="","",Country_8!N28)</f>
        <v/>
      </c>
      <c r="O727" s="16" t="str">
        <f>IF(Country_8!$C28="","",Country_8!O28)</f>
        <v/>
      </c>
      <c r="P727" s="16" t="str">
        <f>IF(Country_8!$C28="","",Country_8!P28)</f>
        <v/>
      </c>
      <c r="Q727" s="16" t="str">
        <f>IF(Country_8!$C28="","",Country_8!Q28)</f>
        <v/>
      </c>
    </row>
    <row r="728" spans="1:17" x14ac:dyDescent="0.25">
      <c r="A728" s="16" t="str">
        <f>IF(Country_8!$C29="","",Country_8!A29)</f>
        <v/>
      </c>
      <c r="B728" s="16" t="str">
        <f>IF(Country_8!$C29="","",Country_8!B29)</f>
        <v/>
      </c>
      <c r="C728" s="16" t="str">
        <f>IF(Country_8!$C29="","",Country_8!C29)</f>
        <v/>
      </c>
      <c r="D728" s="16" t="str">
        <f>IF(Country_8!$C29="","",Country_8!D29)</f>
        <v/>
      </c>
      <c r="E728" s="16" t="str">
        <f>IF(Country_8!$C29="","",Country_8!E29)</f>
        <v/>
      </c>
      <c r="F728" s="16" t="str">
        <f>IF(Country_8!$C29="","",Country_8!F29)</f>
        <v/>
      </c>
      <c r="G728" s="17" t="str">
        <f>IF(Country_8!$C29="","",Country_8!G29)</f>
        <v/>
      </c>
      <c r="H728" s="17" t="str">
        <f>IF(Country_8!$C29="","",Country_8!H29)</f>
        <v/>
      </c>
      <c r="I728" s="16" t="str">
        <f>IF(Country_8!$C29="","",Country_8!I29)</f>
        <v/>
      </c>
      <c r="J728" s="16" t="str">
        <f>IF(Country_8!$C29="","",Country_8!J29)</f>
        <v/>
      </c>
      <c r="K728" s="18" t="str">
        <f>IF(Country_8!$C29="","",Country_8!K29)</f>
        <v/>
      </c>
      <c r="L728" s="18" t="str">
        <f>IF(Country_8!$C29="","",Country_8!L29)</f>
        <v/>
      </c>
      <c r="M728" s="19" t="str">
        <f>IF(Country_8!$C29="","",Country_8!M29)</f>
        <v/>
      </c>
      <c r="N728" s="16" t="str">
        <f>IF(Country_8!$C29="","",Country_8!N29)</f>
        <v/>
      </c>
      <c r="O728" s="16" t="str">
        <f>IF(Country_8!$C29="","",Country_8!O29)</f>
        <v/>
      </c>
      <c r="P728" s="16" t="str">
        <f>IF(Country_8!$C29="","",Country_8!P29)</f>
        <v/>
      </c>
      <c r="Q728" s="16" t="str">
        <f>IF(Country_8!$C29="","",Country_8!Q29)</f>
        <v/>
      </c>
    </row>
    <row r="729" spans="1:17" x14ac:dyDescent="0.25">
      <c r="A729" s="16" t="str">
        <f>IF(Country_8!$C30="","",Country_8!A30)</f>
        <v/>
      </c>
      <c r="B729" s="16" t="str">
        <f>IF(Country_8!$C30="","",Country_8!B30)</f>
        <v/>
      </c>
      <c r="C729" s="16" t="str">
        <f>IF(Country_8!$C30="","",Country_8!C30)</f>
        <v/>
      </c>
      <c r="D729" s="16" t="str">
        <f>IF(Country_8!$C30="","",Country_8!D30)</f>
        <v/>
      </c>
      <c r="E729" s="16" t="str">
        <f>IF(Country_8!$C30="","",Country_8!E30)</f>
        <v/>
      </c>
      <c r="F729" s="16" t="str">
        <f>IF(Country_8!$C30="","",Country_8!F30)</f>
        <v/>
      </c>
      <c r="G729" s="17" t="str">
        <f>IF(Country_8!$C30="","",Country_8!G30)</f>
        <v/>
      </c>
      <c r="H729" s="17" t="str">
        <f>IF(Country_8!$C30="","",Country_8!H30)</f>
        <v/>
      </c>
      <c r="I729" s="16" t="str">
        <f>IF(Country_8!$C30="","",Country_8!I30)</f>
        <v/>
      </c>
      <c r="J729" s="16" t="str">
        <f>IF(Country_8!$C30="","",Country_8!J30)</f>
        <v/>
      </c>
      <c r="K729" s="18" t="str">
        <f>IF(Country_8!$C30="","",Country_8!K30)</f>
        <v/>
      </c>
      <c r="L729" s="18" t="str">
        <f>IF(Country_8!$C30="","",Country_8!L30)</f>
        <v/>
      </c>
      <c r="M729" s="19" t="str">
        <f>IF(Country_8!$C30="","",Country_8!M30)</f>
        <v/>
      </c>
      <c r="N729" s="16" t="str">
        <f>IF(Country_8!$C30="","",Country_8!N30)</f>
        <v/>
      </c>
      <c r="O729" s="16" t="str">
        <f>IF(Country_8!$C30="","",Country_8!O30)</f>
        <v/>
      </c>
      <c r="P729" s="16" t="str">
        <f>IF(Country_8!$C30="","",Country_8!P30)</f>
        <v/>
      </c>
      <c r="Q729" s="16" t="str">
        <f>IF(Country_8!$C30="","",Country_8!Q30)</f>
        <v/>
      </c>
    </row>
    <row r="730" spans="1:17" x14ac:dyDescent="0.25">
      <c r="A730" s="16" t="str">
        <f>IF(Country_8!$C31="","",Country_8!A31)</f>
        <v/>
      </c>
      <c r="B730" s="16" t="str">
        <f>IF(Country_8!$C31="","",Country_8!B31)</f>
        <v/>
      </c>
      <c r="C730" s="16" t="str">
        <f>IF(Country_8!$C31="","",Country_8!C31)</f>
        <v/>
      </c>
      <c r="D730" s="16" t="str">
        <f>IF(Country_8!$C31="","",Country_8!D31)</f>
        <v/>
      </c>
      <c r="E730" s="16" t="str">
        <f>IF(Country_8!$C31="","",Country_8!E31)</f>
        <v/>
      </c>
      <c r="F730" s="16" t="str">
        <f>IF(Country_8!$C31="","",Country_8!F31)</f>
        <v/>
      </c>
      <c r="G730" s="17" t="str">
        <f>IF(Country_8!$C31="","",Country_8!G31)</f>
        <v/>
      </c>
      <c r="H730" s="17" t="str">
        <f>IF(Country_8!$C31="","",Country_8!H31)</f>
        <v/>
      </c>
      <c r="I730" s="16" t="str">
        <f>IF(Country_8!$C31="","",Country_8!I31)</f>
        <v/>
      </c>
      <c r="J730" s="16" t="str">
        <f>IF(Country_8!$C31="","",Country_8!J31)</f>
        <v/>
      </c>
      <c r="K730" s="18" t="str">
        <f>IF(Country_8!$C31="","",Country_8!K31)</f>
        <v/>
      </c>
      <c r="L730" s="18" t="str">
        <f>IF(Country_8!$C31="","",Country_8!L31)</f>
        <v/>
      </c>
      <c r="M730" s="19" t="str">
        <f>IF(Country_8!$C31="","",Country_8!M31)</f>
        <v/>
      </c>
      <c r="N730" s="16" t="str">
        <f>IF(Country_8!$C31="","",Country_8!N31)</f>
        <v/>
      </c>
      <c r="O730" s="16" t="str">
        <f>IF(Country_8!$C31="","",Country_8!O31)</f>
        <v/>
      </c>
      <c r="P730" s="16" t="str">
        <f>IF(Country_8!$C31="","",Country_8!P31)</f>
        <v/>
      </c>
      <c r="Q730" s="16" t="str">
        <f>IF(Country_8!$C31="","",Country_8!Q31)</f>
        <v/>
      </c>
    </row>
    <row r="731" spans="1:17" x14ac:dyDescent="0.25">
      <c r="A731" s="16" t="str">
        <f>IF(Country_8!$C32="","",Country_8!A32)</f>
        <v/>
      </c>
      <c r="B731" s="16" t="str">
        <f>IF(Country_8!$C32="","",Country_8!B32)</f>
        <v/>
      </c>
      <c r="C731" s="16" t="str">
        <f>IF(Country_8!$C32="","",Country_8!C32)</f>
        <v/>
      </c>
      <c r="D731" s="16" t="str">
        <f>IF(Country_8!$C32="","",Country_8!D32)</f>
        <v/>
      </c>
      <c r="E731" s="16" t="str">
        <f>IF(Country_8!$C32="","",Country_8!E32)</f>
        <v/>
      </c>
      <c r="F731" s="16" t="str">
        <f>IF(Country_8!$C32="","",Country_8!F32)</f>
        <v/>
      </c>
      <c r="G731" s="17" t="str">
        <f>IF(Country_8!$C32="","",Country_8!G32)</f>
        <v/>
      </c>
      <c r="H731" s="17" t="str">
        <f>IF(Country_8!$C32="","",Country_8!H32)</f>
        <v/>
      </c>
      <c r="I731" s="16" t="str">
        <f>IF(Country_8!$C32="","",Country_8!I32)</f>
        <v/>
      </c>
      <c r="J731" s="16" t="str">
        <f>IF(Country_8!$C32="","",Country_8!J32)</f>
        <v/>
      </c>
      <c r="K731" s="18" t="str">
        <f>IF(Country_8!$C32="","",Country_8!K32)</f>
        <v/>
      </c>
      <c r="L731" s="18" t="str">
        <f>IF(Country_8!$C32="","",Country_8!L32)</f>
        <v/>
      </c>
      <c r="M731" s="19" t="str">
        <f>IF(Country_8!$C32="","",Country_8!M32)</f>
        <v/>
      </c>
      <c r="N731" s="16" t="str">
        <f>IF(Country_8!$C32="","",Country_8!N32)</f>
        <v/>
      </c>
      <c r="O731" s="16" t="str">
        <f>IF(Country_8!$C32="","",Country_8!O32)</f>
        <v/>
      </c>
      <c r="P731" s="16" t="str">
        <f>IF(Country_8!$C32="","",Country_8!P32)</f>
        <v/>
      </c>
      <c r="Q731" s="16" t="str">
        <f>IF(Country_8!$C32="","",Country_8!Q32)</f>
        <v/>
      </c>
    </row>
    <row r="732" spans="1:17" x14ac:dyDescent="0.25">
      <c r="A732" s="16" t="str">
        <f>IF(Country_8!$C33="","",Country_8!A33)</f>
        <v/>
      </c>
      <c r="B732" s="16" t="str">
        <f>IF(Country_8!$C33="","",Country_8!B33)</f>
        <v/>
      </c>
      <c r="C732" s="16" t="str">
        <f>IF(Country_8!$C33="","",Country_8!C33)</f>
        <v/>
      </c>
      <c r="D732" s="16" t="str">
        <f>IF(Country_8!$C33="","",Country_8!D33)</f>
        <v/>
      </c>
      <c r="E732" s="16" t="str">
        <f>IF(Country_8!$C33="","",Country_8!E33)</f>
        <v/>
      </c>
      <c r="F732" s="16" t="str">
        <f>IF(Country_8!$C33="","",Country_8!F33)</f>
        <v/>
      </c>
      <c r="G732" s="17" t="str">
        <f>IF(Country_8!$C33="","",Country_8!G33)</f>
        <v/>
      </c>
      <c r="H732" s="17" t="str">
        <f>IF(Country_8!$C33="","",Country_8!H33)</f>
        <v/>
      </c>
      <c r="I732" s="16" t="str">
        <f>IF(Country_8!$C33="","",Country_8!I33)</f>
        <v/>
      </c>
      <c r="J732" s="16" t="str">
        <f>IF(Country_8!$C33="","",Country_8!J33)</f>
        <v/>
      </c>
      <c r="K732" s="18" t="str">
        <f>IF(Country_8!$C33="","",Country_8!K33)</f>
        <v/>
      </c>
      <c r="L732" s="18" t="str">
        <f>IF(Country_8!$C33="","",Country_8!L33)</f>
        <v/>
      </c>
      <c r="M732" s="19" t="str">
        <f>IF(Country_8!$C33="","",Country_8!M33)</f>
        <v/>
      </c>
      <c r="N732" s="16" t="str">
        <f>IF(Country_8!$C33="","",Country_8!N33)</f>
        <v/>
      </c>
      <c r="O732" s="16" t="str">
        <f>IF(Country_8!$C33="","",Country_8!O33)</f>
        <v/>
      </c>
      <c r="P732" s="16" t="str">
        <f>IF(Country_8!$C33="","",Country_8!P33)</f>
        <v/>
      </c>
      <c r="Q732" s="16" t="str">
        <f>IF(Country_8!$C33="","",Country_8!Q33)</f>
        <v/>
      </c>
    </row>
    <row r="733" spans="1:17" x14ac:dyDescent="0.25">
      <c r="A733" s="16" t="str">
        <f>IF(Country_8!$C34="","",Country_8!A34)</f>
        <v/>
      </c>
      <c r="B733" s="16" t="str">
        <f>IF(Country_8!$C34="","",Country_8!B34)</f>
        <v/>
      </c>
      <c r="C733" s="16" t="str">
        <f>IF(Country_8!$C34="","",Country_8!C34)</f>
        <v/>
      </c>
      <c r="D733" s="16" t="str">
        <f>IF(Country_8!$C34="","",Country_8!D34)</f>
        <v/>
      </c>
      <c r="E733" s="16" t="str">
        <f>IF(Country_8!$C34="","",Country_8!E34)</f>
        <v/>
      </c>
      <c r="F733" s="16" t="str">
        <f>IF(Country_8!$C34="","",Country_8!F34)</f>
        <v/>
      </c>
      <c r="G733" s="17" t="str">
        <f>IF(Country_8!$C34="","",Country_8!G34)</f>
        <v/>
      </c>
      <c r="H733" s="17" t="str">
        <f>IF(Country_8!$C34="","",Country_8!H34)</f>
        <v/>
      </c>
      <c r="I733" s="16" t="str">
        <f>IF(Country_8!$C34="","",Country_8!I34)</f>
        <v/>
      </c>
      <c r="J733" s="16" t="str">
        <f>IF(Country_8!$C34="","",Country_8!J34)</f>
        <v/>
      </c>
      <c r="K733" s="18" t="str">
        <f>IF(Country_8!$C34="","",Country_8!K34)</f>
        <v/>
      </c>
      <c r="L733" s="18" t="str">
        <f>IF(Country_8!$C34="","",Country_8!L34)</f>
        <v/>
      </c>
      <c r="M733" s="19" t="str">
        <f>IF(Country_8!$C34="","",Country_8!M34)</f>
        <v/>
      </c>
      <c r="N733" s="16" t="str">
        <f>IF(Country_8!$C34="","",Country_8!N34)</f>
        <v/>
      </c>
      <c r="O733" s="16" t="str">
        <f>IF(Country_8!$C34="","",Country_8!O34)</f>
        <v/>
      </c>
      <c r="P733" s="16" t="str">
        <f>IF(Country_8!$C34="","",Country_8!P34)</f>
        <v/>
      </c>
      <c r="Q733" s="16" t="str">
        <f>IF(Country_8!$C34="","",Country_8!Q34)</f>
        <v/>
      </c>
    </row>
    <row r="734" spans="1:17" x14ac:dyDescent="0.25">
      <c r="A734" s="16" t="str">
        <f>IF(Country_8!$C35="","",Country_8!A35)</f>
        <v/>
      </c>
      <c r="B734" s="16" t="str">
        <f>IF(Country_8!$C35="","",Country_8!B35)</f>
        <v/>
      </c>
      <c r="C734" s="16" t="str">
        <f>IF(Country_8!$C35="","",Country_8!C35)</f>
        <v/>
      </c>
      <c r="D734" s="16" t="str">
        <f>IF(Country_8!$C35="","",Country_8!D35)</f>
        <v/>
      </c>
      <c r="E734" s="16" t="str">
        <f>IF(Country_8!$C35="","",Country_8!E35)</f>
        <v/>
      </c>
      <c r="F734" s="16" t="str">
        <f>IF(Country_8!$C35="","",Country_8!F35)</f>
        <v/>
      </c>
      <c r="G734" s="17" t="str">
        <f>IF(Country_8!$C35="","",Country_8!G35)</f>
        <v/>
      </c>
      <c r="H734" s="17" t="str">
        <f>IF(Country_8!$C35="","",Country_8!H35)</f>
        <v/>
      </c>
      <c r="I734" s="16" t="str">
        <f>IF(Country_8!$C35="","",Country_8!I35)</f>
        <v/>
      </c>
      <c r="J734" s="16" t="str">
        <f>IF(Country_8!$C35="","",Country_8!J35)</f>
        <v/>
      </c>
      <c r="K734" s="18" t="str">
        <f>IF(Country_8!$C35="","",Country_8!K35)</f>
        <v/>
      </c>
      <c r="L734" s="18" t="str">
        <f>IF(Country_8!$C35="","",Country_8!L35)</f>
        <v/>
      </c>
      <c r="M734" s="19" t="str">
        <f>IF(Country_8!$C35="","",Country_8!M35)</f>
        <v/>
      </c>
      <c r="N734" s="16" t="str">
        <f>IF(Country_8!$C35="","",Country_8!N35)</f>
        <v/>
      </c>
      <c r="O734" s="16" t="str">
        <f>IF(Country_8!$C35="","",Country_8!O35)</f>
        <v/>
      </c>
      <c r="P734" s="16" t="str">
        <f>IF(Country_8!$C35="","",Country_8!P35)</f>
        <v/>
      </c>
      <c r="Q734" s="16" t="str">
        <f>IF(Country_8!$C35="","",Country_8!Q35)</f>
        <v/>
      </c>
    </row>
    <row r="735" spans="1:17" x14ac:dyDescent="0.25">
      <c r="A735" s="16" t="str">
        <f>IF(Country_8!$C36="","",Country_8!A36)</f>
        <v/>
      </c>
      <c r="B735" s="16" t="str">
        <f>IF(Country_8!$C36="","",Country_8!B36)</f>
        <v/>
      </c>
      <c r="C735" s="16" t="str">
        <f>IF(Country_8!$C36="","",Country_8!C36)</f>
        <v/>
      </c>
      <c r="D735" s="16" t="str">
        <f>IF(Country_8!$C36="","",Country_8!D36)</f>
        <v/>
      </c>
      <c r="E735" s="16" t="str">
        <f>IF(Country_8!$C36="","",Country_8!E36)</f>
        <v/>
      </c>
      <c r="F735" s="16" t="str">
        <f>IF(Country_8!$C36="","",Country_8!F36)</f>
        <v/>
      </c>
      <c r="G735" s="17" t="str">
        <f>IF(Country_8!$C36="","",Country_8!G36)</f>
        <v/>
      </c>
      <c r="H735" s="17" t="str">
        <f>IF(Country_8!$C36="","",Country_8!H36)</f>
        <v/>
      </c>
      <c r="I735" s="16" t="str">
        <f>IF(Country_8!$C36="","",Country_8!I36)</f>
        <v/>
      </c>
      <c r="J735" s="16" t="str">
        <f>IF(Country_8!$C36="","",Country_8!J36)</f>
        <v/>
      </c>
      <c r="K735" s="18" t="str">
        <f>IF(Country_8!$C36="","",Country_8!K36)</f>
        <v/>
      </c>
      <c r="L735" s="18" t="str">
        <f>IF(Country_8!$C36="","",Country_8!L36)</f>
        <v/>
      </c>
      <c r="M735" s="19" t="str">
        <f>IF(Country_8!$C36="","",Country_8!M36)</f>
        <v/>
      </c>
      <c r="N735" s="16" t="str">
        <f>IF(Country_8!$C36="","",Country_8!N36)</f>
        <v/>
      </c>
      <c r="O735" s="16" t="str">
        <f>IF(Country_8!$C36="","",Country_8!O36)</f>
        <v/>
      </c>
      <c r="P735" s="16" t="str">
        <f>IF(Country_8!$C36="","",Country_8!P36)</f>
        <v/>
      </c>
      <c r="Q735" s="16" t="str">
        <f>IF(Country_8!$C36="","",Country_8!Q36)</f>
        <v/>
      </c>
    </row>
    <row r="736" spans="1:17" x14ac:dyDescent="0.25">
      <c r="A736" s="16" t="str">
        <f>IF(Country_8!$C37="","",Country_8!A37)</f>
        <v/>
      </c>
      <c r="B736" s="16" t="str">
        <f>IF(Country_8!$C37="","",Country_8!B37)</f>
        <v/>
      </c>
      <c r="C736" s="16" t="str">
        <f>IF(Country_8!$C37="","",Country_8!C37)</f>
        <v/>
      </c>
      <c r="D736" s="16" t="str">
        <f>IF(Country_8!$C37="","",Country_8!D37)</f>
        <v/>
      </c>
      <c r="E736" s="16" t="str">
        <f>IF(Country_8!$C37="","",Country_8!E37)</f>
        <v/>
      </c>
      <c r="F736" s="16" t="str">
        <f>IF(Country_8!$C37="","",Country_8!F37)</f>
        <v/>
      </c>
      <c r="G736" s="17" t="str">
        <f>IF(Country_8!$C37="","",Country_8!G37)</f>
        <v/>
      </c>
      <c r="H736" s="17" t="str">
        <f>IF(Country_8!$C37="","",Country_8!H37)</f>
        <v/>
      </c>
      <c r="I736" s="16" t="str">
        <f>IF(Country_8!$C37="","",Country_8!I37)</f>
        <v/>
      </c>
      <c r="J736" s="16" t="str">
        <f>IF(Country_8!$C37="","",Country_8!J37)</f>
        <v/>
      </c>
      <c r="K736" s="18" t="str">
        <f>IF(Country_8!$C37="","",Country_8!K37)</f>
        <v/>
      </c>
      <c r="L736" s="18" t="str">
        <f>IF(Country_8!$C37="","",Country_8!L37)</f>
        <v/>
      </c>
      <c r="M736" s="19" t="str">
        <f>IF(Country_8!$C37="","",Country_8!M37)</f>
        <v/>
      </c>
      <c r="N736" s="16" t="str">
        <f>IF(Country_8!$C37="","",Country_8!N37)</f>
        <v/>
      </c>
      <c r="O736" s="16" t="str">
        <f>IF(Country_8!$C37="","",Country_8!O37)</f>
        <v/>
      </c>
      <c r="P736" s="16" t="str">
        <f>IF(Country_8!$C37="","",Country_8!P37)</f>
        <v/>
      </c>
      <c r="Q736" s="16" t="str">
        <f>IF(Country_8!$C37="","",Country_8!Q37)</f>
        <v/>
      </c>
    </row>
    <row r="737" spans="1:17" x14ac:dyDescent="0.25">
      <c r="A737" s="16" t="str">
        <f>IF(Country_8!$C38="","",Country_8!A38)</f>
        <v/>
      </c>
      <c r="B737" s="16" t="str">
        <f>IF(Country_8!$C38="","",Country_8!B38)</f>
        <v/>
      </c>
      <c r="C737" s="16" t="str">
        <f>IF(Country_8!$C38="","",Country_8!C38)</f>
        <v/>
      </c>
      <c r="D737" s="16" t="str">
        <f>IF(Country_8!$C38="","",Country_8!D38)</f>
        <v/>
      </c>
      <c r="E737" s="16" t="str">
        <f>IF(Country_8!$C38="","",Country_8!E38)</f>
        <v/>
      </c>
      <c r="F737" s="16" t="str">
        <f>IF(Country_8!$C38="","",Country_8!F38)</f>
        <v/>
      </c>
      <c r="G737" s="17" t="str">
        <f>IF(Country_8!$C38="","",Country_8!G38)</f>
        <v/>
      </c>
      <c r="H737" s="17" t="str">
        <f>IF(Country_8!$C38="","",Country_8!H38)</f>
        <v/>
      </c>
      <c r="I737" s="16" t="str">
        <f>IF(Country_8!$C38="","",Country_8!I38)</f>
        <v/>
      </c>
      <c r="J737" s="16" t="str">
        <f>IF(Country_8!$C38="","",Country_8!J38)</f>
        <v/>
      </c>
      <c r="K737" s="18" t="str">
        <f>IF(Country_8!$C38="","",Country_8!K38)</f>
        <v/>
      </c>
      <c r="L737" s="18" t="str">
        <f>IF(Country_8!$C38="","",Country_8!L38)</f>
        <v/>
      </c>
      <c r="M737" s="19" t="str">
        <f>IF(Country_8!$C38="","",Country_8!M38)</f>
        <v/>
      </c>
      <c r="N737" s="16" t="str">
        <f>IF(Country_8!$C38="","",Country_8!N38)</f>
        <v/>
      </c>
      <c r="O737" s="16" t="str">
        <f>IF(Country_8!$C38="","",Country_8!O38)</f>
        <v/>
      </c>
      <c r="P737" s="16" t="str">
        <f>IF(Country_8!$C38="","",Country_8!P38)</f>
        <v/>
      </c>
      <c r="Q737" s="16" t="str">
        <f>IF(Country_8!$C38="","",Country_8!Q38)</f>
        <v/>
      </c>
    </row>
    <row r="738" spans="1:17" x14ac:dyDescent="0.25">
      <c r="A738" s="16" t="str">
        <f>IF(Country_8!$C39="","",Country_8!A39)</f>
        <v/>
      </c>
      <c r="B738" s="16" t="str">
        <f>IF(Country_8!$C39="","",Country_8!B39)</f>
        <v/>
      </c>
      <c r="C738" s="16" t="str">
        <f>IF(Country_8!$C39="","",Country_8!C39)</f>
        <v/>
      </c>
      <c r="D738" s="16" t="str">
        <f>IF(Country_8!$C39="","",Country_8!D39)</f>
        <v/>
      </c>
      <c r="E738" s="16" t="str">
        <f>IF(Country_8!$C39="","",Country_8!E39)</f>
        <v/>
      </c>
      <c r="F738" s="16" t="str">
        <f>IF(Country_8!$C39="","",Country_8!F39)</f>
        <v/>
      </c>
      <c r="G738" s="17" t="str">
        <f>IF(Country_8!$C39="","",Country_8!G39)</f>
        <v/>
      </c>
      <c r="H738" s="17" t="str">
        <f>IF(Country_8!$C39="","",Country_8!H39)</f>
        <v/>
      </c>
      <c r="I738" s="16" t="str">
        <f>IF(Country_8!$C39="","",Country_8!I39)</f>
        <v/>
      </c>
      <c r="J738" s="16" t="str">
        <f>IF(Country_8!$C39="","",Country_8!J39)</f>
        <v/>
      </c>
      <c r="K738" s="18" t="str">
        <f>IF(Country_8!$C39="","",Country_8!K39)</f>
        <v/>
      </c>
      <c r="L738" s="18" t="str">
        <f>IF(Country_8!$C39="","",Country_8!L39)</f>
        <v/>
      </c>
      <c r="M738" s="19" t="str">
        <f>IF(Country_8!$C39="","",Country_8!M39)</f>
        <v/>
      </c>
      <c r="N738" s="16" t="str">
        <f>IF(Country_8!$C39="","",Country_8!N39)</f>
        <v/>
      </c>
      <c r="O738" s="16" t="str">
        <f>IF(Country_8!$C39="","",Country_8!O39)</f>
        <v/>
      </c>
      <c r="P738" s="16" t="str">
        <f>IF(Country_8!$C39="","",Country_8!P39)</f>
        <v/>
      </c>
      <c r="Q738" s="16" t="str">
        <f>IF(Country_8!$C39="","",Country_8!Q39)</f>
        <v/>
      </c>
    </row>
    <row r="739" spans="1:17" x14ac:dyDescent="0.25">
      <c r="A739" s="16" t="str">
        <f>IF(Country_8!$C40="","",Country_8!A40)</f>
        <v/>
      </c>
      <c r="B739" s="16" t="str">
        <f>IF(Country_8!$C40="","",Country_8!B40)</f>
        <v/>
      </c>
      <c r="C739" s="16" t="str">
        <f>IF(Country_8!$C40="","",Country_8!C40)</f>
        <v/>
      </c>
      <c r="D739" s="16" t="str">
        <f>IF(Country_8!$C40="","",Country_8!D40)</f>
        <v/>
      </c>
      <c r="E739" s="16" t="str">
        <f>IF(Country_8!$C40="","",Country_8!E40)</f>
        <v/>
      </c>
      <c r="F739" s="16" t="str">
        <f>IF(Country_8!$C40="","",Country_8!F40)</f>
        <v/>
      </c>
      <c r="G739" s="17" t="str">
        <f>IF(Country_8!$C40="","",Country_8!G40)</f>
        <v/>
      </c>
      <c r="H739" s="17" t="str">
        <f>IF(Country_8!$C40="","",Country_8!H40)</f>
        <v/>
      </c>
      <c r="I739" s="16" t="str">
        <f>IF(Country_8!$C40="","",Country_8!I40)</f>
        <v/>
      </c>
      <c r="J739" s="16" t="str">
        <f>IF(Country_8!$C40="","",Country_8!J40)</f>
        <v/>
      </c>
      <c r="K739" s="18" t="str">
        <f>IF(Country_8!$C40="","",Country_8!K40)</f>
        <v/>
      </c>
      <c r="L739" s="18" t="str">
        <f>IF(Country_8!$C40="","",Country_8!L40)</f>
        <v/>
      </c>
      <c r="M739" s="19" t="str">
        <f>IF(Country_8!$C40="","",Country_8!M40)</f>
        <v/>
      </c>
      <c r="N739" s="16" t="str">
        <f>IF(Country_8!$C40="","",Country_8!N40)</f>
        <v/>
      </c>
      <c r="O739" s="16" t="str">
        <f>IF(Country_8!$C40="","",Country_8!O40)</f>
        <v/>
      </c>
      <c r="P739" s="16" t="str">
        <f>IF(Country_8!$C40="","",Country_8!P40)</f>
        <v/>
      </c>
      <c r="Q739" s="16" t="str">
        <f>IF(Country_8!$C40="","",Country_8!Q40)</f>
        <v/>
      </c>
    </row>
    <row r="740" spans="1:17" x14ac:dyDescent="0.25">
      <c r="A740" s="16" t="str">
        <f>IF(Country_8!$C41="","",Country_8!A41)</f>
        <v/>
      </c>
      <c r="B740" s="16" t="str">
        <f>IF(Country_8!$C41="","",Country_8!B41)</f>
        <v/>
      </c>
      <c r="C740" s="16" t="str">
        <f>IF(Country_8!$C41="","",Country_8!C41)</f>
        <v/>
      </c>
      <c r="D740" s="16" t="str">
        <f>IF(Country_8!$C41="","",Country_8!D41)</f>
        <v/>
      </c>
      <c r="E740" s="16" t="str">
        <f>IF(Country_8!$C41="","",Country_8!E41)</f>
        <v/>
      </c>
      <c r="F740" s="16" t="str">
        <f>IF(Country_8!$C41="","",Country_8!F41)</f>
        <v/>
      </c>
      <c r="G740" s="17" t="str">
        <f>IF(Country_8!$C41="","",Country_8!G41)</f>
        <v/>
      </c>
      <c r="H740" s="17" t="str">
        <f>IF(Country_8!$C41="","",Country_8!H41)</f>
        <v/>
      </c>
      <c r="I740" s="16" t="str">
        <f>IF(Country_8!$C41="","",Country_8!I41)</f>
        <v/>
      </c>
      <c r="J740" s="16" t="str">
        <f>IF(Country_8!$C41="","",Country_8!J41)</f>
        <v/>
      </c>
      <c r="K740" s="18" t="str">
        <f>IF(Country_8!$C41="","",Country_8!K41)</f>
        <v/>
      </c>
      <c r="L740" s="18" t="str">
        <f>IF(Country_8!$C41="","",Country_8!L41)</f>
        <v/>
      </c>
      <c r="M740" s="19" t="str">
        <f>IF(Country_8!$C41="","",Country_8!M41)</f>
        <v/>
      </c>
      <c r="N740" s="16" t="str">
        <f>IF(Country_8!$C41="","",Country_8!N41)</f>
        <v/>
      </c>
      <c r="O740" s="16" t="str">
        <f>IF(Country_8!$C41="","",Country_8!O41)</f>
        <v/>
      </c>
      <c r="P740" s="16" t="str">
        <f>IF(Country_8!$C41="","",Country_8!P41)</f>
        <v/>
      </c>
      <c r="Q740" s="16" t="str">
        <f>IF(Country_8!$C41="","",Country_8!Q41)</f>
        <v/>
      </c>
    </row>
    <row r="741" spans="1:17" x14ac:dyDescent="0.25">
      <c r="A741" s="16" t="str">
        <f>IF(Country_8!$C42="","",Country_8!A42)</f>
        <v/>
      </c>
      <c r="B741" s="16" t="str">
        <f>IF(Country_8!$C42="","",Country_8!B42)</f>
        <v/>
      </c>
      <c r="C741" s="16" t="str">
        <f>IF(Country_8!$C42="","",Country_8!C42)</f>
        <v/>
      </c>
      <c r="D741" s="16" t="str">
        <f>IF(Country_8!$C42="","",Country_8!D42)</f>
        <v/>
      </c>
      <c r="E741" s="16" t="str">
        <f>IF(Country_8!$C42="","",Country_8!E42)</f>
        <v/>
      </c>
      <c r="F741" s="16" t="str">
        <f>IF(Country_8!$C42="","",Country_8!F42)</f>
        <v/>
      </c>
      <c r="G741" s="17" t="str">
        <f>IF(Country_8!$C42="","",Country_8!G42)</f>
        <v/>
      </c>
      <c r="H741" s="17" t="str">
        <f>IF(Country_8!$C42="","",Country_8!H42)</f>
        <v/>
      </c>
      <c r="I741" s="16" t="str">
        <f>IF(Country_8!$C42="","",Country_8!I42)</f>
        <v/>
      </c>
      <c r="J741" s="16" t="str">
        <f>IF(Country_8!$C42="","",Country_8!J42)</f>
        <v/>
      </c>
      <c r="K741" s="18" t="str">
        <f>IF(Country_8!$C42="","",Country_8!K42)</f>
        <v/>
      </c>
      <c r="L741" s="18" t="str">
        <f>IF(Country_8!$C42="","",Country_8!L42)</f>
        <v/>
      </c>
      <c r="M741" s="19" t="str">
        <f>IF(Country_8!$C42="","",Country_8!M42)</f>
        <v/>
      </c>
      <c r="N741" s="16" t="str">
        <f>IF(Country_8!$C42="","",Country_8!N42)</f>
        <v/>
      </c>
      <c r="O741" s="16" t="str">
        <f>IF(Country_8!$C42="","",Country_8!O42)</f>
        <v/>
      </c>
      <c r="P741" s="16" t="str">
        <f>IF(Country_8!$C42="","",Country_8!P42)</f>
        <v/>
      </c>
      <c r="Q741" s="16" t="str">
        <f>IF(Country_8!$C42="","",Country_8!Q42)</f>
        <v/>
      </c>
    </row>
    <row r="742" spans="1:17" x14ac:dyDescent="0.25">
      <c r="A742" s="16" t="str">
        <f>IF(Country_8!$C43="","",Country_8!A43)</f>
        <v/>
      </c>
      <c r="B742" s="16" t="str">
        <f>IF(Country_8!$C43="","",Country_8!B43)</f>
        <v/>
      </c>
      <c r="C742" s="16" t="str">
        <f>IF(Country_8!$C43="","",Country_8!C43)</f>
        <v/>
      </c>
      <c r="D742" s="16" t="str">
        <f>IF(Country_8!$C43="","",Country_8!D43)</f>
        <v/>
      </c>
      <c r="E742" s="16" t="str">
        <f>IF(Country_8!$C43="","",Country_8!E43)</f>
        <v/>
      </c>
      <c r="F742" s="16" t="str">
        <f>IF(Country_8!$C43="","",Country_8!F43)</f>
        <v/>
      </c>
      <c r="G742" s="17" t="str">
        <f>IF(Country_8!$C43="","",Country_8!G43)</f>
        <v/>
      </c>
      <c r="H742" s="17" t="str">
        <f>IF(Country_8!$C43="","",Country_8!H43)</f>
        <v/>
      </c>
      <c r="I742" s="16" t="str">
        <f>IF(Country_8!$C43="","",Country_8!I43)</f>
        <v/>
      </c>
      <c r="J742" s="16" t="str">
        <f>IF(Country_8!$C43="","",Country_8!J43)</f>
        <v/>
      </c>
      <c r="K742" s="18" t="str">
        <f>IF(Country_8!$C43="","",Country_8!K43)</f>
        <v/>
      </c>
      <c r="L742" s="18" t="str">
        <f>IF(Country_8!$C43="","",Country_8!L43)</f>
        <v/>
      </c>
      <c r="M742" s="19" t="str">
        <f>IF(Country_8!$C43="","",Country_8!M43)</f>
        <v/>
      </c>
      <c r="N742" s="16" t="str">
        <f>IF(Country_8!$C43="","",Country_8!N43)</f>
        <v/>
      </c>
      <c r="O742" s="16" t="str">
        <f>IF(Country_8!$C43="","",Country_8!O43)</f>
        <v/>
      </c>
      <c r="P742" s="16" t="str">
        <f>IF(Country_8!$C43="","",Country_8!P43)</f>
        <v/>
      </c>
      <c r="Q742" s="16" t="str">
        <f>IF(Country_8!$C43="","",Country_8!Q43)</f>
        <v/>
      </c>
    </row>
    <row r="743" spans="1:17" x14ac:dyDescent="0.25">
      <c r="A743" s="16" t="str">
        <f>IF(Country_8!$C44="","",Country_8!A44)</f>
        <v/>
      </c>
      <c r="B743" s="16" t="str">
        <f>IF(Country_8!$C44="","",Country_8!B44)</f>
        <v/>
      </c>
      <c r="C743" s="16" t="str">
        <f>IF(Country_8!$C44="","",Country_8!C44)</f>
        <v/>
      </c>
      <c r="D743" s="16" t="str">
        <f>IF(Country_8!$C44="","",Country_8!D44)</f>
        <v/>
      </c>
      <c r="E743" s="16" t="str">
        <f>IF(Country_8!$C44="","",Country_8!E44)</f>
        <v/>
      </c>
      <c r="F743" s="16" t="str">
        <f>IF(Country_8!$C44="","",Country_8!F44)</f>
        <v/>
      </c>
      <c r="G743" s="17" t="str">
        <f>IF(Country_8!$C44="","",Country_8!G44)</f>
        <v/>
      </c>
      <c r="H743" s="17" t="str">
        <f>IF(Country_8!$C44="","",Country_8!H44)</f>
        <v/>
      </c>
      <c r="I743" s="16" t="str">
        <f>IF(Country_8!$C44="","",Country_8!I44)</f>
        <v/>
      </c>
      <c r="J743" s="16" t="str">
        <f>IF(Country_8!$C44="","",Country_8!J44)</f>
        <v/>
      </c>
      <c r="K743" s="18" t="str">
        <f>IF(Country_8!$C44="","",Country_8!K44)</f>
        <v/>
      </c>
      <c r="L743" s="18" t="str">
        <f>IF(Country_8!$C44="","",Country_8!L44)</f>
        <v/>
      </c>
      <c r="M743" s="19" t="str">
        <f>IF(Country_8!$C44="","",Country_8!M44)</f>
        <v/>
      </c>
      <c r="N743" s="16" t="str">
        <f>IF(Country_8!$C44="","",Country_8!N44)</f>
        <v/>
      </c>
      <c r="O743" s="16" t="str">
        <f>IF(Country_8!$C44="","",Country_8!O44)</f>
        <v/>
      </c>
      <c r="P743" s="16" t="str">
        <f>IF(Country_8!$C44="","",Country_8!P44)</f>
        <v/>
      </c>
      <c r="Q743" s="16" t="str">
        <f>IF(Country_8!$C44="","",Country_8!Q44)</f>
        <v/>
      </c>
    </row>
    <row r="744" spans="1:17" x14ac:dyDescent="0.25">
      <c r="A744" s="16" t="str">
        <f>IF(Country_8!$C45="","",Country_8!A45)</f>
        <v/>
      </c>
      <c r="B744" s="16" t="str">
        <f>IF(Country_8!$C45="","",Country_8!B45)</f>
        <v/>
      </c>
      <c r="C744" s="16" t="str">
        <f>IF(Country_8!$C45="","",Country_8!C45)</f>
        <v/>
      </c>
      <c r="D744" s="16" t="str">
        <f>IF(Country_8!$C45="","",Country_8!D45)</f>
        <v/>
      </c>
      <c r="E744" s="16" t="str">
        <f>IF(Country_8!$C45="","",Country_8!E45)</f>
        <v/>
      </c>
      <c r="F744" s="16" t="str">
        <f>IF(Country_8!$C45="","",Country_8!F45)</f>
        <v/>
      </c>
      <c r="G744" s="17" t="str">
        <f>IF(Country_8!$C45="","",Country_8!G45)</f>
        <v/>
      </c>
      <c r="H744" s="17" t="str">
        <f>IF(Country_8!$C45="","",Country_8!H45)</f>
        <v/>
      </c>
      <c r="I744" s="16" t="str">
        <f>IF(Country_8!$C45="","",Country_8!I45)</f>
        <v/>
      </c>
      <c r="J744" s="16" t="str">
        <f>IF(Country_8!$C45="","",Country_8!J45)</f>
        <v/>
      </c>
      <c r="K744" s="18" t="str">
        <f>IF(Country_8!$C45="","",Country_8!K45)</f>
        <v/>
      </c>
      <c r="L744" s="18" t="str">
        <f>IF(Country_8!$C45="","",Country_8!L45)</f>
        <v/>
      </c>
      <c r="M744" s="19" t="str">
        <f>IF(Country_8!$C45="","",Country_8!M45)</f>
        <v/>
      </c>
      <c r="N744" s="16" t="str">
        <f>IF(Country_8!$C45="","",Country_8!N45)</f>
        <v/>
      </c>
      <c r="O744" s="16" t="str">
        <f>IF(Country_8!$C45="","",Country_8!O45)</f>
        <v/>
      </c>
      <c r="P744" s="16" t="str">
        <f>IF(Country_8!$C45="","",Country_8!P45)</f>
        <v/>
      </c>
      <c r="Q744" s="16" t="str">
        <f>IF(Country_8!$C45="","",Country_8!Q45)</f>
        <v/>
      </c>
    </row>
    <row r="745" spans="1:17" x14ac:dyDescent="0.25">
      <c r="A745" s="16" t="str">
        <f>IF(Country_8!$C46="","",Country_8!A46)</f>
        <v/>
      </c>
      <c r="B745" s="16" t="str">
        <f>IF(Country_8!$C46="","",Country_8!B46)</f>
        <v/>
      </c>
      <c r="C745" s="16" t="str">
        <f>IF(Country_8!$C46="","",Country_8!C46)</f>
        <v/>
      </c>
      <c r="D745" s="16" t="str">
        <f>IF(Country_8!$C46="","",Country_8!D46)</f>
        <v/>
      </c>
      <c r="E745" s="16" t="str">
        <f>IF(Country_8!$C46="","",Country_8!E46)</f>
        <v/>
      </c>
      <c r="F745" s="16" t="str">
        <f>IF(Country_8!$C46="","",Country_8!F46)</f>
        <v/>
      </c>
      <c r="G745" s="17" t="str">
        <f>IF(Country_8!$C46="","",Country_8!G46)</f>
        <v/>
      </c>
      <c r="H745" s="17" t="str">
        <f>IF(Country_8!$C46="","",Country_8!H46)</f>
        <v/>
      </c>
      <c r="I745" s="16" t="str">
        <f>IF(Country_8!$C46="","",Country_8!I46)</f>
        <v/>
      </c>
      <c r="J745" s="16" t="str">
        <f>IF(Country_8!$C46="","",Country_8!J46)</f>
        <v/>
      </c>
      <c r="K745" s="18" t="str">
        <f>IF(Country_8!$C46="","",Country_8!K46)</f>
        <v/>
      </c>
      <c r="L745" s="18" t="str">
        <f>IF(Country_8!$C46="","",Country_8!L46)</f>
        <v/>
      </c>
      <c r="M745" s="19" t="str">
        <f>IF(Country_8!$C46="","",Country_8!M46)</f>
        <v/>
      </c>
      <c r="N745" s="16" t="str">
        <f>IF(Country_8!$C46="","",Country_8!N46)</f>
        <v/>
      </c>
      <c r="O745" s="16" t="str">
        <f>IF(Country_8!$C46="","",Country_8!O46)</f>
        <v/>
      </c>
      <c r="P745" s="16" t="str">
        <f>IF(Country_8!$C46="","",Country_8!P46)</f>
        <v/>
      </c>
      <c r="Q745" s="16" t="str">
        <f>IF(Country_8!$C46="","",Country_8!Q46)</f>
        <v/>
      </c>
    </row>
    <row r="746" spans="1:17" x14ac:dyDescent="0.25">
      <c r="A746" s="16" t="str">
        <f>IF(Country_8!$C47="","",Country_8!A47)</f>
        <v/>
      </c>
      <c r="B746" s="16" t="str">
        <f>IF(Country_8!$C47="","",Country_8!B47)</f>
        <v/>
      </c>
      <c r="C746" s="16" t="str">
        <f>IF(Country_8!$C47="","",Country_8!C47)</f>
        <v/>
      </c>
      <c r="D746" s="16" t="str">
        <f>IF(Country_8!$C47="","",Country_8!D47)</f>
        <v/>
      </c>
      <c r="E746" s="16" t="str">
        <f>IF(Country_8!$C47="","",Country_8!E47)</f>
        <v/>
      </c>
      <c r="F746" s="16" t="str">
        <f>IF(Country_8!$C47="","",Country_8!F47)</f>
        <v/>
      </c>
      <c r="G746" s="17" t="str">
        <f>IF(Country_8!$C47="","",Country_8!G47)</f>
        <v/>
      </c>
      <c r="H746" s="17" t="str">
        <f>IF(Country_8!$C47="","",Country_8!H47)</f>
        <v/>
      </c>
      <c r="I746" s="16" t="str">
        <f>IF(Country_8!$C47="","",Country_8!I47)</f>
        <v/>
      </c>
      <c r="J746" s="16" t="str">
        <f>IF(Country_8!$C47="","",Country_8!J47)</f>
        <v/>
      </c>
      <c r="K746" s="18" t="str">
        <f>IF(Country_8!$C47="","",Country_8!K47)</f>
        <v/>
      </c>
      <c r="L746" s="18" t="str">
        <f>IF(Country_8!$C47="","",Country_8!L47)</f>
        <v/>
      </c>
      <c r="M746" s="19" t="str">
        <f>IF(Country_8!$C47="","",Country_8!M47)</f>
        <v/>
      </c>
      <c r="N746" s="16" t="str">
        <f>IF(Country_8!$C47="","",Country_8!N47)</f>
        <v/>
      </c>
      <c r="O746" s="16" t="str">
        <f>IF(Country_8!$C47="","",Country_8!O47)</f>
        <v/>
      </c>
      <c r="P746" s="16" t="str">
        <f>IF(Country_8!$C47="","",Country_8!P47)</f>
        <v/>
      </c>
      <c r="Q746" s="16" t="str">
        <f>IF(Country_8!$C47="","",Country_8!Q47)</f>
        <v/>
      </c>
    </row>
    <row r="747" spans="1:17" x14ac:dyDescent="0.25">
      <c r="A747" s="16" t="str">
        <f>IF(Country_8!$C48="","",Country_8!A48)</f>
        <v/>
      </c>
      <c r="B747" s="16" t="str">
        <f>IF(Country_8!$C48="","",Country_8!B48)</f>
        <v/>
      </c>
      <c r="C747" s="16" t="str">
        <f>IF(Country_8!$C48="","",Country_8!C48)</f>
        <v/>
      </c>
      <c r="D747" s="16" t="str">
        <f>IF(Country_8!$C48="","",Country_8!D48)</f>
        <v/>
      </c>
      <c r="E747" s="16" t="str">
        <f>IF(Country_8!$C48="","",Country_8!E48)</f>
        <v/>
      </c>
      <c r="F747" s="16" t="str">
        <f>IF(Country_8!$C48="","",Country_8!F48)</f>
        <v/>
      </c>
      <c r="G747" s="17" t="str">
        <f>IF(Country_8!$C48="","",Country_8!G48)</f>
        <v/>
      </c>
      <c r="H747" s="17" t="str">
        <f>IF(Country_8!$C48="","",Country_8!H48)</f>
        <v/>
      </c>
      <c r="I747" s="16" t="str">
        <f>IF(Country_8!$C48="","",Country_8!I48)</f>
        <v/>
      </c>
      <c r="J747" s="16" t="str">
        <f>IF(Country_8!$C48="","",Country_8!J48)</f>
        <v/>
      </c>
      <c r="K747" s="18" t="str">
        <f>IF(Country_8!$C48="","",Country_8!K48)</f>
        <v/>
      </c>
      <c r="L747" s="18" t="str">
        <f>IF(Country_8!$C48="","",Country_8!L48)</f>
        <v/>
      </c>
      <c r="M747" s="19" t="str">
        <f>IF(Country_8!$C48="","",Country_8!M48)</f>
        <v/>
      </c>
      <c r="N747" s="16" t="str">
        <f>IF(Country_8!$C48="","",Country_8!N48)</f>
        <v/>
      </c>
      <c r="O747" s="16" t="str">
        <f>IF(Country_8!$C48="","",Country_8!O48)</f>
        <v/>
      </c>
      <c r="P747" s="16" t="str">
        <f>IF(Country_8!$C48="","",Country_8!P48)</f>
        <v/>
      </c>
      <c r="Q747" s="16" t="str">
        <f>IF(Country_8!$C48="","",Country_8!Q48)</f>
        <v/>
      </c>
    </row>
    <row r="748" spans="1:17" x14ac:dyDescent="0.25">
      <c r="A748" s="16" t="str">
        <f>IF(Country_8!$C49="","",Country_8!A49)</f>
        <v/>
      </c>
      <c r="B748" s="16" t="str">
        <f>IF(Country_8!$C49="","",Country_8!B49)</f>
        <v/>
      </c>
      <c r="C748" s="16" t="str">
        <f>IF(Country_8!$C49="","",Country_8!C49)</f>
        <v/>
      </c>
      <c r="D748" s="16" t="str">
        <f>IF(Country_8!$C49="","",Country_8!D49)</f>
        <v/>
      </c>
      <c r="E748" s="16" t="str">
        <f>IF(Country_8!$C49="","",Country_8!E49)</f>
        <v/>
      </c>
      <c r="F748" s="16" t="str">
        <f>IF(Country_8!$C49="","",Country_8!F49)</f>
        <v/>
      </c>
      <c r="G748" s="17" t="str">
        <f>IF(Country_8!$C49="","",Country_8!G49)</f>
        <v/>
      </c>
      <c r="H748" s="17" t="str">
        <f>IF(Country_8!$C49="","",Country_8!H49)</f>
        <v/>
      </c>
      <c r="I748" s="16" t="str">
        <f>IF(Country_8!$C49="","",Country_8!I49)</f>
        <v/>
      </c>
      <c r="J748" s="16" t="str">
        <f>IF(Country_8!$C49="","",Country_8!J49)</f>
        <v/>
      </c>
      <c r="K748" s="18" t="str">
        <f>IF(Country_8!$C49="","",Country_8!K49)</f>
        <v/>
      </c>
      <c r="L748" s="18" t="str">
        <f>IF(Country_8!$C49="","",Country_8!L49)</f>
        <v/>
      </c>
      <c r="M748" s="19" t="str">
        <f>IF(Country_8!$C49="","",Country_8!M49)</f>
        <v/>
      </c>
      <c r="N748" s="16" t="str">
        <f>IF(Country_8!$C49="","",Country_8!N49)</f>
        <v/>
      </c>
      <c r="O748" s="16" t="str">
        <f>IF(Country_8!$C49="","",Country_8!O49)</f>
        <v/>
      </c>
      <c r="P748" s="16" t="str">
        <f>IF(Country_8!$C49="","",Country_8!P49)</f>
        <v/>
      </c>
      <c r="Q748" s="16" t="str">
        <f>IF(Country_8!$C49="","",Country_8!Q49)</f>
        <v/>
      </c>
    </row>
    <row r="749" spans="1:17" x14ac:dyDescent="0.25">
      <c r="A749" s="16" t="str">
        <f>IF(Country_8!$C50="","",Country_8!A50)</f>
        <v/>
      </c>
      <c r="B749" s="16" t="str">
        <f>IF(Country_8!$C50="","",Country_8!B50)</f>
        <v/>
      </c>
      <c r="C749" s="16" t="str">
        <f>IF(Country_8!$C50="","",Country_8!C50)</f>
        <v/>
      </c>
      <c r="D749" s="16" t="str">
        <f>IF(Country_8!$C50="","",Country_8!D50)</f>
        <v/>
      </c>
      <c r="E749" s="16" t="str">
        <f>IF(Country_8!$C50="","",Country_8!E50)</f>
        <v/>
      </c>
      <c r="F749" s="16" t="str">
        <f>IF(Country_8!$C50="","",Country_8!F50)</f>
        <v/>
      </c>
      <c r="G749" s="17" t="str">
        <f>IF(Country_8!$C50="","",Country_8!G50)</f>
        <v/>
      </c>
      <c r="H749" s="17" t="str">
        <f>IF(Country_8!$C50="","",Country_8!H50)</f>
        <v/>
      </c>
      <c r="I749" s="16" t="str">
        <f>IF(Country_8!$C50="","",Country_8!I50)</f>
        <v/>
      </c>
      <c r="J749" s="16" t="str">
        <f>IF(Country_8!$C50="","",Country_8!J50)</f>
        <v/>
      </c>
      <c r="K749" s="18" t="str">
        <f>IF(Country_8!$C50="","",Country_8!K50)</f>
        <v/>
      </c>
      <c r="L749" s="18" t="str">
        <f>IF(Country_8!$C50="","",Country_8!L50)</f>
        <v/>
      </c>
      <c r="M749" s="19" t="str">
        <f>IF(Country_8!$C50="","",Country_8!M50)</f>
        <v/>
      </c>
      <c r="N749" s="16" t="str">
        <f>IF(Country_8!$C50="","",Country_8!N50)</f>
        <v/>
      </c>
      <c r="O749" s="16" t="str">
        <f>IF(Country_8!$C50="","",Country_8!O50)</f>
        <v/>
      </c>
      <c r="P749" s="16" t="str">
        <f>IF(Country_8!$C50="","",Country_8!P50)</f>
        <v/>
      </c>
      <c r="Q749" s="16" t="str">
        <f>IF(Country_8!$C50="","",Country_8!Q50)</f>
        <v/>
      </c>
    </row>
    <row r="750" spans="1:17" x14ac:dyDescent="0.25">
      <c r="A750" s="16" t="str">
        <f>IF(Country_8!$C51="","",Country_8!A51)</f>
        <v/>
      </c>
      <c r="B750" s="16" t="str">
        <f>IF(Country_8!$C51="","",Country_8!B51)</f>
        <v/>
      </c>
      <c r="C750" s="16" t="str">
        <f>IF(Country_8!$C51="","",Country_8!C51)</f>
        <v/>
      </c>
      <c r="D750" s="16" t="str">
        <f>IF(Country_8!$C51="","",Country_8!D51)</f>
        <v/>
      </c>
      <c r="E750" s="16" t="str">
        <f>IF(Country_8!$C51="","",Country_8!E51)</f>
        <v/>
      </c>
      <c r="F750" s="16" t="str">
        <f>IF(Country_8!$C51="","",Country_8!F51)</f>
        <v/>
      </c>
      <c r="G750" s="17" t="str">
        <f>IF(Country_8!$C51="","",Country_8!G51)</f>
        <v/>
      </c>
      <c r="H750" s="17" t="str">
        <f>IF(Country_8!$C51="","",Country_8!H51)</f>
        <v/>
      </c>
      <c r="I750" s="16" t="str">
        <f>IF(Country_8!$C51="","",Country_8!I51)</f>
        <v/>
      </c>
      <c r="J750" s="16" t="str">
        <f>IF(Country_8!$C51="","",Country_8!J51)</f>
        <v/>
      </c>
      <c r="K750" s="18" t="str">
        <f>IF(Country_8!$C51="","",Country_8!K51)</f>
        <v/>
      </c>
      <c r="L750" s="18" t="str">
        <f>IF(Country_8!$C51="","",Country_8!L51)</f>
        <v/>
      </c>
      <c r="M750" s="19" t="str">
        <f>IF(Country_8!$C51="","",Country_8!M51)</f>
        <v/>
      </c>
      <c r="N750" s="16" t="str">
        <f>IF(Country_8!$C51="","",Country_8!N51)</f>
        <v/>
      </c>
      <c r="O750" s="16" t="str">
        <f>IF(Country_8!$C51="","",Country_8!O51)</f>
        <v/>
      </c>
      <c r="P750" s="16" t="str">
        <f>IF(Country_8!$C51="","",Country_8!P51)</f>
        <v/>
      </c>
      <c r="Q750" s="16" t="str">
        <f>IF(Country_8!$C51="","",Country_8!Q51)</f>
        <v/>
      </c>
    </row>
    <row r="751" spans="1:17" x14ac:dyDescent="0.25">
      <c r="A751" s="16" t="str">
        <f>IF(Country_8!$C52="","",Country_8!A52)</f>
        <v/>
      </c>
      <c r="B751" s="16" t="str">
        <f>IF(Country_8!$C52="","",Country_8!B52)</f>
        <v/>
      </c>
      <c r="C751" s="16" t="str">
        <f>IF(Country_8!$C52="","",Country_8!C52)</f>
        <v/>
      </c>
      <c r="D751" s="16" t="str">
        <f>IF(Country_8!$C52="","",Country_8!D52)</f>
        <v/>
      </c>
      <c r="E751" s="16" t="str">
        <f>IF(Country_8!$C52="","",Country_8!E52)</f>
        <v/>
      </c>
      <c r="F751" s="16" t="str">
        <f>IF(Country_8!$C52="","",Country_8!F52)</f>
        <v/>
      </c>
      <c r="G751" s="17" t="str">
        <f>IF(Country_8!$C52="","",Country_8!G52)</f>
        <v/>
      </c>
      <c r="H751" s="17" t="str">
        <f>IF(Country_8!$C52="","",Country_8!H52)</f>
        <v/>
      </c>
      <c r="I751" s="16" t="str">
        <f>IF(Country_8!$C52="","",Country_8!I52)</f>
        <v/>
      </c>
      <c r="J751" s="16" t="str">
        <f>IF(Country_8!$C52="","",Country_8!J52)</f>
        <v/>
      </c>
      <c r="K751" s="18" t="str">
        <f>IF(Country_8!$C52="","",Country_8!K52)</f>
        <v/>
      </c>
      <c r="L751" s="18" t="str">
        <f>IF(Country_8!$C52="","",Country_8!L52)</f>
        <v/>
      </c>
      <c r="M751" s="19" t="str">
        <f>IF(Country_8!$C52="","",Country_8!M52)</f>
        <v/>
      </c>
      <c r="N751" s="16" t="str">
        <f>IF(Country_8!$C52="","",Country_8!N52)</f>
        <v/>
      </c>
      <c r="O751" s="16" t="str">
        <f>IF(Country_8!$C52="","",Country_8!O52)</f>
        <v/>
      </c>
      <c r="P751" s="16" t="str">
        <f>IF(Country_8!$C52="","",Country_8!P52)</f>
        <v/>
      </c>
      <c r="Q751" s="16" t="str">
        <f>IF(Country_8!$C52="","",Country_8!Q52)</f>
        <v/>
      </c>
    </row>
    <row r="752" spans="1:17" x14ac:dyDescent="0.25">
      <c r="A752" s="16" t="str">
        <f>IF(Country_8!$C53="","",Country_8!A53)</f>
        <v/>
      </c>
      <c r="B752" s="16" t="str">
        <f>IF(Country_8!$C53="","",Country_8!B53)</f>
        <v/>
      </c>
      <c r="C752" s="16" t="str">
        <f>IF(Country_8!$C53="","",Country_8!C53)</f>
        <v/>
      </c>
      <c r="D752" s="16" t="str">
        <f>IF(Country_8!$C53="","",Country_8!D53)</f>
        <v/>
      </c>
      <c r="E752" s="16" t="str">
        <f>IF(Country_8!$C53="","",Country_8!E53)</f>
        <v/>
      </c>
      <c r="F752" s="16" t="str">
        <f>IF(Country_8!$C53="","",Country_8!F53)</f>
        <v/>
      </c>
      <c r="G752" s="17" t="str">
        <f>IF(Country_8!$C53="","",Country_8!G53)</f>
        <v/>
      </c>
      <c r="H752" s="17" t="str">
        <f>IF(Country_8!$C53="","",Country_8!H53)</f>
        <v/>
      </c>
      <c r="I752" s="16" t="str">
        <f>IF(Country_8!$C53="","",Country_8!I53)</f>
        <v/>
      </c>
      <c r="J752" s="16" t="str">
        <f>IF(Country_8!$C53="","",Country_8!J53)</f>
        <v/>
      </c>
      <c r="K752" s="18" t="str">
        <f>IF(Country_8!$C53="","",Country_8!K53)</f>
        <v/>
      </c>
      <c r="L752" s="18" t="str">
        <f>IF(Country_8!$C53="","",Country_8!L53)</f>
        <v/>
      </c>
      <c r="M752" s="19" t="str">
        <f>IF(Country_8!$C53="","",Country_8!M53)</f>
        <v/>
      </c>
      <c r="N752" s="16" t="str">
        <f>IF(Country_8!$C53="","",Country_8!N53)</f>
        <v/>
      </c>
      <c r="O752" s="16" t="str">
        <f>IF(Country_8!$C53="","",Country_8!O53)</f>
        <v/>
      </c>
      <c r="P752" s="16" t="str">
        <f>IF(Country_8!$C53="","",Country_8!P53)</f>
        <v/>
      </c>
      <c r="Q752" s="16" t="str">
        <f>IF(Country_8!$C53="","",Country_8!Q53)</f>
        <v/>
      </c>
    </row>
    <row r="753" spans="1:17" x14ac:dyDescent="0.25">
      <c r="A753" s="16" t="str">
        <f>IF(Country_8!$C54="","",Country_8!A54)</f>
        <v/>
      </c>
      <c r="B753" s="16" t="str">
        <f>IF(Country_8!$C54="","",Country_8!B54)</f>
        <v/>
      </c>
      <c r="C753" s="16" t="str">
        <f>IF(Country_8!$C54="","",Country_8!C54)</f>
        <v/>
      </c>
      <c r="D753" s="16" t="str">
        <f>IF(Country_8!$C54="","",Country_8!D54)</f>
        <v/>
      </c>
      <c r="E753" s="16" t="str">
        <f>IF(Country_8!$C54="","",Country_8!E54)</f>
        <v/>
      </c>
      <c r="F753" s="16" t="str">
        <f>IF(Country_8!$C54="","",Country_8!F54)</f>
        <v/>
      </c>
      <c r="G753" s="17" t="str">
        <f>IF(Country_8!$C54="","",Country_8!G54)</f>
        <v/>
      </c>
      <c r="H753" s="17" t="str">
        <f>IF(Country_8!$C54="","",Country_8!H54)</f>
        <v/>
      </c>
      <c r="I753" s="16" t="str">
        <f>IF(Country_8!$C54="","",Country_8!I54)</f>
        <v/>
      </c>
      <c r="J753" s="16" t="str">
        <f>IF(Country_8!$C54="","",Country_8!J54)</f>
        <v/>
      </c>
      <c r="K753" s="18" t="str">
        <f>IF(Country_8!$C54="","",Country_8!K54)</f>
        <v/>
      </c>
      <c r="L753" s="18" t="str">
        <f>IF(Country_8!$C54="","",Country_8!L54)</f>
        <v/>
      </c>
      <c r="M753" s="19" t="str">
        <f>IF(Country_8!$C54="","",Country_8!M54)</f>
        <v/>
      </c>
      <c r="N753" s="16" t="str">
        <f>IF(Country_8!$C54="","",Country_8!N54)</f>
        <v/>
      </c>
      <c r="O753" s="16" t="str">
        <f>IF(Country_8!$C54="","",Country_8!O54)</f>
        <v/>
      </c>
      <c r="P753" s="16" t="str">
        <f>IF(Country_8!$C54="","",Country_8!P54)</f>
        <v/>
      </c>
      <c r="Q753" s="16" t="str">
        <f>IF(Country_8!$C54="","",Country_8!Q54)</f>
        <v/>
      </c>
    </row>
    <row r="754" spans="1:17" x14ac:dyDescent="0.25">
      <c r="A754" s="16" t="str">
        <f>IF(Country_8!$C55="","",Country_8!A55)</f>
        <v/>
      </c>
      <c r="B754" s="16" t="str">
        <f>IF(Country_8!$C55="","",Country_8!B55)</f>
        <v/>
      </c>
      <c r="C754" s="16" t="str">
        <f>IF(Country_8!$C55="","",Country_8!C55)</f>
        <v/>
      </c>
      <c r="D754" s="16" t="str">
        <f>IF(Country_8!$C55="","",Country_8!D55)</f>
        <v/>
      </c>
      <c r="E754" s="16" t="str">
        <f>IF(Country_8!$C55="","",Country_8!E55)</f>
        <v/>
      </c>
      <c r="F754" s="16" t="str">
        <f>IF(Country_8!$C55="","",Country_8!F55)</f>
        <v/>
      </c>
      <c r="G754" s="17" t="str">
        <f>IF(Country_8!$C55="","",Country_8!G55)</f>
        <v/>
      </c>
      <c r="H754" s="17" t="str">
        <f>IF(Country_8!$C55="","",Country_8!H55)</f>
        <v/>
      </c>
      <c r="I754" s="16" t="str">
        <f>IF(Country_8!$C55="","",Country_8!I55)</f>
        <v/>
      </c>
      <c r="J754" s="16" t="str">
        <f>IF(Country_8!$C55="","",Country_8!J55)</f>
        <v/>
      </c>
      <c r="K754" s="18" t="str">
        <f>IF(Country_8!$C55="","",Country_8!K55)</f>
        <v/>
      </c>
      <c r="L754" s="18" t="str">
        <f>IF(Country_8!$C55="","",Country_8!L55)</f>
        <v/>
      </c>
      <c r="M754" s="19" t="str">
        <f>IF(Country_8!$C55="","",Country_8!M55)</f>
        <v/>
      </c>
      <c r="N754" s="16" t="str">
        <f>IF(Country_8!$C55="","",Country_8!N55)</f>
        <v/>
      </c>
      <c r="O754" s="16" t="str">
        <f>IF(Country_8!$C55="","",Country_8!O55)</f>
        <v/>
      </c>
      <c r="P754" s="16" t="str">
        <f>IF(Country_8!$C55="","",Country_8!P55)</f>
        <v/>
      </c>
      <c r="Q754" s="16" t="str">
        <f>IF(Country_8!$C55="","",Country_8!Q55)</f>
        <v/>
      </c>
    </row>
    <row r="755" spans="1:17" x14ac:dyDescent="0.25">
      <c r="A755" s="16" t="str">
        <f>IF(Country_8!$C56="","",Country_8!A56)</f>
        <v/>
      </c>
      <c r="B755" s="16" t="str">
        <f>IF(Country_8!$C56="","",Country_8!B56)</f>
        <v/>
      </c>
      <c r="C755" s="16" t="str">
        <f>IF(Country_8!$C56="","",Country_8!C56)</f>
        <v/>
      </c>
      <c r="D755" s="16" t="str">
        <f>IF(Country_8!$C56="","",Country_8!D56)</f>
        <v/>
      </c>
      <c r="E755" s="16" t="str">
        <f>IF(Country_8!$C56="","",Country_8!E56)</f>
        <v/>
      </c>
      <c r="F755" s="16" t="str">
        <f>IF(Country_8!$C56="","",Country_8!F56)</f>
        <v/>
      </c>
      <c r="G755" s="17" t="str">
        <f>IF(Country_8!$C56="","",Country_8!G56)</f>
        <v/>
      </c>
      <c r="H755" s="17" t="str">
        <f>IF(Country_8!$C56="","",Country_8!H56)</f>
        <v/>
      </c>
      <c r="I755" s="16" t="str">
        <f>IF(Country_8!$C56="","",Country_8!I56)</f>
        <v/>
      </c>
      <c r="J755" s="16" t="str">
        <f>IF(Country_8!$C56="","",Country_8!J56)</f>
        <v/>
      </c>
      <c r="K755" s="18" t="str">
        <f>IF(Country_8!$C56="","",Country_8!K56)</f>
        <v/>
      </c>
      <c r="L755" s="18" t="str">
        <f>IF(Country_8!$C56="","",Country_8!L56)</f>
        <v/>
      </c>
      <c r="M755" s="19" t="str">
        <f>IF(Country_8!$C56="","",Country_8!M56)</f>
        <v/>
      </c>
      <c r="N755" s="16" t="str">
        <f>IF(Country_8!$C56="","",Country_8!N56)</f>
        <v/>
      </c>
      <c r="O755" s="16" t="str">
        <f>IF(Country_8!$C56="","",Country_8!O56)</f>
        <v/>
      </c>
      <c r="P755" s="16" t="str">
        <f>IF(Country_8!$C56="","",Country_8!P56)</f>
        <v/>
      </c>
      <c r="Q755" s="16" t="str">
        <f>IF(Country_8!$C56="","",Country_8!Q56)</f>
        <v/>
      </c>
    </row>
    <row r="756" spans="1:17" x14ac:dyDescent="0.25">
      <c r="A756" s="16" t="str">
        <f>IF(Country_8!$C57="","",Country_8!A57)</f>
        <v/>
      </c>
      <c r="B756" s="16" t="str">
        <f>IF(Country_8!$C57="","",Country_8!B57)</f>
        <v/>
      </c>
      <c r="C756" s="16" t="str">
        <f>IF(Country_8!$C57="","",Country_8!C57)</f>
        <v/>
      </c>
      <c r="D756" s="16" t="str">
        <f>IF(Country_8!$C57="","",Country_8!D57)</f>
        <v/>
      </c>
      <c r="E756" s="16" t="str">
        <f>IF(Country_8!$C57="","",Country_8!E57)</f>
        <v/>
      </c>
      <c r="F756" s="16" t="str">
        <f>IF(Country_8!$C57="","",Country_8!F57)</f>
        <v/>
      </c>
      <c r="G756" s="17" t="str">
        <f>IF(Country_8!$C57="","",Country_8!G57)</f>
        <v/>
      </c>
      <c r="H756" s="17" t="str">
        <f>IF(Country_8!$C57="","",Country_8!H57)</f>
        <v/>
      </c>
      <c r="I756" s="16" t="str">
        <f>IF(Country_8!$C57="","",Country_8!I57)</f>
        <v/>
      </c>
      <c r="J756" s="16" t="str">
        <f>IF(Country_8!$C57="","",Country_8!J57)</f>
        <v/>
      </c>
      <c r="K756" s="18" t="str">
        <f>IF(Country_8!$C57="","",Country_8!K57)</f>
        <v/>
      </c>
      <c r="L756" s="18" t="str">
        <f>IF(Country_8!$C57="","",Country_8!L57)</f>
        <v/>
      </c>
      <c r="M756" s="19" t="str">
        <f>IF(Country_8!$C57="","",Country_8!M57)</f>
        <v/>
      </c>
      <c r="N756" s="16" t="str">
        <f>IF(Country_8!$C57="","",Country_8!N57)</f>
        <v/>
      </c>
      <c r="O756" s="16" t="str">
        <f>IF(Country_8!$C57="","",Country_8!O57)</f>
        <v/>
      </c>
      <c r="P756" s="16" t="str">
        <f>IF(Country_8!$C57="","",Country_8!P57)</f>
        <v/>
      </c>
      <c r="Q756" s="16" t="str">
        <f>IF(Country_8!$C57="","",Country_8!Q57)</f>
        <v/>
      </c>
    </row>
    <row r="757" spans="1:17" x14ac:dyDescent="0.25">
      <c r="A757" s="16" t="str">
        <f>IF(Country_8!$C58="","",Country_8!A58)</f>
        <v/>
      </c>
      <c r="B757" s="16" t="str">
        <f>IF(Country_8!$C58="","",Country_8!B58)</f>
        <v/>
      </c>
      <c r="C757" s="16" t="str">
        <f>IF(Country_8!$C58="","",Country_8!C58)</f>
        <v/>
      </c>
      <c r="D757" s="16" t="str">
        <f>IF(Country_8!$C58="","",Country_8!D58)</f>
        <v/>
      </c>
      <c r="E757" s="16" t="str">
        <f>IF(Country_8!$C58="","",Country_8!E58)</f>
        <v/>
      </c>
      <c r="F757" s="16" t="str">
        <f>IF(Country_8!$C58="","",Country_8!F58)</f>
        <v/>
      </c>
      <c r="G757" s="17" t="str">
        <f>IF(Country_8!$C58="","",Country_8!G58)</f>
        <v/>
      </c>
      <c r="H757" s="17" t="str">
        <f>IF(Country_8!$C58="","",Country_8!H58)</f>
        <v/>
      </c>
      <c r="I757" s="16" t="str">
        <f>IF(Country_8!$C58="","",Country_8!I58)</f>
        <v/>
      </c>
      <c r="J757" s="16" t="str">
        <f>IF(Country_8!$C58="","",Country_8!J58)</f>
        <v/>
      </c>
      <c r="K757" s="18" t="str">
        <f>IF(Country_8!$C58="","",Country_8!K58)</f>
        <v/>
      </c>
      <c r="L757" s="18" t="str">
        <f>IF(Country_8!$C58="","",Country_8!L58)</f>
        <v/>
      </c>
      <c r="M757" s="19" t="str">
        <f>IF(Country_8!$C58="","",Country_8!M58)</f>
        <v/>
      </c>
      <c r="N757" s="16" t="str">
        <f>IF(Country_8!$C58="","",Country_8!N58)</f>
        <v/>
      </c>
      <c r="O757" s="16" t="str">
        <f>IF(Country_8!$C58="","",Country_8!O58)</f>
        <v/>
      </c>
      <c r="P757" s="16" t="str">
        <f>IF(Country_8!$C58="","",Country_8!P58)</f>
        <v/>
      </c>
      <c r="Q757" s="16" t="str">
        <f>IF(Country_8!$C58="","",Country_8!Q58)</f>
        <v/>
      </c>
    </row>
    <row r="758" spans="1:17" x14ac:dyDescent="0.25">
      <c r="A758" s="16" t="str">
        <f>IF(Country_8!$C59="","",Country_8!A59)</f>
        <v/>
      </c>
      <c r="B758" s="16" t="str">
        <f>IF(Country_8!$C59="","",Country_8!B59)</f>
        <v/>
      </c>
      <c r="C758" s="16" t="str">
        <f>IF(Country_8!$C59="","",Country_8!C59)</f>
        <v/>
      </c>
      <c r="D758" s="16" t="str">
        <f>IF(Country_8!$C59="","",Country_8!D59)</f>
        <v/>
      </c>
      <c r="E758" s="16" t="str">
        <f>IF(Country_8!$C59="","",Country_8!E59)</f>
        <v/>
      </c>
      <c r="F758" s="16" t="str">
        <f>IF(Country_8!$C59="","",Country_8!F59)</f>
        <v/>
      </c>
      <c r="G758" s="17" t="str">
        <f>IF(Country_8!$C59="","",Country_8!G59)</f>
        <v/>
      </c>
      <c r="H758" s="17" t="str">
        <f>IF(Country_8!$C59="","",Country_8!H59)</f>
        <v/>
      </c>
      <c r="I758" s="16" t="str">
        <f>IF(Country_8!$C59="","",Country_8!I59)</f>
        <v/>
      </c>
      <c r="J758" s="16" t="str">
        <f>IF(Country_8!$C59="","",Country_8!J59)</f>
        <v/>
      </c>
      <c r="K758" s="18" t="str">
        <f>IF(Country_8!$C59="","",Country_8!K59)</f>
        <v/>
      </c>
      <c r="L758" s="18" t="str">
        <f>IF(Country_8!$C59="","",Country_8!L59)</f>
        <v/>
      </c>
      <c r="M758" s="19" t="str">
        <f>IF(Country_8!$C59="","",Country_8!M59)</f>
        <v/>
      </c>
      <c r="N758" s="16" t="str">
        <f>IF(Country_8!$C59="","",Country_8!N59)</f>
        <v/>
      </c>
      <c r="O758" s="16" t="str">
        <f>IF(Country_8!$C59="","",Country_8!O59)</f>
        <v/>
      </c>
      <c r="P758" s="16" t="str">
        <f>IF(Country_8!$C59="","",Country_8!P59)</f>
        <v/>
      </c>
      <c r="Q758" s="16" t="str">
        <f>IF(Country_8!$C59="","",Country_8!Q59)</f>
        <v/>
      </c>
    </row>
    <row r="759" spans="1:17" x14ac:dyDescent="0.25">
      <c r="A759" s="16" t="str">
        <f>IF(Country_8!$C60="","",Country_8!A60)</f>
        <v/>
      </c>
      <c r="B759" s="16" t="str">
        <f>IF(Country_8!$C60="","",Country_8!B60)</f>
        <v/>
      </c>
      <c r="C759" s="16" t="str">
        <f>IF(Country_8!$C60="","",Country_8!C60)</f>
        <v/>
      </c>
      <c r="D759" s="16" t="str">
        <f>IF(Country_8!$C60="","",Country_8!D60)</f>
        <v/>
      </c>
      <c r="E759" s="16" t="str">
        <f>IF(Country_8!$C60="","",Country_8!E60)</f>
        <v/>
      </c>
      <c r="F759" s="16" t="str">
        <f>IF(Country_8!$C60="","",Country_8!F60)</f>
        <v/>
      </c>
      <c r="G759" s="17" t="str">
        <f>IF(Country_8!$C60="","",Country_8!G60)</f>
        <v/>
      </c>
      <c r="H759" s="17" t="str">
        <f>IF(Country_8!$C60="","",Country_8!H60)</f>
        <v/>
      </c>
      <c r="I759" s="16" t="str">
        <f>IF(Country_8!$C60="","",Country_8!I60)</f>
        <v/>
      </c>
      <c r="J759" s="16" t="str">
        <f>IF(Country_8!$C60="","",Country_8!J60)</f>
        <v/>
      </c>
      <c r="K759" s="18" t="str">
        <f>IF(Country_8!$C60="","",Country_8!K60)</f>
        <v/>
      </c>
      <c r="L759" s="18" t="str">
        <f>IF(Country_8!$C60="","",Country_8!L60)</f>
        <v/>
      </c>
      <c r="M759" s="19" t="str">
        <f>IF(Country_8!$C60="","",Country_8!M60)</f>
        <v/>
      </c>
      <c r="N759" s="16" t="str">
        <f>IF(Country_8!$C60="","",Country_8!N60)</f>
        <v/>
      </c>
      <c r="O759" s="16" t="str">
        <f>IF(Country_8!$C60="","",Country_8!O60)</f>
        <v/>
      </c>
      <c r="P759" s="16" t="str">
        <f>IF(Country_8!$C60="","",Country_8!P60)</f>
        <v/>
      </c>
      <c r="Q759" s="16" t="str">
        <f>IF(Country_8!$C60="","",Country_8!Q60)</f>
        <v/>
      </c>
    </row>
    <row r="760" spans="1:17" x14ac:dyDescent="0.25">
      <c r="A760" s="16" t="str">
        <f>IF(Country_8!$C61="","",Country_8!A61)</f>
        <v/>
      </c>
      <c r="B760" s="16" t="str">
        <f>IF(Country_8!$C61="","",Country_8!B61)</f>
        <v/>
      </c>
      <c r="C760" s="16" t="str">
        <f>IF(Country_8!$C61="","",Country_8!C61)</f>
        <v/>
      </c>
      <c r="D760" s="16" t="str">
        <f>IF(Country_8!$C61="","",Country_8!D61)</f>
        <v/>
      </c>
      <c r="E760" s="16" t="str">
        <f>IF(Country_8!$C61="","",Country_8!E61)</f>
        <v/>
      </c>
      <c r="F760" s="16" t="str">
        <f>IF(Country_8!$C61="","",Country_8!F61)</f>
        <v/>
      </c>
      <c r="G760" s="17" t="str">
        <f>IF(Country_8!$C61="","",Country_8!G61)</f>
        <v/>
      </c>
      <c r="H760" s="17" t="str">
        <f>IF(Country_8!$C61="","",Country_8!H61)</f>
        <v/>
      </c>
      <c r="I760" s="16" t="str">
        <f>IF(Country_8!$C61="","",Country_8!I61)</f>
        <v/>
      </c>
      <c r="J760" s="16" t="str">
        <f>IF(Country_8!$C61="","",Country_8!J61)</f>
        <v/>
      </c>
      <c r="K760" s="18" t="str">
        <f>IF(Country_8!$C61="","",Country_8!K61)</f>
        <v/>
      </c>
      <c r="L760" s="18" t="str">
        <f>IF(Country_8!$C61="","",Country_8!L61)</f>
        <v/>
      </c>
      <c r="M760" s="19" t="str">
        <f>IF(Country_8!$C61="","",Country_8!M61)</f>
        <v/>
      </c>
      <c r="N760" s="16" t="str">
        <f>IF(Country_8!$C61="","",Country_8!N61)</f>
        <v/>
      </c>
      <c r="O760" s="16" t="str">
        <f>IF(Country_8!$C61="","",Country_8!O61)</f>
        <v/>
      </c>
      <c r="P760" s="16" t="str">
        <f>IF(Country_8!$C61="","",Country_8!P61)</f>
        <v/>
      </c>
      <c r="Q760" s="16" t="str">
        <f>IF(Country_8!$C61="","",Country_8!Q61)</f>
        <v/>
      </c>
    </row>
    <row r="761" spans="1:17" x14ac:dyDescent="0.25">
      <c r="A761" s="16" t="str">
        <f>IF(Country_8!$C62="","",Country_8!A62)</f>
        <v/>
      </c>
      <c r="B761" s="16" t="str">
        <f>IF(Country_8!$C62="","",Country_8!B62)</f>
        <v/>
      </c>
      <c r="C761" s="16" t="str">
        <f>IF(Country_8!$C62="","",Country_8!C62)</f>
        <v/>
      </c>
      <c r="D761" s="16" t="str">
        <f>IF(Country_8!$C62="","",Country_8!D62)</f>
        <v/>
      </c>
      <c r="E761" s="16" t="str">
        <f>IF(Country_8!$C62="","",Country_8!E62)</f>
        <v/>
      </c>
      <c r="F761" s="16" t="str">
        <f>IF(Country_8!$C62="","",Country_8!F62)</f>
        <v/>
      </c>
      <c r="G761" s="17" t="str">
        <f>IF(Country_8!$C62="","",Country_8!G62)</f>
        <v/>
      </c>
      <c r="H761" s="17" t="str">
        <f>IF(Country_8!$C62="","",Country_8!H62)</f>
        <v/>
      </c>
      <c r="I761" s="16" t="str">
        <f>IF(Country_8!$C62="","",Country_8!I62)</f>
        <v/>
      </c>
      <c r="J761" s="16" t="str">
        <f>IF(Country_8!$C62="","",Country_8!J62)</f>
        <v/>
      </c>
      <c r="K761" s="18" t="str">
        <f>IF(Country_8!$C62="","",Country_8!K62)</f>
        <v/>
      </c>
      <c r="L761" s="18" t="str">
        <f>IF(Country_8!$C62="","",Country_8!L62)</f>
        <v/>
      </c>
      <c r="M761" s="19" t="str">
        <f>IF(Country_8!$C62="","",Country_8!M62)</f>
        <v/>
      </c>
      <c r="N761" s="16" t="str">
        <f>IF(Country_8!$C62="","",Country_8!N62)</f>
        <v/>
      </c>
      <c r="O761" s="16" t="str">
        <f>IF(Country_8!$C62="","",Country_8!O62)</f>
        <v/>
      </c>
      <c r="P761" s="16" t="str">
        <f>IF(Country_8!$C62="","",Country_8!P62)</f>
        <v/>
      </c>
      <c r="Q761" s="16" t="str">
        <f>IF(Country_8!$C62="","",Country_8!Q62)</f>
        <v/>
      </c>
    </row>
    <row r="762" spans="1:17" x14ac:dyDescent="0.25">
      <c r="A762" s="16" t="str">
        <f>IF(Country_8!$C63="","",Country_8!A63)</f>
        <v/>
      </c>
      <c r="B762" s="16" t="str">
        <f>IF(Country_8!$C63="","",Country_8!B63)</f>
        <v/>
      </c>
      <c r="C762" s="16" t="str">
        <f>IF(Country_8!$C63="","",Country_8!C63)</f>
        <v/>
      </c>
      <c r="D762" s="16" t="str">
        <f>IF(Country_8!$C63="","",Country_8!D63)</f>
        <v/>
      </c>
      <c r="E762" s="16" t="str">
        <f>IF(Country_8!$C63="","",Country_8!E63)</f>
        <v/>
      </c>
      <c r="F762" s="16" t="str">
        <f>IF(Country_8!$C63="","",Country_8!F63)</f>
        <v/>
      </c>
      <c r="G762" s="17" t="str">
        <f>IF(Country_8!$C63="","",Country_8!G63)</f>
        <v/>
      </c>
      <c r="H762" s="17" t="str">
        <f>IF(Country_8!$C63="","",Country_8!H63)</f>
        <v/>
      </c>
      <c r="I762" s="16" t="str">
        <f>IF(Country_8!$C63="","",Country_8!I63)</f>
        <v/>
      </c>
      <c r="J762" s="16" t="str">
        <f>IF(Country_8!$C63="","",Country_8!J63)</f>
        <v/>
      </c>
      <c r="K762" s="18" t="str">
        <f>IF(Country_8!$C63="","",Country_8!K63)</f>
        <v/>
      </c>
      <c r="L762" s="18" t="str">
        <f>IF(Country_8!$C63="","",Country_8!L63)</f>
        <v/>
      </c>
      <c r="M762" s="19" t="str">
        <f>IF(Country_8!$C63="","",Country_8!M63)</f>
        <v/>
      </c>
      <c r="N762" s="16" t="str">
        <f>IF(Country_8!$C63="","",Country_8!N63)</f>
        <v/>
      </c>
      <c r="O762" s="16" t="str">
        <f>IF(Country_8!$C63="","",Country_8!O63)</f>
        <v/>
      </c>
      <c r="P762" s="16" t="str">
        <f>IF(Country_8!$C63="","",Country_8!P63)</f>
        <v/>
      </c>
      <c r="Q762" s="16" t="str">
        <f>IF(Country_8!$C63="","",Country_8!Q63)</f>
        <v/>
      </c>
    </row>
    <row r="763" spans="1:17" x14ac:dyDescent="0.25">
      <c r="A763" s="16" t="str">
        <f>IF(Country_8!$C64="","",Country_8!A64)</f>
        <v/>
      </c>
      <c r="B763" s="16" t="str">
        <f>IF(Country_8!$C64="","",Country_8!B64)</f>
        <v/>
      </c>
      <c r="C763" s="16" t="str">
        <f>IF(Country_8!$C64="","",Country_8!C64)</f>
        <v/>
      </c>
      <c r="D763" s="16" t="str">
        <f>IF(Country_8!$C64="","",Country_8!D64)</f>
        <v/>
      </c>
      <c r="E763" s="16" t="str">
        <f>IF(Country_8!$C64="","",Country_8!E64)</f>
        <v/>
      </c>
      <c r="F763" s="16" t="str">
        <f>IF(Country_8!$C64="","",Country_8!F64)</f>
        <v/>
      </c>
      <c r="G763" s="17" t="str">
        <f>IF(Country_8!$C64="","",Country_8!G64)</f>
        <v/>
      </c>
      <c r="H763" s="17" t="str">
        <f>IF(Country_8!$C64="","",Country_8!H64)</f>
        <v/>
      </c>
      <c r="I763" s="16" t="str">
        <f>IF(Country_8!$C64="","",Country_8!I64)</f>
        <v/>
      </c>
      <c r="J763" s="16" t="str">
        <f>IF(Country_8!$C64="","",Country_8!J64)</f>
        <v/>
      </c>
      <c r="K763" s="18" t="str">
        <f>IF(Country_8!$C64="","",Country_8!K64)</f>
        <v/>
      </c>
      <c r="L763" s="18" t="str">
        <f>IF(Country_8!$C64="","",Country_8!L64)</f>
        <v/>
      </c>
      <c r="M763" s="19" t="str">
        <f>IF(Country_8!$C64="","",Country_8!M64)</f>
        <v/>
      </c>
      <c r="N763" s="16" t="str">
        <f>IF(Country_8!$C64="","",Country_8!N64)</f>
        <v/>
      </c>
      <c r="O763" s="16" t="str">
        <f>IF(Country_8!$C64="","",Country_8!O64)</f>
        <v/>
      </c>
      <c r="P763" s="16" t="str">
        <f>IF(Country_8!$C64="","",Country_8!P64)</f>
        <v/>
      </c>
      <c r="Q763" s="16" t="str">
        <f>IF(Country_8!$C64="","",Country_8!Q64)</f>
        <v/>
      </c>
    </row>
    <row r="764" spans="1:17" x14ac:dyDescent="0.25">
      <c r="A764" s="16" t="str">
        <f>IF(Country_8!$C65="","",Country_8!A65)</f>
        <v/>
      </c>
      <c r="B764" s="16" t="str">
        <f>IF(Country_8!$C65="","",Country_8!B65)</f>
        <v/>
      </c>
      <c r="C764" s="16" t="str">
        <f>IF(Country_8!$C65="","",Country_8!C65)</f>
        <v/>
      </c>
      <c r="D764" s="16" t="str">
        <f>IF(Country_8!$C65="","",Country_8!D65)</f>
        <v/>
      </c>
      <c r="E764" s="16" t="str">
        <f>IF(Country_8!$C65="","",Country_8!E65)</f>
        <v/>
      </c>
      <c r="F764" s="16" t="str">
        <f>IF(Country_8!$C65="","",Country_8!F65)</f>
        <v/>
      </c>
      <c r="G764" s="17" t="str">
        <f>IF(Country_8!$C65="","",Country_8!G65)</f>
        <v/>
      </c>
      <c r="H764" s="17" t="str">
        <f>IF(Country_8!$C65="","",Country_8!H65)</f>
        <v/>
      </c>
      <c r="I764" s="16" t="str">
        <f>IF(Country_8!$C65="","",Country_8!I65)</f>
        <v/>
      </c>
      <c r="J764" s="16" t="str">
        <f>IF(Country_8!$C65="","",Country_8!J65)</f>
        <v/>
      </c>
      <c r="K764" s="18" t="str">
        <f>IF(Country_8!$C65="","",Country_8!K65)</f>
        <v/>
      </c>
      <c r="L764" s="18" t="str">
        <f>IF(Country_8!$C65="","",Country_8!L65)</f>
        <v/>
      </c>
      <c r="M764" s="19" t="str">
        <f>IF(Country_8!$C65="","",Country_8!M65)</f>
        <v/>
      </c>
      <c r="N764" s="16" t="str">
        <f>IF(Country_8!$C65="","",Country_8!N65)</f>
        <v/>
      </c>
      <c r="O764" s="16" t="str">
        <f>IF(Country_8!$C65="","",Country_8!O65)</f>
        <v/>
      </c>
      <c r="P764" s="16" t="str">
        <f>IF(Country_8!$C65="","",Country_8!P65)</f>
        <v/>
      </c>
      <c r="Q764" s="16" t="str">
        <f>IF(Country_8!$C65="","",Country_8!Q65)</f>
        <v/>
      </c>
    </row>
    <row r="765" spans="1:17" x14ac:dyDescent="0.25">
      <c r="A765" s="16" t="str">
        <f>IF(Country_8!$C66="","",Country_8!A66)</f>
        <v/>
      </c>
      <c r="B765" s="16" t="str">
        <f>IF(Country_8!$C66="","",Country_8!B66)</f>
        <v/>
      </c>
      <c r="C765" s="16" t="str">
        <f>IF(Country_8!$C66="","",Country_8!C66)</f>
        <v/>
      </c>
      <c r="D765" s="16" t="str">
        <f>IF(Country_8!$C66="","",Country_8!D66)</f>
        <v/>
      </c>
      <c r="E765" s="16" t="str">
        <f>IF(Country_8!$C66="","",Country_8!E66)</f>
        <v/>
      </c>
      <c r="F765" s="16" t="str">
        <f>IF(Country_8!$C66="","",Country_8!F66)</f>
        <v/>
      </c>
      <c r="G765" s="17" t="str">
        <f>IF(Country_8!$C66="","",Country_8!G66)</f>
        <v/>
      </c>
      <c r="H765" s="17" t="str">
        <f>IF(Country_8!$C66="","",Country_8!H66)</f>
        <v/>
      </c>
      <c r="I765" s="16" t="str">
        <f>IF(Country_8!$C66="","",Country_8!I66)</f>
        <v/>
      </c>
      <c r="J765" s="16" t="str">
        <f>IF(Country_8!$C66="","",Country_8!J66)</f>
        <v/>
      </c>
      <c r="K765" s="18" t="str">
        <f>IF(Country_8!$C66="","",Country_8!K66)</f>
        <v/>
      </c>
      <c r="L765" s="18" t="str">
        <f>IF(Country_8!$C66="","",Country_8!L66)</f>
        <v/>
      </c>
      <c r="M765" s="19" t="str">
        <f>IF(Country_8!$C66="","",Country_8!M66)</f>
        <v/>
      </c>
      <c r="N765" s="16" t="str">
        <f>IF(Country_8!$C66="","",Country_8!N66)</f>
        <v/>
      </c>
      <c r="O765" s="16" t="str">
        <f>IF(Country_8!$C66="","",Country_8!O66)</f>
        <v/>
      </c>
      <c r="P765" s="16" t="str">
        <f>IF(Country_8!$C66="","",Country_8!P66)</f>
        <v/>
      </c>
      <c r="Q765" s="16" t="str">
        <f>IF(Country_8!$C66="","",Country_8!Q66)</f>
        <v/>
      </c>
    </row>
    <row r="766" spans="1:17" x14ac:dyDescent="0.25">
      <c r="A766" s="16" t="str">
        <f>IF(Country_8!$C67="","",Country_8!A67)</f>
        <v/>
      </c>
      <c r="B766" s="16" t="str">
        <f>IF(Country_8!$C67="","",Country_8!B67)</f>
        <v/>
      </c>
      <c r="C766" s="16" t="str">
        <f>IF(Country_8!$C67="","",Country_8!C67)</f>
        <v/>
      </c>
      <c r="D766" s="16" t="str">
        <f>IF(Country_8!$C67="","",Country_8!D67)</f>
        <v/>
      </c>
      <c r="E766" s="16" t="str">
        <f>IF(Country_8!$C67="","",Country_8!E67)</f>
        <v/>
      </c>
      <c r="F766" s="16" t="str">
        <f>IF(Country_8!$C67="","",Country_8!F67)</f>
        <v/>
      </c>
      <c r="G766" s="17" t="str">
        <f>IF(Country_8!$C67="","",Country_8!G67)</f>
        <v/>
      </c>
      <c r="H766" s="17" t="str">
        <f>IF(Country_8!$C67="","",Country_8!H67)</f>
        <v/>
      </c>
      <c r="I766" s="16" t="str">
        <f>IF(Country_8!$C67="","",Country_8!I67)</f>
        <v/>
      </c>
      <c r="J766" s="16" t="str">
        <f>IF(Country_8!$C67="","",Country_8!J67)</f>
        <v/>
      </c>
      <c r="K766" s="18" t="str">
        <f>IF(Country_8!$C67="","",Country_8!K67)</f>
        <v/>
      </c>
      <c r="L766" s="18" t="str">
        <f>IF(Country_8!$C67="","",Country_8!L67)</f>
        <v/>
      </c>
      <c r="M766" s="19" t="str">
        <f>IF(Country_8!$C67="","",Country_8!M67)</f>
        <v/>
      </c>
      <c r="N766" s="16" t="str">
        <f>IF(Country_8!$C67="","",Country_8!N67)</f>
        <v/>
      </c>
      <c r="O766" s="16" t="str">
        <f>IF(Country_8!$C67="","",Country_8!O67)</f>
        <v/>
      </c>
      <c r="P766" s="16" t="str">
        <f>IF(Country_8!$C67="","",Country_8!P67)</f>
        <v/>
      </c>
      <c r="Q766" s="16" t="str">
        <f>IF(Country_8!$C67="","",Country_8!Q67)</f>
        <v/>
      </c>
    </row>
    <row r="767" spans="1:17" x14ac:dyDescent="0.25">
      <c r="A767" s="16" t="str">
        <f>IF(Country_8!$C68="","",Country_8!A68)</f>
        <v/>
      </c>
      <c r="B767" s="16" t="str">
        <f>IF(Country_8!$C68="","",Country_8!B68)</f>
        <v/>
      </c>
      <c r="C767" s="16" t="str">
        <f>IF(Country_8!$C68="","",Country_8!C68)</f>
        <v/>
      </c>
      <c r="D767" s="16" t="str">
        <f>IF(Country_8!$C68="","",Country_8!D68)</f>
        <v/>
      </c>
      <c r="E767" s="16" t="str">
        <f>IF(Country_8!$C68="","",Country_8!E68)</f>
        <v/>
      </c>
      <c r="F767" s="16" t="str">
        <f>IF(Country_8!$C68="","",Country_8!F68)</f>
        <v/>
      </c>
      <c r="G767" s="17" t="str">
        <f>IF(Country_8!$C68="","",Country_8!G68)</f>
        <v/>
      </c>
      <c r="H767" s="17" t="str">
        <f>IF(Country_8!$C68="","",Country_8!H68)</f>
        <v/>
      </c>
      <c r="I767" s="16" t="str">
        <f>IF(Country_8!$C68="","",Country_8!I68)</f>
        <v/>
      </c>
      <c r="J767" s="16" t="str">
        <f>IF(Country_8!$C68="","",Country_8!J68)</f>
        <v/>
      </c>
      <c r="K767" s="18" t="str">
        <f>IF(Country_8!$C68="","",Country_8!K68)</f>
        <v/>
      </c>
      <c r="L767" s="18" t="str">
        <f>IF(Country_8!$C68="","",Country_8!L68)</f>
        <v/>
      </c>
      <c r="M767" s="19" t="str">
        <f>IF(Country_8!$C68="","",Country_8!M68)</f>
        <v/>
      </c>
      <c r="N767" s="16" t="str">
        <f>IF(Country_8!$C68="","",Country_8!N68)</f>
        <v/>
      </c>
      <c r="O767" s="16" t="str">
        <f>IF(Country_8!$C68="","",Country_8!O68)</f>
        <v/>
      </c>
      <c r="P767" s="16" t="str">
        <f>IF(Country_8!$C68="","",Country_8!P68)</f>
        <v/>
      </c>
      <c r="Q767" s="16" t="str">
        <f>IF(Country_8!$C68="","",Country_8!Q68)</f>
        <v/>
      </c>
    </row>
    <row r="768" spans="1:17" x14ac:dyDescent="0.25">
      <c r="A768" s="16" t="str">
        <f>IF(Country_8!$C69="","",Country_8!A69)</f>
        <v/>
      </c>
      <c r="B768" s="16" t="str">
        <f>IF(Country_8!$C69="","",Country_8!B69)</f>
        <v/>
      </c>
      <c r="C768" s="16" t="str">
        <f>IF(Country_8!$C69="","",Country_8!C69)</f>
        <v/>
      </c>
      <c r="D768" s="16" t="str">
        <f>IF(Country_8!$C69="","",Country_8!D69)</f>
        <v/>
      </c>
      <c r="E768" s="16" t="str">
        <f>IF(Country_8!$C69="","",Country_8!E69)</f>
        <v/>
      </c>
      <c r="F768" s="16" t="str">
        <f>IF(Country_8!$C69="","",Country_8!F69)</f>
        <v/>
      </c>
      <c r="G768" s="17" t="str">
        <f>IF(Country_8!$C69="","",Country_8!G69)</f>
        <v/>
      </c>
      <c r="H768" s="17" t="str">
        <f>IF(Country_8!$C69="","",Country_8!H69)</f>
        <v/>
      </c>
      <c r="I768" s="16" t="str">
        <f>IF(Country_8!$C69="","",Country_8!I69)</f>
        <v/>
      </c>
      <c r="J768" s="16" t="str">
        <f>IF(Country_8!$C69="","",Country_8!J69)</f>
        <v/>
      </c>
      <c r="K768" s="18" t="str">
        <f>IF(Country_8!$C69="","",Country_8!K69)</f>
        <v/>
      </c>
      <c r="L768" s="18" t="str">
        <f>IF(Country_8!$C69="","",Country_8!L69)</f>
        <v/>
      </c>
      <c r="M768" s="19" t="str">
        <f>IF(Country_8!$C69="","",Country_8!M69)</f>
        <v/>
      </c>
      <c r="N768" s="16" t="str">
        <f>IF(Country_8!$C69="","",Country_8!N69)</f>
        <v/>
      </c>
      <c r="O768" s="16" t="str">
        <f>IF(Country_8!$C69="","",Country_8!O69)</f>
        <v/>
      </c>
      <c r="P768" s="16" t="str">
        <f>IF(Country_8!$C69="","",Country_8!P69)</f>
        <v/>
      </c>
      <c r="Q768" s="16" t="str">
        <f>IF(Country_8!$C69="","",Country_8!Q69)</f>
        <v/>
      </c>
    </row>
    <row r="769" spans="1:17" x14ac:dyDescent="0.25">
      <c r="A769" s="16" t="str">
        <f>IF(Country_8!$C70="","",Country_8!A70)</f>
        <v/>
      </c>
      <c r="B769" s="16" t="str">
        <f>IF(Country_8!$C70="","",Country_8!B70)</f>
        <v/>
      </c>
      <c r="C769" s="16" t="str">
        <f>IF(Country_8!$C70="","",Country_8!C70)</f>
        <v/>
      </c>
      <c r="D769" s="16" t="str">
        <f>IF(Country_8!$C70="","",Country_8!D70)</f>
        <v/>
      </c>
      <c r="E769" s="16" t="str">
        <f>IF(Country_8!$C70="","",Country_8!E70)</f>
        <v/>
      </c>
      <c r="F769" s="16" t="str">
        <f>IF(Country_8!$C70="","",Country_8!F70)</f>
        <v/>
      </c>
      <c r="G769" s="17" t="str">
        <f>IF(Country_8!$C70="","",Country_8!G70)</f>
        <v/>
      </c>
      <c r="H769" s="17" t="str">
        <f>IF(Country_8!$C70="","",Country_8!H70)</f>
        <v/>
      </c>
      <c r="I769" s="16" t="str">
        <f>IF(Country_8!$C70="","",Country_8!I70)</f>
        <v/>
      </c>
      <c r="J769" s="16" t="str">
        <f>IF(Country_8!$C70="","",Country_8!J70)</f>
        <v/>
      </c>
      <c r="K769" s="18" t="str">
        <f>IF(Country_8!$C70="","",Country_8!K70)</f>
        <v/>
      </c>
      <c r="L769" s="18" t="str">
        <f>IF(Country_8!$C70="","",Country_8!L70)</f>
        <v/>
      </c>
      <c r="M769" s="19" t="str">
        <f>IF(Country_8!$C70="","",Country_8!M70)</f>
        <v/>
      </c>
      <c r="N769" s="16" t="str">
        <f>IF(Country_8!$C70="","",Country_8!N70)</f>
        <v/>
      </c>
      <c r="O769" s="16" t="str">
        <f>IF(Country_8!$C70="","",Country_8!O70)</f>
        <v/>
      </c>
      <c r="P769" s="16" t="str">
        <f>IF(Country_8!$C70="","",Country_8!P70)</f>
        <v/>
      </c>
      <c r="Q769" s="16" t="str">
        <f>IF(Country_8!$C70="","",Country_8!Q70)</f>
        <v/>
      </c>
    </row>
    <row r="770" spans="1:17" x14ac:dyDescent="0.25">
      <c r="A770" s="16" t="str">
        <f>IF(Country_8!$C71="","",Country_8!A71)</f>
        <v/>
      </c>
      <c r="B770" s="16" t="str">
        <f>IF(Country_8!$C71="","",Country_8!B71)</f>
        <v/>
      </c>
      <c r="C770" s="16" t="str">
        <f>IF(Country_8!$C71="","",Country_8!C71)</f>
        <v/>
      </c>
      <c r="D770" s="16" t="str">
        <f>IF(Country_8!$C71="","",Country_8!D71)</f>
        <v/>
      </c>
      <c r="E770" s="16" t="str">
        <f>IF(Country_8!$C71="","",Country_8!E71)</f>
        <v/>
      </c>
      <c r="F770" s="16" t="str">
        <f>IF(Country_8!$C71="","",Country_8!F71)</f>
        <v/>
      </c>
      <c r="G770" s="17" t="str">
        <f>IF(Country_8!$C71="","",Country_8!G71)</f>
        <v/>
      </c>
      <c r="H770" s="17" t="str">
        <f>IF(Country_8!$C71="","",Country_8!H71)</f>
        <v/>
      </c>
      <c r="I770" s="16" t="str">
        <f>IF(Country_8!$C71="","",Country_8!I71)</f>
        <v/>
      </c>
      <c r="J770" s="16" t="str">
        <f>IF(Country_8!$C71="","",Country_8!J71)</f>
        <v/>
      </c>
      <c r="K770" s="18" t="str">
        <f>IF(Country_8!$C71="","",Country_8!K71)</f>
        <v/>
      </c>
      <c r="L770" s="18" t="str">
        <f>IF(Country_8!$C71="","",Country_8!L71)</f>
        <v/>
      </c>
      <c r="M770" s="19" t="str">
        <f>IF(Country_8!$C71="","",Country_8!M71)</f>
        <v/>
      </c>
      <c r="N770" s="16" t="str">
        <f>IF(Country_8!$C71="","",Country_8!N71)</f>
        <v/>
      </c>
      <c r="O770" s="16" t="str">
        <f>IF(Country_8!$C71="","",Country_8!O71)</f>
        <v/>
      </c>
      <c r="P770" s="16" t="str">
        <f>IF(Country_8!$C71="","",Country_8!P71)</f>
        <v/>
      </c>
      <c r="Q770" s="16" t="str">
        <f>IF(Country_8!$C71="","",Country_8!Q71)</f>
        <v/>
      </c>
    </row>
    <row r="771" spans="1:17" x14ac:dyDescent="0.25">
      <c r="A771" s="16" t="str">
        <f>IF(Country_8!$C72="","",Country_8!A72)</f>
        <v/>
      </c>
      <c r="B771" s="16" t="str">
        <f>IF(Country_8!$C72="","",Country_8!B72)</f>
        <v/>
      </c>
      <c r="C771" s="16" t="str">
        <f>IF(Country_8!$C72="","",Country_8!C72)</f>
        <v/>
      </c>
      <c r="D771" s="16" t="str">
        <f>IF(Country_8!$C72="","",Country_8!D72)</f>
        <v/>
      </c>
      <c r="E771" s="16" t="str">
        <f>IF(Country_8!$C72="","",Country_8!E72)</f>
        <v/>
      </c>
      <c r="F771" s="16" t="str">
        <f>IF(Country_8!$C72="","",Country_8!F72)</f>
        <v/>
      </c>
      <c r="G771" s="17" t="str">
        <f>IF(Country_8!$C72="","",Country_8!G72)</f>
        <v/>
      </c>
      <c r="H771" s="17" t="str">
        <f>IF(Country_8!$C72="","",Country_8!H72)</f>
        <v/>
      </c>
      <c r="I771" s="16" t="str">
        <f>IF(Country_8!$C72="","",Country_8!I72)</f>
        <v/>
      </c>
      <c r="J771" s="16" t="str">
        <f>IF(Country_8!$C72="","",Country_8!J72)</f>
        <v/>
      </c>
      <c r="K771" s="18" t="str">
        <f>IF(Country_8!$C72="","",Country_8!K72)</f>
        <v/>
      </c>
      <c r="L771" s="18" t="str">
        <f>IF(Country_8!$C72="","",Country_8!L72)</f>
        <v/>
      </c>
      <c r="M771" s="19" t="str">
        <f>IF(Country_8!$C72="","",Country_8!M72)</f>
        <v/>
      </c>
      <c r="N771" s="16" t="str">
        <f>IF(Country_8!$C72="","",Country_8!N72)</f>
        <v/>
      </c>
      <c r="O771" s="16" t="str">
        <f>IF(Country_8!$C72="","",Country_8!O72)</f>
        <v/>
      </c>
      <c r="P771" s="16" t="str">
        <f>IF(Country_8!$C72="","",Country_8!P72)</f>
        <v/>
      </c>
      <c r="Q771" s="16" t="str">
        <f>IF(Country_8!$C72="","",Country_8!Q72)</f>
        <v/>
      </c>
    </row>
    <row r="772" spans="1:17" x14ac:dyDescent="0.25">
      <c r="A772" s="16" t="str">
        <f>IF(Country_8!$C73="","",Country_8!A73)</f>
        <v/>
      </c>
      <c r="B772" s="16" t="str">
        <f>IF(Country_8!$C73="","",Country_8!B73)</f>
        <v/>
      </c>
      <c r="C772" s="16" t="str">
        <f>IF(Country_8!$C73="","",Country_8!C73)</f>
        <v/>
      </c>
      <c r="D772" s="16" t="str">
        <f>IF(Country_8!$C73="","",Country_8!D73)</f>
        <v/>
      </c>
      <c r="E772" s="16" t="str">
        <f>IF(Country_8!$C73="","",Country_8!E73)</f>
        <v/>
      </c>
      <c r="F772" s="16" t="str">
        <f>IF(Country_8!$C73="","",Country_8!F73)</f>
        <v/>
      </c>
      <c r="G772" s="17" t="str">
        <f>IF(Country_8!$C73="","",Country_8!G73)</f>
        <v/>
      </c>
      <c r="H772" s="17" t="str">
        <f>IF(Country_8!$C73="","",Country_8!H73)</f>
        <v/>
      </c>
      <c r="I772" s="16" t="str">
        <f>IF(Country_8!$C73="","",Country_8!I73)</f>
        <v/>
      </c>
      <c r="J772" s="16" t="str">
        <f>IF(Country_8!$C73="","",Country_8!J73)</f>
        <v/>
      </c>
      <c r="K772" s="18" t="str">
        <f>IF(Country_8!$C73="","",Country_8!K73)</f>
        <v/>
      </c>
      <c r="L772" s="18" t="str">
        <f>IF(Country_8!$C73="","",Country_8!L73)</f>
        <v/>
      </c>
      <c r="M772" s="19" t="str">
        <f>IF(Country_8!$C73="","",Country_8!M73)</f>
        <v/>
      </c>
      <c r="N772" s="16" t="str">
        <f>IF(Country_8!$C73="","",Country_8!N73)</f>
        <v/>
      </c>
      <c r="O772" s="16" t="str">
        <f>IF(Country_8!$C73="","",Country_8!O73)</f>
        <v/>
      </c>
      <c r="P772" s="16" t="str">
        <f>IF(Country_8!$C73="","",Country_8!P73)</f>
        <v/>
      </c>
      <c r="Q772" s="16" t="str">
        <f>IF(Country_8!$C73="","",Country_8!Q73)</f>
        <v/>
      </c>
    </row>
    <row r="773" spans="1:17" x14ac:dyDescent="0.25">
      <c r="A773" s="16" t="str">
        <f>IF(Country_8!$C74="","",Country_8!A74)</f>
        <v/>
      </c>
      <c r="B773" s="16" t="str">
        <f>IF(Country_8!$C74="","",Country_8!B74)</f>
        <v/>
      </c>
      <c r="C773" s="16" t="str">
        <f>IF(Country_8!$C74="","",Country_8!C74)</f>
        <v/>
      </c>
      <c r="D773" s="16" t="str">
        <f>IF(Country_8!$C74="","",Country_8!D74)</f>
        <v/>
      </c>
      <c r="E773" s="16" t="str">
        <f>IF(Country_8!$C74="","",Country_8!E74)</f>
        <v/>
      </c>
      <c r="F773" s="16" t="str">
        <f>IF(Country_8!$C74="","",Country_8!F74)</f>
        <v/>
      </c>
      <c r="G773" s="17" t="str">
        <f>IF(Country_8!$C74="","",Country_8!G74)</f>
        <v/>
      </c>
      <c r="H773" s="17" t="str">
        <f>IF(Country_8!$C74="","",Country_8!H74)</f>
        <v/>
      </c>
      <c r="I773" s="16" t="str">
        <f>IF(Country_8!$C74="","",Country_8!I74)</f>
        <v/>
      </c>
      <c r="J773" s="16" t="str">
        <f>IF(Country_8!$C74="","",Country_8!J74)</f>
        <v/>
      </c>
      <c r="K773" s="18" t="str">
        <f>IF(Country_8!$C74="","",Country_8!K74)</f>
        <v/>
      </c>
      <c r="L773" s="18" t="str">
        <f>IF(Country_8!$C74="","",Country_8!L74)</f>
        <v/>
      </c>
      <c r="M773" s="19" t="str">
        <f>IF(Country_8!$C74="","",Country_8!M74)</f>
        <v/>
      </c>
      <c r="N773" s="16" t="str">
        <f>IF(Country_8!$C74="","",Country_8!N74)</f>
        <v/>
      </c>
      <c r="O773" s="16" t="str">
        <f>IF(Country_8!$C74="","",Country_8!O74)</f>
        <v/>
      </c>
      <c r="P773" s="16" t="str">
        <f>IF(Country_8!$C74="","",Country_8!P74)</f>
        <v/>
      </c>
      <c r="Q773" s="16" t="str">
        <f>IF(Country_8!$C74="","",Country_8!Q74)</f>
        <v/>
      </c>
    </row>
    <row r="774" spans="1:17" x14ac:dyDescent="0.25">
      <c r="A774" s="16" t="str">
        <f>IF(Country_8!$C75="","",Country_8!A75)</f>
        <v/>
      </c>
      <c r="B774" s="16" t="str">
        <f>IF(Country_8!$C75="","",Country_8!B75)</f>
        <v/>
      </c>
      <c r="C774" s="16" t="str">
        <f>IF(Country_8!$C75="","",Country_8!C75)</f>
        <v/>
      </c>
      <c r="D774" s="16" t="str">
        <f>IF(Country_8!$C75="","",Country_8!D75)</f>
        <v/>
      </c>
      <c r="E774" s="16" t="str">
        <f>IF(Country_8!$C75="","",Country_8!E75)</f>
        <v/>
      </c>
      <c r="F774" s="16" t="str">
        <f>IF(Country_8!$C75="","",Country_8!F75)</f>
        <v/>
      </c>
      <c r="G774" s="17" t="str">
        <f>IF(Country_8!$C75="","",Country_8!G75)</f>
        <v/>
      </c>
      <c r="H774" s="17" t="str">
        <f>IF(Country_8!$C75="","",Country_8!H75)</f>
        <v/>
      </c>
      <c r="I774" s="16" t="str">
        <f>IF(Country_8!$C75="","",Country_8!I75)</f>
        <v/>
      </c>
      <c r="J774" s="16" t="str">
        <f>IF(Country_8!$C75="","",Country_8!J75)</f>
        <v/>
      </c>
      <c r="K774" s="18" t="str">
        <f>IF(Country_8!$C75="","",Country_8!K75)</f>
        <v/>
      </c>
      <c r="L774" s="18" t="str">
        <f>IF(Country_8!$C75="","",Country_8!L75)</f>
        <v/>
      </c>
      <c r="M774" s="19" t="str">
        <f>IF(Country_8!$C75="","",Country_8!M75)</f>
        <v/>
      </c>
      <c r="N774" s="16" t="str">
        <f>IF(Country_8!$C75="","",Country_8!N75)</f>
        <v/>
      </c>
      <c r="O774" s="16" t="str">
        <f>IF(Country_8!$C75="","",Country_8!O75)</f>
        <v/>
      </c>
      <c r="P774" s="16" t="str">
        <f>IF(Country_8!$C75="","",Country_8!P75)</f>
        <v/>
      </c>
      <c r="Q774" s="16" t="str">
        <f>IF(Country_8!$C75="","",Country_8!Q75)</f>
        <v/>
      </c>
    </row>
    <row r="775" spans="1:17" x14ac:dyDescent="0.25">
      <c r="A775" s="16" t="str">
        <f>IF(Country_8!$C76="","",Country_8!A76)</f>
        <v/>
      </c>
      <c r="B775" s="16" t="str">
        <f>IF(Country_8!$C76="","",Country_8!B76)</f>
        <v/>
      </c>
      <c r="C775" s="16" t="str">
        <f>IF(Country_8!$C76="","",Country_8!C76)</f>
        <v/>
      </c>
      <c r="D775" s="16" t="str">
        <f>IF(Country_8!$C76="","",Country_8!D76)</f>
        <v/>
      </c>
      <c r="E775" s="16" t="str">
        <f>IF(Country_8!$C76="","",Country_8!E76)</f>
        <v/>
      </c>
      <c r="F775" s="16" t="str">
        <f>IF(Country_8!$C76="","",Country_8!F76)</f>
        <v/>
      </c>
      <c r="G775" s="17" t="str">
        <f>IF(Country_8!$C76="","",Country_8!G76)</f>
        <v/>
      </c>
      <c r="H775" s="17" t="str">
        <f>IF(Country_8!$C76="","",Country_8!H76)</f>
        <v/>
      </c>
      <c r="I775" s="16" t="str">
        <f>IF(Country_8!$C76="","",Country_8!I76)</f>
        <v/>
      </c>
      <c r="J775" s="16" t="str">
        <f>IF(Country_8!$C76="","",Country_8!J76)</f>
        <v/>
      </c>
      <c r="K775" s="18" t="str">
        <f>IF(Country_8!$C76="","",Country_8!K76)</f>
        <v/>
      </c>
      <c r="L775" s="18" t="str">
        <f>IF(Country_8!$C76="","",Country_8!L76)</f>
        <v/>
      </c>
      <c r="M775" s="19" t="str">
        <f>IF(Country_8!$C76="","",Country_8!M76)</f>
        <v/>
      </c>
      <c r="N775" s="16" t="str">
        <f>IF(Country_8!$C76="","",Country_8!N76)</f>
        <v/>
      </c>
      <c r="O775" s="16" t="str">
        <f>IF(Country_8!$C76="","",Country_8!O76)</f>
        <v/>
      </c>
      <c r="P775" s="16" t="str">
        <f>IF(Country_8!$C76="","",Country_8!P76)</f>
        <v/>
      </c>
      <c r="Q775" s="16" t="str">
        <f>IF(Country_8!$C76="","",Country_8!Q76)</f>
        <v/>
      </c>
    </row>
    <row r="776" spans="1:17" x14ac:dyDescent="0.25">
      <c r="A776" s="16" t="str">
        <f>IF(Country_8!$C77="","",Country_8!A77)</f>
        <v/>
      </c>
      <c r="B776" s="16" t="str">
        <f>IF(Country_8!$C77="","",Country_8!B77)</f>
        <v/>
      </c>
      <c r="C776" s="16" t="str">
        <f>IF(Country_8!$C77="","",Country_8!C77)</f>
        <v/>
      </c>
      <c r="D776" s="16" t="str">
        <f>IF(Country_8!$C77="","",Country_8!D77)</f>
        <v/>
      </c>
      <c r="E776" s="16" t="str">
        <f>IF(Country_8!$C77="","",Country_8!E77)</f>
        <v/>
      </c>
      <c r="F776" s="16" t="str">
        <f>IF(Country_8!$C77="","",Country_8!F77)</f>
        <v/>
      </c>
      <c r="G776" s="17" t="str">
        <f>IF(Country_8!$C77="","",Country_8!G77)</f>
        <v/>
      </c>
      <c r="H776" s="17" t="str">
        <f>IF(Country_8!$C77="","",Country_8!H77)</f>
        <v/>
      </c>
      <c r="I776" s="16" t="str">
        <f>IF(Country_8!$C77="","",Country_8!I77)</f>
        <v/>
      </c>
      <c r="J776" s="16" t="str">
        <f>IF(Country_8!$C77="","",Country_8!J77)</f>
        <v/>
      </c>
      <c r="K776" s="18" t="str">
        <f>IF(Country_8!$C77="","",Country_8!K77)</f>
        <v/>
      </c>
      <c r="L776" s="18" t="str">
        <f>IF(Country_8!$C77="","",Country_8!L77)</f>
        <v/>
      </c>
      <c r="M776" s="19" t="str">
        <f>IF(Country_8!$C77="","",Country_8!M77)</f>
        <v/>
      </c>
      <c r="N776" s="16" t="str">
        <f>IF(Country_8!$C77="","",Country_8!N77)</f>
        <v/>
      </c>
      <c r="O776" s="16" t="str">
        <f>IF(Country_8!$C77="","",Country_8!O77)</f>
        <v/>
      </c>
      <c r="P776" s="16" t="str">
        <f>IF(Country_8!$C77="","",Country_8!P77)</f>
        <v/>
      </c>
      <c r="Q776" s="16" t="str">
        <f>IF(Country_8!$C77="","",Country_8!Q77)</f>
        <v/>
      </c>
    </row>
    <row r="777" spans="1:17" x14ac:dyDescent="0.25">
      <c r="A777" s="16" t="str">
        <f>IF(Country_8!$C78="","",Country_8!A78)</f>
        <v/>
      </c>
      <c r="B777" s="16" t="str">
        <f>IF(Country_8!$C78="","",Country_8!B78)</f>
        <v/>
      </c>
      <c r="C777" s="16" t="str">
        <f>IF(Country_8!$C78="","",Country_8!C78)</f>
        <v/>
      </c>
      <c r="D777" s="16" t="str">
        <f>IF(Country_8!$C78="","",Country_8!D78)</f>
        <v/>
      </c>
      <c r="E777" s="16" t="str">
        <f>IF(Country_8!$C78="","",Country_8!E78)</f>
        <v/>
      </c>
      <c r="F777" s="16" t="str">
        <f>IF(Country_8!$C78="","",Country_8!F78)</f>
        <v/>
      </c>
      <c r="G777" s="17" t="str">
        <f>IF(Country_8!$C78="","",Country_8!G78)</f>
        <v/>
      </c>
      <c r="H777" s="17" t="str">
        <f>IF(Country_8!$C78="","",Country_8!H78)</f>
        <v/>
      </c>
      <c r="I777" s="16" t="str">
        <f>IF(Country_8!$C78="","",Country_8!I78)</f>
        <v/>
      </c>
      <c r="J777" s="16" t="str">
        <f>IF(Country_8!$C78="","",Country_8!J78)</f>
        <v/>
      </c>
      <c r="K777" s="18" t="str">
        <f>IF(Country_8!$C78="","",Country_8!K78)</f>
        <v/>
      </c>
      <c r="L777" s="18" t="str">
        <f>IF(Country_8!$C78="","",Country_8!L78)</f>
        <v/>
      </c>
      <c r="M777" s="19" t="str">
        <f>IF(Country_8!$C78="","",Country_8!M78)</f>
        <v/>
      </c>
      <c r="N777" s="16" t="str">
        <f>IF(Country_8!$C78="","",Country_8!N78)</f>
        <v/>
      </c>
      <c r="O777" s="16" t="str">
        <f>IF(Country_8!$C78="","",Country_8!O78)</f>
        <v/>
      </c>
      <c r="P777" s="16" t="str">
        <f>IF(Country_8!$C78="","",Country_8!P78)</f>
        <v/>
      </c>
      <c r="Q777" s="16" t="str">
        <f>IF(Country_8!$C78="","",Country_8!Q78)</f>
        <v/>
      </c>
    </row>
    <row r="778" spans="1:17" x14ac:dyDescent="0.25">
      <c r="A778" s="16" t="str">
        <f>IF(Country_8!$C79="","",Country_8!A79)</f>
        <v/>
      </c>
      <c r="B778" s="16" t="str">
        <f>IF(Country_8!$C79="","",Country_8!B79)</f>
        <v/>
      </c>
      <c r="C778" s="16" t="str">
        <f>IF(Country_8!$C79="","",Country_8!C79)</f>
        <v/>
      </c>
      <c r="D778" s="16" t="str">
        <f>IF(Country_8!$C79="","",Country_8!D79)</f>
        <v/>
      </c>
      <c r="E778" s="16" t="str">
        <f>IF(Country_8!$C79="","",Country_8!E79)</f>
        <v/>
      </c>
      <c r="F778" s="16" t="str">
        <f>IF(Country_8!$C79="","",Country_8!F79)</f>
        <v/>
      </c>
      <c r="G778" s="17" t="str">
        <f>IF(Country_8!$C79="","",Country_8!G79)</f>
        <v/>
      </c>
      <c r="H778" s="17" t="str">
        <f>IF(Country_8!$C79="","",Country_8!H79)</f>
        <v/>
      </c>
      <c r="I778" s="16" t="str">
        <f>IF(Country_8!$C79="","",Country_8!I79)</f>
        <v/>
      </c>
      <c r="J778" s="16" t="str">
        <f>IF(Country_8!$C79="","",Country_8!J79)</f>
        <v/>
      </c>
      <c r="K778" s="18" t="str">
        <f>IF(Country_8!$C79="","",Country_8!K79)</f>
        <v/>
      </c>
      <c r="L778" s="18" t="str">
        <f>IF(Country_8!$C79="","",Country_8!L79)</f>
        <v/>
      </c>
      <c r="M778" s="19" t="str">
        <f>IF(Country_8!$C79="","",Country_8!M79)</f>
        <v/>
      </c>
      <c r="N778" s="16" t="str">
        <f>IF(Country_8!$C79="","",Country_8!N79)</f>
        <v/>
      </c>
      <c r="O778" s="16" t="str">
        <f>IF(Country_8!$C79="","",Country_8!O79)</f>
        <v/>
      </c>
      <c r="P778" s="16" t="str">
        <f>IF(Country_8!$C79="","",Country_8!P79)</f>
        <v/>
      </c>
      <c r="Q778" s="16" t="str">
        <f>IF(Country_8!$C79="","",Country_8!Q79)</f>
        <v/>
      </c>
    </row>
    <row r="779" spans="1:17" x14ac:dyDescent="0.25">
      <c r="A779" s="16" t="str">
        <f>IF(Country_8!$C80="","",Country_8!A80)</f>
        <v/>
      </c>
      <c r="B779" s="16" t="str">
        <f>IF(Country_8!$C80="","",Country_8!B80)</f>
        <v/>
      </c>
      <c r="C779" s="16" t="str">
        <f>IF(Country_8!$C80="","",Country_8!C80)</f>
        <v/>
      </c>
      <c r="D779" s="16" t="str">
        <f>IF(Country_8!$C80="","",Country_8!D80)</f>
        <v/>
      </c>
      <c r="E779" s="16" t="str">
        <f>IF(Country_8!$C80="","",Country_8!E80)</f>
        <v/>
      </c>
      <c r="F779" s="16" t="str">
        <f>IF(Country_8!$C80="","",Country_8!F80)</f>
        <v/>
      </c>
      <c r="G779" s="17" t="str">
        <f>IF(Country_8!$C80="","",Country_8!G80)</f>
        <v/>
      </c>
      <c r="H779" s="17" t="str">
        <f>IF(Country_8!$C80="","",Country_8!H80)</f>
        <v/>
      </c>
      <c r="I779" s="16" t="str">
        <f>IF(Country_8!$C80="","",Country_8!I80)</f>
        <v/>
      </c>
      <c r="J779" s="16" t="str">
        <f>IF(Country_8!$C80="","",Country_8!J80)</f>
        <v/>
      </c>
      <c r="K779" s="18" t="str">
        <f>IF(Country_8!$C80="","",Country_8!K80)</f>
        <v/>
      </c>
      <c r="L779" s="18" t="str">
        <f>IF(Country_8!$C80="","",Country_8!L80)</f>
        <v/>
      </c>
      <c r="M779" s="19" t="str">
        <f>IF(Country_8!$C80="","",Country_8!M80)</f>
        <v/>
      </c>
      <c r="N779" s="16" t="str">
        <f>IF(Country_8!$C80="","",Country_8!N80)</f>
        <v/>
      </c>
      <c r="O779" s="16" t="str">
        <f>IF(Country_8!$C80="","",Country_8!O80)</f>
        <v/>
      </c>
      <c r="P779" s="16" t="str">
        <f>IF(Country_8!$C80="","",Country_8!P80)</f>
        <v/>
      </c>
      <c r="Q779" s="16" t="str">
        <f>IF(Country_8!$C80="","",Country_8!Q80)</f>
        <v/>
      </c>
    </row>
    <row r="780" spans="1:17" x14ac:dyDescent="0.25">
      <c r="A780" s="16" t="str">
        <f>IF(Country_8!$C81="","",Country_8!A81)</f>
        <v/>
      </c>
      <c r="B780" s="16" t="str">
        <f>IF(Country_8!$C81="","",Country_8!B81)</f>
        <v/>
      </c>
      <c r="C780" s="16" t="str">
        <f>IF(Country_8!$C81="","",Country_8!C81)</f>
        <v/>
      </c>
      <c r="D780" s="16" t="str">
        <f>IF(Country_8!$C81="","",Country_8!D81)</f>
        <v/>
      </c>
      <c r="E780" s="16" t="str">
        <f>IF(Country_8!$C81="","",Country_8!E81)</f>
        <v/>
      </c>
      <c r="F780" s="16" t="str">
        <f>IF(Country_8!$C81="","",Country_8!F81)</f>
        <v/>
      </c>
      <c r="G780" s="17" t="str">
        <f>IF(Country_8!$C81="","",Country_8!G81)</f>
        <v/>
      </c>
      <c r="H780" s="17" t="str">
        <f>IF(Country_8!$C81="","",Country_8!H81)</f>
        <v/>
      </c>
      <c r="I780" s="16" t="str">
        <f>IF(Country_8!$C81="","",Country_8!I81)</f>
        <v/>
      </c>
      <c r="J780" s="16" t="str">
        <f>IF(Country_8!$C81="","",Country_8!J81)</f>
        <v/>
      </c>
      <c r="K780" s="18" t="str">
        <f>IF(Country_8!$C81="","",Country_8!K81)</f>
        <v/>
      </c>
      <c r="L780" s="18" t="str">
        <f>IF(Country_8!$C81="","",Country_8!L81)</f>
        <v/>
      </c>
      <c r="M780" s="19" t="str">
        <f>IF(Country_8!$C81="","",Country_8!M81)</f>
        <v/>
      </c>
      <c r="N780" s="16" t="str">
        <f>IF(Country_8!$C81="","",Country_8!N81)</f>
        <v/>
      </c>
      <c r="O780" s="16" t="str">
        <f>IF(Country_8!$C81="","",Country_8!O81)</f>
        <v/>
      </c>
      <c r="P780" s="16" t="str">
        <f>IF(Country_8!$C81="","",Country_8!P81)</f>
        <v/>
      </c>
      <c r="Q780" s="16" t="str">
        <f>IF(Country_8!$C81="","",Country_8!Q81)</f>
        <v/>
      </c>
    </row>
    <row r="781" spans="1:17" x14ac:dyDescent="0.25">
      <c r="A781" s="16" t="str">
        <f>IF(Country_8!$C82="","",Country_8!A82)</f>
        <v/>
      </c>
      <c r="B781" s="16" t="str">
        <f>IF(Country_8!$C82="","",Country_8!B82)</f>
        <v/>
      </c>
      <c r="C781" s="16" t="str">
        <f>IF(Country_8!$C82="","",Country_8!C82)</f>
        <v/>
      </c>
      <c r="D781" s="16" t="str">
        <f>IF(Country_8!$C82="","",Country_8!D82)</f>
        <v/>
      </c>
      <c r="E781" s="16" t="str">
        <f>IF(Country_8!$C82="","",Country_8!E82)</f>
        <v/>
      </c>
      <c r="F781" s="16" t="str">
        <f>IF(Country_8!$C82="","",Country_8!F82)</f>
        <v/>
      </c>
      <c r="G781" s="17" t="str">
        <f>IF(Country_8!$C82="","",Country_8!G82)</f>
        <v/>
      </c>
      <c r="H781" s="17" t="str">
        <f>IF(Country_8!$C82="","",Country_8!H82)</f>
        <v/>
      </c>
      <c r="I781" s="16" t="str">
        <f>IF(Country_8!$C82="","",Country_8!I82)</f>
        <v/>
      </c>
      <c r="J781" s="16" t="str">
        <f>IF(Country_8!$C82="","",Country_8!J82)</f>
        <v/>
      </c>
      <c r="K781" s="18" t="str">
        <f>IF(Country_8!$C82="","",Country_8!K82)</f>
        <v/>
      </c>
      <c r="L781" s="18" t="str">
        <f>IF(Country_8!$C82="","",Country_8!L82)</f>
        <v/>
      </c>
      <c r="M781" s="19" t="str">
        <f>IF(Country_8!$C82="","",Country_8!M82)</f>
        <v/>
      </c>
      <c r="N781" s="16" t="str">
        <f>IF(Country_8!$C82="","",Country_8!N82)</f>
        <v/>
      </c>
      <c r="O781" s="16" t="str">
        <f>IF(Country_8!$C82="","",Country_8!O82)</f>
        <v/>
      </c>
      <c r="P781" s="16" t="str">
        <f>IF(Country_8!$C82="","",Country_8!P82)</f>
        <v/>
      </c>
      <c r="Q781" s="16" t="str">
        <f>IF(Country_8!$C82="","",Country_8!Q82)</f>
        <v/>
      </c>
    </row>
    <row r="782" spans="1:17" x14ac:dyDescent="0.25">
      <c r="A782" s="16" t="str">
        <f>IF(Country_8!$C83="","",Country_8!A83)</f>
        <v/>
      </c>
      <c r="B782" s="16" t="str">
        <f>IF(Country_8!$C83="","",Country_8!B83)</f>
        <v/>
      </c>
      <c r="C782" s="16" t="str">
        <f>IF(Country_8!$C83="","",Country_8!C83)</f>
        <v/>
      </c>
      <c r="D782" s="16" t="str">
        <f>IF(Country_8!$C83="","",Country_8!D83)</f>
        <v/>
      </c>
      <c r="E782" s="16" t="str">
        <f>IF(Country_8!$C83="","",Country_8!E83)</f>
        <v/>
      </c>
      <c r="F782" s="16" t="str">
        <f>IF(Country_8!$C83="","",Country_8!F83)</f>
        <v/>
      </c>
      <c r="G782" s="17" t="str">
        <f>IF(Country_8!$C83="","",Country_8!G83)</f>
        <v/>
      </c>
      <c r="H782" s="17" t="str">
        <f>IF(Country_8!$C83="","",Country_8!H83)</f>
        <v/>
      </c>
      <c r="I782" s="16" t="str">
        <f>IF(Country_8!$C83="","",Country_8!I83)</f>
        <v/>
      </c>
      <c r="J782" s="16" t="str">
        <f>IF(Country_8!$C83="","",Country_8!J83)</f>
        <v/>
      </c>
      <c r="K782" s="18" t="str">
        <f>IF(Country_8!$C83="","",Country_8!K83)</f>
        <v/>
      </c>
      <c r="L782" s="18" t="str">
        <f>IF(Country_8!$C83="","",Country_8!L83)</f>
        <v/>
      </c>
      <c r="M782" s="19" t="str">
        <f>IF(Country_8!$C83="","",Country_8!M83)</f>
        <v/>
      </c>
      <c r="N782" s="16" t="str">
        <f>IF(Country_8!$C83="","",Country_8!N83)</f>
        <v/>
      </c>
      <c r="O782" s="16" t="str">
        <f>IF(Country_8!$C83="","",Country_8!O83)</f>
        <v/>
      </c>
      <c r="P782" s="16" t="str">
        <f>IF(Country_8!$C83="","",Country_8!P83)</f>
        <v/>
      </c>
      <c r="Q782" s="16" t="str">
        <f>IF(Country_8!$C83="","",Country_8!Q83)</f>
        <v/>
      </c>
    </row>
    <row r="783" spans="1:17" x14ac:dyDescent="0.25">
      <c r="A783" s="16" t="str">
        <f>IF(Country_8!$C84="","",Country_8!A84)</f>
        <v/>
      </c>
      <c r="B783" s="16" t="str">
        <f>IF(Country_8!$C84="","",Country_8!B84)</f>
        <v/>
      </c>
      <c r="C783" s="16" t="str">
        <f>IF(Country_8!$C84="","",Country_8!C84)</f>
        <v/>
      </c>
      <c r="D783" s="16" t="str">
        <f>IF(Country_8!$C84="","",Country_8!D84)</f>
        <v/>
      </c>
      <c r="E783" s="16" t="str">
        <f>IF(Country_8!$C84="","",Country_8!E84)</f>
        <v/>
      </c>
      <c r="F783" s="16" t="str">
        <f>IF(Country_8!$C84="","",Country_8!F84)</f>
        <v/>
      </c>
      <c r="G783" s="17" t="str">
        <f>IF(Country_8!$C84="","",Country_8!G84)</f>
        <v/>
      </c>
      <c r="H783" s="17" t="str">
        <f>IF(Country_8!$C84="","",Country_8!H84)</f>
        <v/>
      </c>
      <c r="I783" s="16" t="str">
        <f>IF(Country_8!$C84="","",Country_8!I84)</f>
        <v/>
      </c>
      <c r="J783" s="16" t="str">
        <f>IF(Country_8!$C84="","",Country_8!J84)</f>
        <v/>
      </c>
      <c r="K783" s="18" t="str">
        <f>IF(Country_8!$C84="","",Country_8!K84)</f>
        <v/>
      </c>
      <c r="L783" s="18" t="str">
        <f>IF(Country_8!$C84="","",Country_8!L84)</f>
        <v/>
      </c>
      <c r="M783" s="19" t="str">
        <f>IF(Country_8!$C84="","",Country_8!M84)</f>
        <v/>
      </c>
      <c r="N783" s="16" t="str">
        <f>IF(Country_8!$C84="","",Country_8!N84)</f>
        <v/>
      </c>
      <c r="O783" s="16" t="str">
        <f>IF(Country_8!$C84="","",Country_8!O84)</f>
        <v/>
      </c>
      <c r="P783" s="16" t="str">
        <f>IF(Country_8!$C84="","",Country_8!P84)</f>
        <v/>
      </c>
      <c r="Q783" s="16" t="str">
        <f>IF(Country_8!$C84="","",Country_8!Q84)</f>
        <v/>
      </c>
    </row>
    <row r="784" spans="1:17" x14ac:dyDescent="0.25">
      <c r="A784" s="16" t="str">
        <f>IF(Country_8!$C85="","",Country_8!A85)</f>
        <v/>
      </c>
      <c r="B784" s="16" t="str">
        <f>IF(Country_8!$C85="","",Country_8!B85)</f>
        <v/>
      </c>
      <c r="C784" s="16" t="str">
        <f>IF(Country_8!$C85="","",Country_8!C85)</f>
        <v/>
      </c>
      <c r="D784" s="16" t="str">
        <f>IF(Country_8!$C85="","",Country_8!D85)</f>
        <v/>
      </c>
      <c r="E784" s="16" t="str">
        <f>IF(Country_8!$C85="","",Country_8!E85)</f>
        <v/>
      </c>
      <c r="F784" s="16" t="str">
        <f>IF(Country_8!$C85="","",Country_8!F85)</f>
        <v/>
      </c>
      <c r="G784" s="17" t="str">
        <f>IF(Country_8!$C85="","",Country_8!G85)</f>
        <v/>
      </c>
      <c r="H784" s="17" t="str">
        <f>IF(Country_8!$C85="","",Country_8!H85)</f>
        <v/>
      </c>
      <c r="I784" s="16" t="str">
        <f>IF(Country_8!$C85="","",Country_8!I85)</f>
        <v/>
      </c>
      <c r="J784" s="16" t="str">
        <f>IF(Country_8!$C85="","",Country_8!J85)</f>
        <v/>
      </c>
      <c r="K784" s="18" t="str">
        <f>IF(Country_8!$C85="","",Country_8!K85)</f>
        <v/>
      </c>
      <c r="L784" s="18" t="str">
        <f>IF(Country_8!$C85="","",Country_8!L85)</f>
        <v/>
      </c>
      <c r="M784" s="19" t="str">
        <f>IF(Country_8!$C85="","",Country_8!M85)</f>
        <v/>
      </c>
      <c r="N784" s="16" t="str">
        <f>IF(Country_8!$C85="","",Country_8!N85)</f>
        <v/>
      </c>
      <c r="O784" s="16" t="str">
        <f>IF(Country_8!$C85="","",Country_8!O85)</f>
        <v/>
      </c>
      <c r="P784" s="16" t="str">
        <f>IF(Country_8!$C85="","",Country_8!P85)</f>
        <v/>
      </c>
      <c r="Q784" s="16" t="str">
        <f>IF(Country_8!$C85="","",Country_8!Q85)</f>
        <v/>
      </c>
    </row>
    <row r="785" spans="1:17" x14ac:dyDescent="0.25">
      <c r="A785" s="16" t="str">
        <f>IF(Country_8!$C86="","",Country_8!A86)</f>
        <v/>
      </c>
      <c r="B785" s="16" t="str">
        <f>IF(Country_8!$C86="","",Country_8!B86)</f>
        <v/>
      </c>
      <c r="C785" s="16" t="str">
        <f>IF(Country_8!$C86="","",Country_8!C86)</f>
        <v/>
      </c>
      <c r="D785" s="16" t="str">
        <f>IF(Country_8!$C86="","",Country_8!D86)</f>
        <v/>
      </c>
      <c r="E785" s="16" t="str">
        <f>IF(Country_8!$C86="","",Country_8!E86)</f>
        <v/>
      </c>
      <c r="F785" s="16" t="str">
        <f>IF(Country_8!$C86="","",Country_8!F86)</f>
        <v/>
      </c>
      <c r="G785" s="17" t="str">
        <f>IF(Country_8!$C86="","",Country_8!G86)</f>
        <v/>
      </c>
      <c r="H785" s="17" t="str">
        <f>IF(Country_8!$C86="","",Country_8!H86)</f>
        <v/>
      </c>
      <c r="I785" s="16" t="str">
        <f>IF(Country_8!$C86="","",Country_8!I86)</f>
        <v/>
      </c>
      <c r="J785" s="16" t="str">
        <f>IF(Country_8!$C86="","",Country_8!J86)</f>
        <v/>
      </c>
      <c r="K785" s="18" t="str">
        <f>IF(Country_8!$C86="","",Country_8!K86)</f>
        <v/>
      </c>
      <c r="L785" s="18" t="str">
        <f>IF(Country_8!$C86="","",Country_8!L86)</f>
        <v/>
      </c>
      <c r="M785" s="19" t="str">
        <f>IF(Country_8!$C86="","",Country_8!M86)</f>
        <v/>
      </c>
      <c r="N785" s="16" t="str">
        <f>IF(Country_8!$C86="","",Country_8!N86)</f>
        <v/>
      </c>
      <c r="O785" s="16" t="str">
        <f>IF(Country_8!$C86="","",Country_8!O86)</f>
        <v/>
      </c>
      <c r="P785" s="16" t="str">
        <f>IF(Country_8!$C86="","",Country_8!P86)</f>
        <v/>
      </c>
      <c r="Q785" s="16" t="str">
        <f>IF(Country_8!$C86="","",Country_8!Q86)</f>
        <v/>
      </c>
    </row>
    <row r="786" spans="1:17" x14ac:dyDescent="0.25">
      <c r="A786" s="16" t="str">
        <f>IF(Country_8!$C87="","",Country_8!A87)</f>
        <v/>
      </c>
      <c r="B786" s="16" t="str">
        <f>IF(Country_8!$C87="","",Country_8!B87)</f>
        <v/>
      </c>
      <c r="C786" s="16" t="str">
        <f>IF(Country_8!$C87="","",Country_8!C87)</f>
        <v/>
      </c>
      <c r="D786" s="16" t="str">
        <f>IF(Country_8!$C87="","",Country_8!D87)</f>
        <v/>
      </c>
      <c r="E786" s="16" t="str">
        <f>IF(Country_8!$C87="","",Country_8!E87)</f>
        <v/>
      </c>
      <c r="F786" s="16" t="str">
        <f>IF(Country_8!$C87="","",Country_8!F87)</f>
        <v/>
      </c>
      <c r="G786" s="17" t="str">
        <f>IF(Country_8!$C87="","",Country_8!G87)</f>
        <v/>
      </c>
      <c r="H786" s="17" t="str">
        <f>IF(Country_8!$C87="","",Country_8!H87)</f>
        <v/>
      </c>
      <c r="I786" s="16" t="str">
        <f>IF(Country_8!$C87="","",Country_8!I87)</f>
        <v/>
      </c>
      <c r="J786" s="16" t="str">
        <f>IF(Country_8!$C87="","",Country_8!J87)</f>
        <v/>
      </c>
      <c r="K786" s="18" t="str">
        <f>IF(Country_8!$C87="","",Country_8!K87)</f>
        <v/>
      </c>
      <c r="L786" s="18" t="str">
        <f>IF(Country_8!$C87="","",Country_8!L87)</f>
        <v/>
      </c>
      <c r="M786" s="19" t="str">
        <f>IF(Country_8!$C87="","",Country_8!M87)</f>
        <v/>
      </c>
      <c r="N786" s="16" t="str">
        <f>IF(Country_8!$C87="","",Country_8!N87)</f>
        <v/>
      </c>
      <c r="O786" s="16" t="str">
        <f>IF(Country_8!$C87="","",Country_8!O87)</f>
        <v/>
      </c>
      <c r="P786" s="16" t="str">
        <f>IF(Country_8!$C87="","",Country_8!P87)</f>
        <v/>
      </c>
      <c r="Q786" s="16" t="str">
        <f>IF(Country_8!$C87="","",Country_8!Q87)</f>
        <v/>
      </c>
    </row>
    <row r="787" spans="1:17" x14ac:dyDescent="0.25">
      <c r="A787" s="16" t="str">
        <f>IF(Country_8!$C88="","",Country_8!A88)</f>
        <v/>
      </c>
      <c r="B787" s="16" t="str">
        <f>IF(Country_8!$C88="","",Country_8!B88)</f>
        <v/>
      </c>
      <c r="C787" s="16" t="str">
        <f>IF(Country_8!$C88="","",Country_8!C88)</f>
        <v/>
      </c>
      <c r="D787" s="16" t="str">
        <f>IF(Country_8!$C88="","",Country_8!D88)</f>
        <v/>
      </c>
      <c r="E787" s="16" t="str">
        <f>IF(Country_8!$C88="","",Country_8!E88)</f>
        <v/>
      </c>
      <c r="F787" s="16" t="str">
        <f>IF(Country_8!$C88="","",Country_8!F88)</f>
        <v/>
      </c>
      <c r="G787" s="17" t="str">
        <f>IF(Country_8!$C88="","",Country_8!G88)</f>
        <v/>
      </c>
      <c r="H787" s="17" t="str">
        <f>IF(Country_8!$C88="","",Country_8!H88)</f>
        <v/>
      </c>
      <c r="I787" s="16" t="str">
        <f>IF(Country_8!$C88="","",Country_8!I88)</f>
        <v/>
      </c>
      <c r="J787" s="16" t="str">
        <f>IF(Country_8!$C88="","",Country_8!J88)</f>
        <v/>
      </c>
      <c r="K787" s="18" t="str">
        <f>IF(Country_8!$C88="","",Country_8!K88)</f>
        <v/>
      </c>
      <c r="L787" s="18" t="str">
        <f>IF(Country_8!$C88="","",Country_8!L88)</f>
        <v/>
      </c>
      <c r="M787" s="19" t="str">
        <f>IF(Country_8!$C88="","",Country_8!M88)</f>
        <v/>
      </c>
      <c r="N787" s="16" t="str">
        <f>IF(Country_8!$C88="","",Country_8!N88)</f>
        <v/>
      </c>
      <c r="O787" s="16" t="str">
        <f>IF(Country_8!$C88="","",Country_8!O88)</f>
        <v/>
      </c>
      <c r="P787" s="16" t="str">
        <f>IF(Country_8!$C88="","",Country_8!P88)</f>
        <v/>
      </c>
      <c r="Q787" s="16" t="str">
        <f>IF(Country_8!$C88="","",Country_8!Q88)</f>
        <v/>
      </c>
    </row>
    <row r="788" spans="1:17" x14ac:dyDescent="0.25">
      <c r="A788" s="16" t="str">
        <f>IF(Country_8!$C89="","",Country_8!A89)</f>
        <v/>
      </c>
      <c r="B788" s="16" t="str">
        <f>IF(Country_8!$C89="","",Country_8!B89)</f>
        <v/>
      </c>
      <c r="C788" s="16" t="str">
        <f>IF(Country_8!$C89="","",Country_8!C89)</f>
        <v/>
      </c>
      <c r="D788" s="16" t="str">
        <f>IF(Country_8!$C89="","",Country_8!D89)</f>
        <v/>
      </c>
      <c r="E788" s="16" t="str">
        <f>IF(Country_8!$C89="","",Country_8!E89)</f>
        <v/>
      </c>
      <c r="F788" s="16" t="str">
        <f>IF(Country_8!$C89="","",Country_8!F89)</f>
        <v/>
      </c>
      <c r="G788" s="17" t="str">
        <f>IF(Country_8!$C89="","",Country_8!G89)</f>
        <v/>
      </c>
      <c r="H788" s="17" t="str">
        <f>IF(Country_8!$C89="","",Country_8!H89)</f>
        <v/>
      </c>
      <c r="I788" s="16" t="str">
        <f>IF(Country_8!$C89="","",Country_8!I89)</f>
        <v/>
      </c>
      <c r="J788" s="16" t="str">
        <f>IF(Country_8!$C89="","",Country_8!J89)</f>
        <v/>
      </c>
      <c r="K788" s="18" t="str">
        <f>IF(Country_8!$C89="","",Country_8!K89)</f>
        <v/>
      </c>
      <c r="L788" s="18" t="str">
        <f>IF(Country_8!$C89="","",Country_8!L89)</f>
        <v/>
      </c>
      <c r="M788" s="19" t="str">
        <f>IF(Country_8!$C89="","",Country_8!M89)</f>
        <v/>
      </c>
      <c r="N788" s="16" t="str">
        <f>IF(Country_8!$C89="","",Country_8!N89)</f>
        <v/>
      </c>
      <c r="O788" s="16" t="str">
        <f>IF(Country_8!$C89="","",Country_8!O89)</f>
        <v/>
      </c>
      <c r="P788" s="16" t="str">
        <f>IF(Country_8!$C89="","",Country_8!P89)</f>
        <v/>
      </c>
      <c r="Q788" s="16" t="str">
        <f>IF(Country_8!$C89="","",Country_8!Q89)</f>
        <v/>
      </c>
    </row>
    <row r="789" spans="1:17" x14ac:dyDescent="0.25">
      <c r="A789" s="16" t="str">
        <f>IF(Country_8!$C90="","",Country_8!A90)</f>
        <v/>
      </c>
      <c r="B789" s="16" t="str">
        <f>IF(Country_8!$C90="","",Country_8!B90)</f>
        <v/>
      </c>
      <c r="C789" s="16" t="str">
        <f>IF(Country_8!$C90="","",Country_8!C90)</f>
        <v/>
      </c>
      <c r="D789" s="16" t="str">
        <f>IF(Country_8!$C90="","",Country_8!D90)</f>
        <v/>
      </c>
      <c r="E789" s="16" t="str">
        <f>IF(Country_8!$C90="","",Country_8!E90)</f>
        <v/>
      </c>
      <c r="F789" s="16" t="str">
        <f>IF(Country_8!$C90="","",Country_8!F90)</f>
        <v/>
      </c>
      <c r="G789" s="17" t="str">
        <f>IF(Country_8!$C90="","",Country_8!G90)</f>
        <v/>
      </c>
      <c r="H789" s="17" t="str">
        <f>IF(Country_8!$C90="","",Country_8!H90)</f>
        <v/>
      </c>
      <c r="I789" s="16" t="str">
        <f>IF(Country_8!$C90="","",Country_8!I90)</f>
        <v/>
      </c>
      <c r="J789" s="16" t="str">
        <f>IF(Country_8!$C90="","",Country_8!J90)</f>
        <v/>
      </c>
      <c r="K789" s="18" t="str">
        <f>IF(Country_8!$C90="","",Country_8!K90)</f>
        <v/>
      </c>
      <c r="L789" s="18" t="str">
        <f>IF(Country_8!$C90="","",Country_8!L90)</f>
        <v/>
      </c>
      <c r="M789" s="19" t="str">
        <f>IF(Country_8!$C90="","",Country_8!M90)</f>
        <v/>
      </c>
      <c r="N789" s="16" t="str">
        <f>IF(Country_8!$C90="","",Country_8!N90)</f>
        <v/>
      </c>
      <c r="O789" s="16" t="str">
        <f>IF(Country_8!$C90="","",Country_8!O90)</f>
        <v/>
      </c>
      <c r="P789" s="16" t="str">
        <f>IF(Country_8!$C90="","",Country_8!P90)</f>
        <v/>
      </c>
      <c r="Q789" s="16" t="str">
        <f>IF(Country_8!$C90="","",Country_8!Q90)</f>
        <v/>
      </c>
    </row>
    <row r="790" spans="1:17" x14ac:dyDescent="0.25">
      <c r="A790" s="16" t="str">
        <f>IF(Country_8!$C91="","",Country_8!A91)</f>
        <v/>
      </c>
      <c r="B790" s="16" t="str">
        <f>IF(Country_8!$C91="","",Country_8!B91)</f>
        <v/>
      </c>
      <c r="C790" s="16" t="str">
        <f>IF(Country_8!$C91="","",Country_8!C91)</f>
        <v/>
      </c>
      <c r="D790" s="16" t="str">
        <f>IF(Country_8!$C91="","",Country_8!D91)</f>
        <v/>
      </c>
      <c r="E790" s="16" t="str">
        <f>IF(Country_8!$C91="","",Country_8!E91)</f>
        <v/>
      </c>
      <c r="F790" s="16" t="str">
        <f>IF(Country_8!$C91="","",Country_8!F91)</f>
        <v/>
      </c>
      <c r="G790" s="17" t="str">
        <f>IF(Country_8!$C91="","",Country_8!G91)</f>
        <v/>
      </c>
      <c r="H790" s="17" t="str">
        <f>IF(Country_8!$C91="","",Country_8!H91)</f>
        <v/>
      </c>
      <c r="I790" s="16" t="str">
        <f>IF(Country_8!$C91="","",Country_8!I91)</f>
        <v/>
      </c>
      <c r="J790" s="16" t="str">
        <f>IF(Country_8!$C91="","",Country_8!J91)</f>
        <v/>
      </c>
      <c r="K790" s="18" t="str">
        <f>IF(Country_8!$C91="","",Country_8!K91)</f>
        <v/>
      </c>
      <c r="L790" s="18" t="str">
        <f>IF(Country_8!$C91="","",Country_8!L91)</f>
        <v/>
      </c>
      <c r="M790" s="19" t="str">
        <f>IF(Country_8!$C91="","",Country_8!M91)</f>
        <v/>
      </c>
      <c r="N790" s="16" t="str">
        <f>IF(Country_8!$C91="","",Country_8!N91)</f>
        <v/>
      </c>
      <c r="O790" s="16" t="str">
        <f>IF(Country_8!$C91="","",Country_8!O91)</f>
        <v/>
      </c>
      <c r="P790" s="16" t="str">
        <f>IF(Country_8!$C91="","",Country_8!P91)</f>
        <v/>
      </c>
      <c r="Q790" s="16" t="str">
        <f>IF(Country_8!$C91="","",Country_8!Q91)</f>
        <v/>
      </c>
    </row>
    <row r="791" spans="1:17" x14ac:dyDescent="0.25">
      <c r="A791" s="16" t="str">
        <f>IF(Country_8!$C92="","",Country_8!A92)</f>
        <v/>
      </c>
      <c r="B791" s="16" t="str">
        <f>IF(Country_8!$C92="","",Country_8!B92)</f>
        <v/>
      </c>
      <c r="C791" s="16" t="str">
        <f>IF(Country_8!$C92="","",Country_8!C92)</f>
        <v/>
      </c>
      <c r="D791" s="16" t="str">
        <f>IF(Country_8!$C92="","",Country_8!D92)</f>
        <v/>
      </c>
      <c r="E791" s="16" t="str">
        <f>IF(Country_8!$C92="","",Country_8!E92)</f>
        <v/>
      </c>
      <c r="F791" s="16" t="str">
        <f>IF(Country_8!$C92="","",Country_8!F92)</f>
        <v/>
      </c>
      <c r="G791" s="17" t="str">
        <f>IF(Country_8!$C92="","",Country_8!G92)</f>
        <v/>
      </c>
      <c r="H791" s="17" t="str">
        <f>IF(Country_8!$C92="","",Country_8!H92)</f>
        <v/>
      </c>
      <c r="I791" s="16" t="str">
        <f>IF(Country_8!$C92="","",Country_8!I92)</f>
        <v/>
      </c>
      <c r="J791" s="16" t="str">
        <f>IF(Country_8!$C92="","",Country_8!J92)</f>
        <v/>
      </c>
      <c r="K791" s="18" t="str">
        <f>IF(Country_8!$C92="","",Country_8!K92)</f>
        <v/>
      </c>
      <c r="L791" s="18" t="str">
        <f>IF(Country_8!$C92="","",Country_8!L92)</f>
        <v/>
      </c>
      <c r="M791" s="19" t="str">
        <f>IF(Country_8!$C92="","",Country_8!M92)</f>
        <v/>
      </c>
      <c r="N791" s="16" t="str">
        <f>IF(Country_8!$C92="","",Country_8!N92)</f>
        <v/>
      </c>
      <c r="O791" s="16" t="str">
        <f>IF(Country_8!$C92="","",Country_8!O92)</f>
        <v/>
      </c>
      <c r="P791" s="16" t="str">
        <f>IF(Country_8!$C92="","",Country_8!P92)</f>
        <v/>
      </c>
      <c r="Q791" s="16" t="str">
        <f>IF(Country_8!$C92="","",Country_8!Q92)</f>
        <v/>
      </c>
    </row>
    <row r="792" spans="1:17" x14ac:dyDescent="0.25">
      <c r="A792" s="16" t="str">
        <f>IF(Country_8!$C93="","",Country_8!A93)</f>
        <v/>
      </c>
      <c r="B792" s="16" t="str">
        <f>IF(Country_8!$C93="","",Country_8!B93)</f>
        <v/>
      </c>
      <c r="C792" s="16" t="str">
        <f>IF(Country_8!$C93="","",Country_8!C93)</f>
        <v/>
      </c>
      <c r="D792" s="16" t="str">
        <f>IF(Country_8!$C93="","",Country_8!D93)</f>
        <v/>
      </c>
      <c r="E792" s="16" t="str">
        <f>IF(Country_8!$C93="","",Country_8!E93)</f>
        <v/>
      </c>
      <c r="F792" s="16" t="str">
        <f>IF(Country_8!$C93="","",Country_8!F93)</f>
        <v/>
      </c>
      <c r="G792" s="17" t="str">
        <f>IF(Country_8!$C93="","",Country_8!G93)</f>
        <v/>
      </c>
      <c r="H792" s="17" t="str">
        <f>IF(Country_8!$C93="","",Country_8!H93)</f>
        <v/>
      </c>
      <c r="I792" s="16" t="str">
        <f>IF(Country_8!$C93="","",Country_8!I93)</f>
        <v/>
      </c>
      <c r="J792" s="16" t="str">
        <f>IF(Country_8!$C93="","",Country_8!J93)</f>
        <v/>
      </c>
      <c r="K792" s="18" t="str">
        <f>IF(Country_8!$C93="","",Country_8!K93)</f>
        <v/>
      </c>
      <c r="L792" s="18" t="str">
        <f>IF(Country_8!$C93="","",Country_8!L93)</f>
        <v/>
      </c>
      <c r="M792" s="19" t="str">
        <f>IF(Country_8!$C93="","",Country_8!M93)</f>
        <v/>
      </c>
      <c r="N792" s="16" t="str">
        <f>IF(Country_8!$C93="","",Country_8!N93)</f>
        <v/>
      </c>
      <c r="O792" s="16" t="str">
        <f>IF(Country_8!$C93="","",Country_8!O93)</f>
        <v/>
      </c>
      <c r="P792" s="16" t="str">
        <f>IF(Country_8!$C93="","",Country_8!P93)</f>
        <v/>
      </c>
      <c r="Q792" s="16" t="str">
        <f>IF(Country_8!$C93="","",Country_8!Q93)</f>
        <v/>
      </c>
    </row>
    <row r="793" spans="1:17" x14ac:dyDescent="0.25">
      <c r="A793" s="16" t="str">
        <f>IF(Country_8!$C94="","",Country_8!A94)</f>
        <v/>
      </c>
      <c r="B793" s="16" t="str">
        <f>IF(Country_8!$C94="","",Country_8!B94)</f>
        <v/>
      </c>
      <c r="C793" s="16" t="str">
        <f>IF(Country_8!$C94="","",Country_8!C94)</f>
        <v/>
      </c>
      <c r="D793" s="16" t="str">
        <f>IF(Country_8!$C94="","",Country_8!D94)</f>
        <v/>
      </c>
      <c r="E793" s="16" t="str">
        <f>IF(Country_8!$C94="","",Country_8!E94)</f>
        <v/>
      </c>
      <c r="F793" s="16" t="str">
        <f>IF(Country_8!$C94="","",Country_8!F94)</f>
        <v/>
      </c>
      <c r="G793" s="17" t="str">
        <f>IF(Country_8!$C94="","",Country_8!G94)</f>
        <v/>
      </c>
      <c r="H793" s="17" t="str">
        <f>IF(Country_8!$C94="","",Country_8!H94)</f>
        <v/>
      </c>
      <c r="I793" s="16" t="str">
        <f>IF(Country_8!$C94="","",Country_8!I94)</f>
        <v/>
      </c>
      <c r="J793" s="16" t="str">
        <f>IF(Country_8!$C94="","",Country_8!J94)</f>
        <v/>
      </c>
      <c r="K793" s="18" t="str">
        <f>IF(Country_8!$C94="","",Country_8!K94)</f>
        <v/>
      </c>
      <c r="L793" s="18" t="str">
        <f>IF(Country_8!$C94="","",Country_8!L94)</f>
        <v/>
      </c>
      <c r="M793" s="19" t="str">
        <f>IF(Country_8!$C94="","",Country_8!M94)</f>
        <v/>
      </c>
      <c r="N793" s="16" t="str">
        <f>IF(Country_8!$C94="","",Country_8!N94)</f>
        <v/>
      </c>
      <c r="O793" s="16" t="str">
        <f>IF(Country_8!$C94="","",Country_8!O94)</f>
        <v/>
      </c>
      <c r="P793" s="16" t="str">
        <f>IF(Country_8!$C94="","",Country_8!P94)</f>
        <v/>
      </c>
      <c r="Q793" s="16" t="str">
        <f>IF(Country_8!$C94="","",Country_8!Q94)</f>
        <v/>
      </c>
    </row>
    <row r="794" spans="1:17" x14ac:dyDescent="0.25">
      <c r="A794" s="16" t="str">
        <f>IF(Country_8!$C95="","",Country_8!A95)</f>
        <v/>
      </c>
      <c r="B794" s="16" t="str">
        <f>IF(Country_8!$C95="","",Country_8!B95)</f>
        <v/>
      </c>
      <c r="C794" s="16" t="str">
        <f>IF(Country_8!$C95="","",Country_8!C95)</f>
        <v/>
      </c>
      <c r="D794" s="16" t="str">
        <f>IF(Country_8!$C95="","",Country_8!D95)</f>
        <v/>
      </c>
      <c r="E794" s="16" t="str">
        <f>IF(Country_8!$C95="","",Country_8!E95)</f>
        <v/>
      </c>
      <c r="F794" s="16" t="str">
        <f>IF(Country_8!$C95="","",Country_8!F95)</f>
        <v/>
      </c>
      <c r="G794" s="17" t="str">
        <f>IF(Country_8!$C95="","",Country_8!G95)</f>
        <v/>
      </c>
      <c r="H794" s="17" t="str">
        <f>IF(Country_8!$C95="","",Country_8!H95)</f>
        <v/>
      </c>
      <c r="I794" s="16" t="str">
        <f>IF(Country_8!$C95="","",Country_8!I95)</f>
        <v/>
      </c>
      <c r="J794" s="16" t="str">
        <f>IF(Country_8!$C95="","",Country_8!J95)</f>
        <v/>
      </c>
      <c r="K794" s="18" t="str">
        <f>IF(Country_8!$C95="","",Country_8!K95)</f>
        <v/>
      </c>
      <c r="L794" s="18" t="str">
        <f>IF(Country_8!$C95="","",Country_8!L95)</f>
        <v/>
      </c>
      <c r="M794" s="19" t="str">
        <f>IF(Country_8!$C95="","",Country_8!M95)</f>
        <v/>
      </c>
      <c r="N794" s="16" t="str">
        <f>IF(Country_8!$C95="","",Country_8!N95)</f>
        <v/>
      </c>
      <c r="O794" s="16" t="str">
        <f>IF(Country_8!$C95="","",Country_8!O95)</f>
        <v/>
      </c>
      <c r="P794" s="16" t="str">
        <f>IF(Country_8!$C95="","",Country_8!P95)</f>
        <v/>
      </c>
      <c r="Q794" s="16" t="str">
        <f>IF(Country_8!$C95="","",Country_8!Q95)</f>
        <v/>
      </c>
    </row>
    <row r="795" spans="1:17" x14ac:dyDescent="0.25">
      <c r="A795" s="16" t="str">
        <f>IF(Country_8!$C96="","",Country_8!A96)</f>
        <v/>
      </c>
      <c r="B795" s="16" t="str">
        <f>IF(Country_8!$C96="","",Country_8!B96)</f>
        <v/>
      </c>
      <c r="C795" s="16" t="str">
        <f>IF(Country_8!$C96="","",Country_8!C96)</f>
        <v/>
      </c>
      <c r="D795" s="16" t="str">
        <f>IF(Country_8!$C96="","",Country_8!D96)</f>
        <v/>
      </c>
      <c r="E795" s="16" t="str">
        <f>IF(Country_8!$C96="","",Country_8!E96)</f>
        <v/>
      </c>
      <c r="F795" s="16" t="str">
        <f>IF(Country_8!$C96="","",Country_8!F96)</f>
        <v/>
      </c>
      <c r="G795" s="17" t="str">
        <f>IF(Country_8!$C96="","",Country_8!G96)</f>
        <v/>
      </c>
      <c r="H795" s="17" t="str">
        <f>IF(Country_8!$C96="","",Country_8!H96)</f>
        <v/>
      </c>
      <c r="I795" s="16" t="str">
        <f>IF(Country_8!$C96="","",Country_8!I96)</f>
        <v/>
      </c>
      <c r="J795" s="16" t="str">
        <f>IF(Country_8!$C96="","",Country_8!J96)</f>
        <v/>
      </c>
      <c r="K795" s="18" t="str">
        <f>IF(Country_8!$C96="","",Country_8!K96)</f>
        <v/>
      </c>
      <c r="L795" s="18" t="str">
        <f>IF(Country_8!$C96="","",Country_8!L96)</f>
        <v/>
      </c>
      <c r="M795" s="19" t="str">
        <f>IF(Country_8!$C96="","",Country_8!M96)</f>
        <v/>
      </c>
      <c r="N795" s="16" t="str">
        <f>IF(Country_8!$C96="","",Country_8!N96)</f>
        <v/>
      </c>
      <c r="O795" s="16" t="str">
        <f>IF(Country_8!$C96="","",Country_8!O96)</f>
        <v/>
      </c>
      <c r="P795" s="16" t="str">
        <f>IF(Country_8!$C96="","",Country_8!P96)</f>
        <v/>
      </c>
      <c r="Q795" s="16" t="str">
        <f>IF(Country_8!$C96="","",Country_8!Q96)</f>
        <v/>
      </c>
    </row>
    <row r="796" spans="1:17" x14ac:dyDescent="0.25">
      <c r="A796" s="16" t="str">
        <f>IF(Country_8!$C97="","",Country_8!A97)</f>
        <v/>
      </c>
      <c r="B796" s="16" t="str">
        <f>IF(Country_8!$C97="","",Country_8!B97)</f>
        <v/>
      </c>
      <c r="C796" s="16" t="str">
        <f>IF(Country_8!$C97="","",Country_8!C97)</f>
        <v/>
      </c>
      <c r="D796" s="16" t="str">
        <f>IF(Country_8!$C97="","",Country_8!D97)</f>
        <v/>
      </c>
      <c r="E796" s="16" t="str">
        <f>IF(Country_8!$C97="","",Country_8!E97)</f>
        <v/>
      </c>
      <c r="F796" s="16" t="str">
        <f>IF(Country_8!$C97="","",Country_8!F97)</f>
        <v/>
      </c>
      <c r="G796" s="17" t="str">
        <f>IF(Country_8!$C97="","",Country_8!G97)</f>
        <v/>
      </c>
      <c r="H796" s="17" t="str">
        <f>IF(Country_8!$C97="","",Country_8!H97)</f>
        <v/>
      </c>
      <c r="I796" s="16" t="str">
        <f>IF(Country_8!$C97="","",Country_8!I97)</f>
        <v/>
      </c>
      <c r="J796" s="16" t="str">
        <f>IF(Country_8!$C97="","",Country_8!J97)</f>
        <v/>
      </c>
      <c r="K796" s="18" t="str">
        <f>IF(Country_8!$C97="","",Country_8!K97)</f>
        <v/>
      </c>
      <c r="L796" s="18" t="str">
        <f>IF(Country_8!$C97="","",Country_8!L97)</f>
        <v/>
      </c>
      <c r="M796" s="19" t="str">
        <f>IF(Country_8!$C97="","",Country_8!M97)</f>
        <v/>
      </c>
      <c r="N796" s="16" t="str">
        <f>IF(Country_8!$C97="","",Country_8!N97)</f>
        <v/>
      </c>
      <c r="O796" s="16" t="str">
        <f>IF(Country_8!$C97="","",Country_8!O97)</f>
        <v/>
      </c>
      <c r="P796" s="16" t="str">
        <f>IF(Country_8!$C97="","",Country_8!P97)</f>
        <v/>
      </c>
      <c r="Q796" s="16" t="str">
        <f>IF(Country_8!$C97="","",Country_8!Q97)</f>
        <v/>
      </c>
    </row>
    <row r="797" spans="1:17" x14ac:dyDescent="0.25">
      <c r="A797" s="16" t="str">
        <f>IF(Country_8!$C98="","",Country_8!A98)</f>
        <v/>
      </c>
      <c r="B797" s="16" t="str">
        <f>IF(Country_8!$C98="","",Country_8!B98)</f>
        <v/>
      </c>
      <c r="C797" s="16" t="str">
        <f>IF(Country_8!$C98="","",Country_8!C98)</f>
        <v/>
      </c>
      <c r="D797" s="16" t="str">
        <f>IF(Country_8!$C98="","",Country_8!D98)</f>
        <v/>
      </c>
      <c r="E797" s="16" t="str">
        <f>IF(Country_8!$C98="","",Country_8!E98)</f>
        <v/>
      </c>
      <c r="F797" s="16" t="str">
        <f>IF(Country_8!$C98="","",Country_8!F98)</f>
        <v/>
      </c>
      <c r="G797" s="17" t="str">
        <f>IF(Country_8!$C98="","",Country_8!G98)</f>
        <v/>
      </c>
      <c r="H797" s="17" t="str">
        <f>IF(Country_8!$C98="","",Country_8!H98)</f>
        <v/>
      </c>
      <c r="I797" s="16" t="str">
        <f>IF(Country_8!$C98="","",Country_8!I98)</f>
        <v/>
      </c>
      <c r="J797" s="16" t="str">
        <f>IF(Country_8!$C98="","",Country_8!J98)</f>
        <v/>
      </c>
      <c r="K797" s="18" t="str">
        <f>IF(Country_8!$C98="","",Country_8!K98)</f>
        <v/>
      </c>
      <c r="L797" s="18" t="str">
        <f>IF(Country_8!$C98="","",Country_8!L98)</f>
        <v/>
      </c>
      <c r="M797" s="19" t="str">
        <f>IF(Country_8!$C98="","",Country_8!M98)</f>
        <v/>
      </c>
      <c r="N797" s="16" t="str">
        <f>IF(Country_8!$C98="","",Country_8!N98)</f>
        <v/>
      </c>
      <c r="O797" s="16" t="str">
        <f>IF(Country_8!$C98="","",Country_8!O98)</f>
        <v/>
      </c>
      <c r="P797" s="16" t="str">
        <f>IF(Country_8!$C98="","",Country_8!P98)</f>
        <v/>
      </c>
      <c r="Q797" s="16" t="str">
        <f>IF(Country_8!$C98="","",Country_8!Q98)</f>
        <v/>
      </c>
    </row>
    <row r="798" spans="1:17" x14ac:dyDescent="0.25">
      <c r="A798" s="16" t="str">
        <f>IF(Country_8!$C99="","",Country_8!A99)</f>
        <v/>
      </c>
      <c r="B798" s="16" t="str">
        <f>IF(Country_8!$C99="","",Country_8!B99)</f>
        <v/>
      </c>
      <c r="C798" s="16" t="str">
        <f>IF(Country_8!$C99="","",Country_8!C99)</f>
        <v/>
      </c>
      <c r="D798" s="16" t="str">
        <f>IF(Country_8!$C99="","",Country_8!D99)</f>
        <v/>
      </c>
      <c r="E798" s="16" t="str">
        <f>IF(Country_8!$C99="","",Country_8!E99)</f>
        <v/>
      </c>
      <c r="F798" s="16" t="str">
        <f>IF(Country_8!$C99="","",Country_8!F99)</f>
        <v/>
      </c>
      <c r="G798" s="17" t="str">
        <f>IF(Country_8!$C99="","",Country_8!G99)</f>
        <v/>
      </c>
      <c r="H798" s="17" t="str">
        <f>IF(Country_8!$C99="","",Country_8!H99)</f>
        <v/>
      </c>
      <c r="I798" s="16" t="str">
        <f>IF(Country_8!$C99="","",Country_8!I99)</f>
        <v/>
      </c>
      <c r="J798" s="16" t="str">
        <f>IF(Country_8!$C99="","",Country_8!J99)</f>
        <v/>
      </c>
      <c r="K798" s="18" t="str">
        <f>IF(Country_8!$C99="","",Country_8!K99)</f>
        <v/>
      </c>
      <c r="L798" s="18" t="str">
        <f>IF(Country_8!$C99="","",Country_8!L99)</f>
        <v/>
      </c>
      <c r="M798" s="19" t="str">
        <f>IF(Country_8!$C99="","",Country_8!M99)</f>
        <v/>
      </c>
      <c r="N798" s="16" t="str">
        <f>IF(Country_8!$C99="","",Country_8!N99)</f>
        <v/>
      </c>
      <c r="O798" s="16" t="str">
        <f>IF(Country_8!$C99="","",Country_8!O99)</f>
        <v/>
      </c>
      <c r="P798" s="16" t="str">
        <f>IF(Country_8!$C99="","",Country_8!P99)</f>
        <v/>
      </c>
      <c r="Q798" s="16" t="str">
        <f>IF(Country_8!$C99="","",Country_8!Q99)</f>
        <v/>
      </c>
    </row>
    <row r="799" spans="1:17" x14ac:dyDescent="0.25">
      <c r="A799" s="16" t="str">
        <f>IF(Country_8!$C100="","",Country_8!A100)</f>
        <v/>
      </c>
      <c r="B799" s="16" t="str">
        <f>IF(Country_8!$C100="","",Country_8!B100)</f>
        <v/>
      </c>
      <c r="C799" s="16" t="str">
        <f>IF(Country_8!$C100="","",Country_8!C100)</f>
        <v/>
      </c>
      <c r="D799" s="16" t="str">
        <f>IF(Country_8!$C100="","",Country_8!D100)</f>
        <v/>
      </c>
      <c r="E799" s="16" t="str">
        <f>IF(Country_8!$C100="","",Country_8!E100)</f>
        <v/>
      </c>
      <c r="F799" s="16" t="str">
        <f>IF(Country_8!$C100="","",Country_8!F100)</f>
        <v/>
      </c>
      <c r="G799" s="17" t="str">
        <f>IF(Country_8!$C100="","",Country_8!G100)</f>
        <v/>
      </c>
      <c r="H799" s="17" t="str">
        <f>IF(Country_8!$C100="","",Country_8!H100)</f>
        <v/>
      </c>
      <c r="I799" s="16" t="str">
        <f>IF(Country_8!$C100="","",Country_8!I100)</f>
        <v/>
      </c>
      <c r="J799" s="16" t="str">
        <f>IF(Country_8!$C100="","",Country_8!J100)</f>
        <v/>
      </c>
      <c r="K799" s="18" t="str">
        <f>IF(Country_8!$C100="","",Country_8!K100)</f>
        <v/>
      </c>
      <c r="L799" s="18" t="str">
        <f>IF(Country_8!$C100="","",Country_8!L100)</f>
        <v/>
      </c>
      <c r="M799" s="19" t="str">
        <f>IF(Country_8!$C100="","",Country_8!M100)</f>
        <v/>
      </c>
      <c r="N799" s="16" t="str">
        <f>IF(Country_8!$C100="","",Country_8!N100)</f>
        <v/>
      </c>
      <c r="O799" s="16" t="str">
        <f>IF(Country_8!$C100="","",Country_8!O100)</f>
        <v/>
      </c>
      <c r="P799" s="16" t="str">
        <f>IF(Country_8!$C100="","",Country_8!P100)</f>
        <v/>
      </c>
      <c r="Q799" s="16" t="str">
        <f>IF(Country_8!$C100="","",Country_8!Q100)</f>
        <v/>
      </c>
    </row>
    <row r="800" spans="1:17" x14ac:dyDescent="0.25">
      <c r="A800" s="16" t="str">
        <f>IF(Country_8!$C101="","",Country_8!A101)</f>
        <v/>
      </c>
      <c r="B800" s="16" t="str">
        <f>IF(Country_8!$C101="","",Country_8!B101)</f>
        <v/>
      </c>
      <c r="C800" s="16" t="str">
        <f>IF(Country_8!$C101="","",Country_8!C101)</f>
        <v/>
      </c>
      <c r="D800" s="16" t="str">
        <f>IF(Country_8!$C101="","",Country_8!D101)</f>
        <v/>
      </c>
      <c r="E800" s="16" t="str">
        <f>IF(Country_8!$C101="","",Country_8!E101)</f>
        <v/>
      </c>
      <c r="F800" s="16" t="str">
        <f>IF(Country_8!$C101="","",Country_8!F101)</f>
        <v/>
      </c>
      <c r="G800" s="17" t="str">
        <f>IF(Country_8!$C101="","",Country_8!G101)</f>
        <v/>
      </c>
      <c r="H800" s="17" t="str">
        <f>IF(Country_8!$C101="","",Country_8!H101)</f>
        <v/>
      </c>
      <c r="I800" s="16" t="str">
        <f>IF(Country_8!$C101="","",Country_8!I101)</f>
        <v/>
      </c>
      <c r="J800" s="16" t="str">
        <f>IF(Country_8!$C101="","",Country_8!J101)</f>
        <v/>
      </c>
      <c r="K800" s="18" t="str">
        <f>IF(Country_8!$C101="","",Country_8!K101)</f>
        <v/>
      </c>
      <c r="L800" s="18" t="str">
        <f>IF(Country_8!$C101="","",Country_8!L101)</f>
        <v/>
      </c>
      <c r="M800" s="19" t="str">
        <f>IF(Country_8!$C101="","",Country_8!M101)</f>
        <v/>
      </c>
      <c r="N800" s="16" t="str">
        <f>IF(Country_8!$C101="","",Country_8!N101)</f>
        <v/>
      </c>
      <c r="O800" s="16" t="str">
        <f>IF(Country_8!$C101="","",Country_8!O101)</f>
        <v/>
      </c>
      <c r="P800" s="16" t="str">
        <f>IF(Country_8!$C101="","",Country_8!P101)</f>
        <v/>
      </c>
      <c r="Q800" s="16" t="str">
        <f>IF(Country_8!$C101="","",Country_8!Q101)</f>
        <v/>
      </c>
    </row>
    <row r="801" spans="1:17" x14ac:dyDescent="0.25">
      <c r="A801" s="16" t="str">
        <f>IF(Country_8!$C102="","",Country_8!A102)</f>
        <v/>
      </c>
      <c r="B801" s="16" t="str">
        <f>IF(Country_8!$C102="","",Country_8!B102)</f>
        <v/>
      </c>
      <c r="C801" s="16" t="str">
        <f>IF(Country_8!$C102="","",Country_8!C102)</f>
        <v/>
      </c>
      <c r="D801" s="16" t="str">
        <f>IF(Country_8!$C102="","",Country_8!D102)</f>
        <v/>
      </c>
      <c r="E801" s="16" t="str">
        <f>IF(Country_8!$C102="","",Country_8!E102)</f>
        <v/>
      </c>
      <c r="F801" s="16" t="str">
        <f>IF(Country_8!$C102="","",Country_8!F102)</f>
        <v/>
      </c>
      <c r="G801" s="17" t="str">
        <f>IF(Country_8!$C102="","",Country_8!G102)</f>
        <v/>
      </c>
      <c r="H801" s="17" t="str">
        <f>IF(Country_8!$C102="","",Country_8!H102)</f>
        <v/>
      </c>
      <c r="I801" s="16" t="str">
        <f>IF(Country_8!$C102="","",Country_8!I102)</f>
        <v/>
      </c>
      <c r="J801" s="16" t="str">
        <f>IF(Country_8!$C102="","",Country_8!J102)</f>
        <v/>
      </c>
      <c r="K801" s="18" t="str">
        <f>IF(Country_8!$C102="","",Country_8!K102)</f>
        <v/>
      </c>
      <c r="L801" s="18" t="str">
        <f>IF(Country_8!$C102="","",Country_8!L102)</f>
        <v/>
      </c>
      <c r="M801" s="19" t="str">
        <f>IF(Country_8!$C102="","",Country_8!M102)</f>
        <v/>
      </c>
      <c r="N801" s="16" t="str">
        <f>IF(Country_8!$C102="","",Country_8!N102)</f>
        <v/>
      </c>
      <c r="O801" s="16" t="str">
        <f>IF(Country_8!$C102="","",Country_8!O102)</f>
        <v/>
      </c>
      <c r="P801" s="16" t="str">
        <f>IF(Country_8!$C102="","",Country_8!P102)</f>
        <v/>
      </c>
      <c r="Q801" s="16" t="str">
        <f>IF(Country_8!$C102="","",Country_8!Q102)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Country_1</vt:lpstr>
      <vt:lpstr>Country_2</vt:lpstr>
      <vt:lpstr>Country_3</vt:lpstr>
      <vt:lpstr>Country_4</vt:lpstr>
      <vt:lpstr>Country_5</vt:lpstr>
      <vt:lpstr>Country_6</vt:lpstr>
      <vt:lpstr>Country_7</vt:lpstr>
      <vt:lpstr>Country_8</vt:lpstr>
      <vt:lpstr>Dashboard</vt:lpstr>
      <vt:lpstr>Lists</vt:lpstr>
      <vt:lpstr>Consolidated_Data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Sayed</dc:creator>
  <cp:lastModifiedBy>Walid Sayed</cp:lastModifiedBy>
  <dcterms:modified xsi:type="dcterms:W3CDTF">2026-03-24T20:55:11Z</dcterms:modified>
</cp:coreProperties>
</file>